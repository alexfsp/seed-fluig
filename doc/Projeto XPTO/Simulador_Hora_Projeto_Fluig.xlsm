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17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/Users/alex/Documents/Fluig/GitProjects/tgpm/doc/"/>
    </mc:Choice>
  </mc:AlternateContent>
  <bookViews>
    <workbookView xWindow="0" yWindow="0" windowWidth="28800" windowHeight="18000" tabRatio="895"/>
  </bookViews>
  <sheets>
    <sheet name="Escopo" sheetId="5" r:id="rId1"/>
    <sheet name="Detalhamento BPM" sheetId="14" r:id="rId2"/>
    <sheet name="Detalhamento WCM" sheetId="16" r:id="rId3"/>
    <sheet name="Detalhamento ESB" sheetId="15" r:id="rId4"/>
    <sheet name="Detalhamento Identity" sheetId="18" r:id="rId5"/>
    <sheet name="Detalhamento LMS" sheetId="21" r:id="rId6"/>
    <sheet name="PacoteXItem" sheetId="6" state="hidden" r:id="rId7"/>
    <sheet name="Catalogo de Item de Serviço" sheetId="12" r:id="rId8"/>
    <sheet name="Complexidade" sheetId="10" state="hidden" r:id="rId9"/>
  </sheets>
  <externalReferences>
    <externalReference r:id="rId10"/>
  </externalReferences>
  <definedNames>
    <definedName name="_xlnm._FilterDatabase" localSheetId="6" hidden="1">PacoteXItem!$X$1:$AC$1</definedName>
    <definedName name="horas_wkf" localSheetId="3">#REF!</definedName>
    <definedName name="horas_wkf" localSheetId="4">#REF!</definedName>
    <definedName name="horas_wkf" localSheetId="5">#REF!</definedName>
    <definedName name="horas_wkf" localSheetId="2">#REF!</definedName>
    <definedName name="horas_wkf" localSheetId="0">#REF!</definedName>
    <definedName name="horas_wkf" localSheetId="6">#REF!</definedName>
    <definedName name="horas_wkf">#REF!</definedName>
    <definedName name="hrs_desenv_wkf" localSheetId="3">#REF!</definedName>
    <definedName name="hrs_desenv_wkf" localSheetId="4">#REF!</definedName>
    <definedName name="hrs_desenv_wkf" localSheetId="5">#REF!</definedName>
    <definedName name="hrs_desenv_wkf" localSheetId="2">#REF!</definedName>
    <definedName name="hrs_desenv_wkf" localSheetId="0">#REF!</definedName>
    <definedName name="hrs_desenv_wkf" localSheetId="6">#REF!</definedName>
    <definedName name="hrs_desenv_wkf">#REF!</definedName>
    <definedName name="kit_process2excell">'[1]18.Process2Excel'!$H$16</definedName>
    <definedName name="kit_process2excell_hrs">'[1]18.Process2Excel'!$L$16</definedName>
    <definedName name="per_complex_proc" localSheetId="3">#REF!</definedName>
    <definedName name="per_complex_proc" localSheetId="4">#REF!</definedName>
    <definedName name="per_complex_proc" localSheetId="5">#REF!</definedName>
    <definedName name="per_complex_proc" localSheetId="2">#REF!</definedName>
    <definedName name="per_complex_proc" localSheetId="0">#REF!</definedName>
    <definedName name="per_complex_proc" localSheetId="6">#REF!</definedName>
    <definedName name="per_complex_proc">#REF!</definedName>
    <definedName name="TETE" localSheetId="4">#REF!</definedName>
    <definedName name="TETE" localSheetId="5">#REF!</definedName>
    <definedName name="TETE">#REF!</definedName>
    <definedName name="vl_hr_gp">'[1]0.Setup'!$C$12</definedName>
    <definedName name="vl_hr_presen_fechado">'[1]0.Setup'!$F$9</definedName>
    <definedName name="vl_hr_remoto_fechado">'[1]0.Setup'!$F$10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18" l="1"/>
  <c r="B8" i="15"/>
  <c r="H63" i="12"/>
  <c r="AC62" i="6"/>
  <c r="G63" i="12"/>
  <c r="AB62" i="6"/>
  <c r="F63" i="12"/>
  <c r="H60" i="12"/>
  <c r="AC59" i="6"/>
  <c r="G60" i="12"/>
  <c r="AB59" i="6"/>
  <c r="F60" i="12"/>
  <c r="O12" i="21"/>
  <c r="H59" i="12"/>
  <c r="G59" i="12"/>
  <c r="AB58" i="6"/>
  <c r="F59" i="12"/>
  <c r="H58" i="12"/>
  <c r="W10" i="21"/>
  <c r="G58" i="12"/>
  <c r="S10" i="21"/>
  <c r="F58" i="12"/>
  <c r="X45" i="6"/>
  <c r="X46" i="6"/>
  <c r="X47" i="6"/>
  <c r="X48" i="6"/>
  <c r="X49" i="6"/>
  <c r="X50" i="6"/>
  <c r="X51" i="6"/>
  <c r="X52" i="6"/>
  <c r="X53" i="6"/>
  <c r="X54" i="6"/>
  <c r="X55" i="6"/>
  <c r="X56" i="6"/>
  <c r="X57" i="6"/>
  <c r="X58" i="6"/>
  <c r="X59" i="6"/>
  <c r="X60" i="6"/>
  <c r="X61" i="6"/>
  <c r="X62" i="6"/>
  <c r="X63" i="6"/>
  <c r="X64" i="6"/>
  <c r="X65" i="6"/>
  <c r="X66" i="6"/>
  <c r="X67" i="6"/>
  <c r="X68" i="6"/>
  <c r="X69" i="6"/>
  <c r="X70" i="6"/>
  <c r="X71" i="6"/>
  <c r="X72" i="6"/>
  <c r="X73" i="6"/>
  <c r="X74" i="6"/>
  <c r="X75" i="6"/>
  <c r="X76" i="6"/>
  <c r="X77" i="6"/>
  <c r="X78" i="6"/>
  <c r="X79" i="6"/>
  <c r="X80" i="6"/>
  <c r="X81" i="6"/>
  <c r="X82" i="6"/>
  <c r="I52" i="12"/>
  <c r="AD51" i="6"/>
  <c r="I54" i="12"/>
  <c r="AD53" i="6"/>
  <c r="I56" i="12"/>
  <c r="AD55" i="6"/>
  <c r="I64" i="12"/>
  <c r="AD63" i="6"/>
  <c r="I68" i="12"/>
  <c r="AD67" i="6"/>
  <c r="I70" i="12"/>
  <c r="AD69" i="6"/>
  <c r="I72" i="12"/>
  <c r="AD71" i="6"/>
  <c r="I80" i="12"/>
  <c r="AD79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AC49" i="6"/>
  <c r="AC50" i="6"/>
  <c r="AC51" i="6"/>
  <c r="AC52" i="6"/>
  <c r="AC53" i="6"/>
  <c r="AC54" i="6"/>
  <c r="AC55" i="6"/>
  <c r="AC56" i="6"/>
  <c r="AC58" i="6"/>
  <c r="AC60" i="6"/>
  <c r="AC61" i="6"/>
  <c r="AC63" i="6"/>
  <c r="AC64" i="6"/>
  <c r="AC65" i="6"/>
  <c r="AC66" i="6"/>
  <c r="AC67" i="6"/>
  <c r="AC68" i="6"/>
  <c r="AC69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B49" i="6"/>
  <c r="AB50" i="6"/>
  <c r="AB51" i="6"/>
  <c r="AB52" i="6"/>
  <c r="AB53" i="6"/>
  <c r="AB54" i="6"/>
  <c r="AB55" i="6"/>
  <c r="AB56" i="6"/>
  <c r="AB57" i="6"/>
  <c r="AB60" i="6"/>
  <c r="AB61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A49" i="6"/>
  <c r="AA50" i="6"/>
  <c r="AA51" i="6"/>
  <c r="AA52" i="6"/>
  <c r="AA53" i="6"/>
  <c r="AA54" i="6"/>
  <c r="AA55" i="6"/>
  <c r="AA56" i="6"/>
  <c r="AA57" i="6"/>
  <c r="AA58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C48" i="6"/>
  <c r="AB48" i="6"/>
  <c r="AA48" i="6"/>
  <c r="Z48" i="6"/>
  <c r="M110" i="5"/>
  <c r="N110" i="5"/>
  <c r="M111" i="5"/>
  <c r="N111" i="5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J73" i="5"/>
  <c r="H73" i="5"/>
  <c r="DP38" i="21"/>
  <c r="A35" i="21"/>
  <c r="EA37" i="21"/>
  <c r="A34" i="21"/>
  <c r="DW37" i="21"/>
  <c r="A33" i="21"/>
  <c r="DS37" i="21"/>
  <c r="A31" i="21"/>
  <c r="DK37" i="21"/>
  <c r="A27" i="21"/>
  <c r="CU37" i="21"/>
  <c r="ED96" i="21"/>
  <c r="EC96" i="21"/>
  <c r="EB96" i="21"/>
  <c r="DZ96" i="21"/>
  <c r="DY96" i="21"/>
  <c r="DX96" i="21"/>
  <c r="DV96" i="21"/>
  <c r="DU96" i="21"/>
  <c r="DT96" i="21"/>
  <c r="DR96" i="21"/>
  <c r="DQ96" i="21"/>
  <c r="DP96" i="21"/>
  <c r="DN96" i="21"/>
  <c r="DM96" i="21"/>
  <c r="DL96" i="21"/>
  <c r="DJ96" i="21"/>
  <c r="DI96" i="21"/>
  <c r="DH96" i="21"/>
  <c r="DF96" i="21"/>
  <c r="DE96" i="21"/>
  <c r="DD96" i="21"/>
  <c r="DB96" i="21"/>
  <c r="DA96" i="21"/>
  <c r="CZ96" i="21"/>
  <c r="CX96" i="21"/>
  <c r="CW96" i="21"/>
  <c r="CV96" i="21"/>
  <c r="CT96" i="21"/>
  <c r="CS96" i="21"/>
  <c r="CR96" i="21"/>
  <c r="ED95" i="21"/>
  <c r="EC95" i="21"/>
  <c r="EB95" i="21"/>
  <c r="DZ95" i="21"/>
  <c r="DY95" i="21"/>
  <c r="DX95" i="21"/>
  <c r="DV95" i="21"/>
  <c r="DU95" i="21"/>
  <c r="DT95" i="21"/>
  <c r="DR95" i="21"/>
  <c r="DQ95" i="21"/>
  <c r="DP95" i="21"/>
  <c r="DN95" i="21"/>
  <c r="DM95" i="21"/>
  <c r="DL95" i="21"/>
  <c r="DJ95" i="21"/>
  <c r="DI95" i="21"/>
  <c r="DH95" i="21"/>
  <c r="DF95" i="21"/>
  <c r="DE95" i="21"/>
  <c r="DD95" i="21"/>
  <c r="DB95" i="21"/>
  <c r="DA95" i="21"/>
  <c r="CZ95" i="21"/>
  <c r="CX95" i="21"/>
  <c r="CW95" i="21"/>
  <c r="CV95" i="21"/>
  <c r="CT95" i="21"/>
  <c r="CS95" i="21"/>
  <c r="CR95" i="21"/>
  <c r="ED94" i="21"/>
  <c r="EC94" i="21"/>
  <c r="EB94" i="21"/>
  <c r="DZ94" i="21"/>
  <c r="DY94" i="21"/>
  <c r="DX94" i="21"/>
  <c r="DV94" i="21"/>
  <c r="DU94" i="21"/>
  <c r="DT94" i="21"/>
  <c r="DR94" i="21"/>
  <c r="DQ94" i="21"/>
  <c r="DP94" i="21"/>
  <c r="DN94" i="21"/>
  <c r="DM94" i="21"/>
  <c r="DL94" i="21"/>
  <c r="DJ94" i="21"/>
  <c r="DI94" i="21"/>
  <c r="DH94" i="21"/>
  <c r="DF94" i="21"/>
  <c r="DE94" i="21"/>
  <c r="DD94" i="21"/>
  <c r="DB94" i="21"/>
  <c r="DA94" i="21"/>
  <c r="CZ94" i="21"/>
  <c r="CX94" i="21"/>
  <c r="CW94" i="21"/>
  <c r="CV94" i="21"/>
  <c r="CT94" i="21"/>
  <c r="CS94" i="21"/>
  <c r="CR94" i="21"/>
  <c r="ED93" i="21"/>
  <c r="EC93" i="21"/>
  <c r="EB93" i="21"/>
  <c r="DZ93" i="21"/>
  <c r="DY93" i="21"/>
  <c r="DX93" i="21"/>
  <c r="DV93" i="21"/>
  <c r="DU93" i="21"/>
  <c r="DT93" i="21"/>
  <c r="DR93" i="21"/>
  <c r="DQ93" i="21"/>
  <c r="DP93" i="21"/>
  <c r="DN93" i="21"/>
  <c r="DM93" i="21"/>
  <c r="DL93" i="21"/>
  <c r="DJ93" i="21"/>
  <c r="DI93" i="21"/>
  <c r="DH93" i="21"/>
  <c r="DF93" i="21"/>
  <c r="DE93" i="21"/>
  <c r="DD93" i="21"/>
  <c r="DB93" i="21"/>
  <c r="DA93" i="21"/>
  <c r="CZ93" i="21"/>
  <c r="CX93" i="21"/>
  <c r="CW93" i="21"/>
  <c r="CV93" i="21"/>
  <c r="CT93" i="21"/>
  <c r="CS93" i="21"/>
  <c r="CR93" i="21"/>
  <c r="ED92" i="21"/>
  <c r="EC92" i="21"/>
  <c r="EB92" i="21"/>
  <c r="DZ92" i="21"/>
  <c r="DY92" i="21"/>
  <c r="DX92" i="21"/>
  <c r="DV92" i="21"/>
  <c r="DU92" i="21"/>
  <c r="DT92" i="21"/>
  <c r="DR92" i="21"/>
  <c r="DQ92" i="21"/>
  <c r="DP92" i="21"/>
  <c r="DN92" i="21"/>
  <c r="DM92" i="21"/>
  <c r="DL92" i="21"/>
  <c r="DJ92" i="21"/>
  <c r="DI92" i="21"/>
  <c r="DH92" i="21"/>
  <c r="DF92" i="21"/>
  <c r="DE92" i="21"/>
  <c r="DD92" i="21"/>
  <c r="DB92" i="21"/>
  <c r="DA92" i="21"/>
  <c r="CZ92" i="21"/>
  <c r="CX92" i="21"/>
  <c r="CW92" i="21"/>
  <c r="CV92" i="21"/>
  <c r="CT92" i="21"/>
  <c r="CS92" i="21"/>
  <c r="CR92" i="21"/>
  <c r="ED91" i="21"/>
  <c r="EC91" i="21"/>
  <c r="EB91" i="21"/>
  <c r="DZ91" i="21"/>
  <c r="DY91" i="21"/>
  <c r="DX91" i="21"/>
  <c r="DV91" i="21"/>
  <c r="DU91" i="21"/>
  <c r="DT91" i="21"/>
  <c r="DR91" i="21"/>
  <c r="DQ91" i="21"/>
  <c r="DP91" i="21"/>
  <c r="DN91" i="21"/>
  <c r="DM91" i="21"/>
  <c r="DL91" i="21"/>
  <c r="DJ91" i="21"/>
  <c r="DI91" i="21"/>
  <c r="DH91" i="21"/>
  <c r="DF91" i="21"/>
  <c r="DE91" i="21"/>
  <c r="DD91" i="21"/>
  <c r="DB91" i="21"/>
  <c r="DA91" i="21"/>
  <c r="CZ91" i="21"/>
  <c r="CX91" i="21"/>
  <c r="CW91" i="21"/>
  <c r="CV91" i="21"/>
  <c r="CT91" i="21"/>
  <c r="CS91" i="21"/>
  <c r="CR91" i="21"/>
  <c r="ED90" i="21"/>
  <c r="EC90" i="21"/>
  <c r="EB90" i="21"/>
  <c r="DZ90" i="21"/>
  <c r="DY90" i="21"/>
  <c r="DX90" i="21"/>
  <c r="DV90" i="21"/>
  <c r="DU90" i="21"/>
  <c r="DT90" i="21"/>
  <c r="DR90" i="21"/>
  <c r="DQ90" i="21"/>
  <c r="DP90" i="21"/>
  <c r="DN90" i="21"/>
  <c r="DM90" i="21"/>
  <c r="DL90" i="21"/>
  <c r="DJ90" i="21"/>
  <c r="DI90" i="21"/>
  <c r="DH90" i="21"/>
  <c r="DF90" i="21"/>
  <c r="DE90" i="21"/>
  <c r="DD90" i="21"/>
  <c r="DB90" i="21"/>
  <c r="DA90" i="21"/>
  <c r="CZ90" i="21"/>
  <c r="CX90" i="21"/>
  <c r="CW90" i="21"/>
  <c r="CV90" i="21"/>
  <c r="CT90" i="21"/>
  <c r="CS90" i="21"/>
  <c r="CR90" i="21"/>
  <c r="ED89" i="21"/>
  <c r="EC89" i="21"/>
  <c r="EB89" i="21"/>
  <c r="DZ89" i="21"/>
  <c r="DY89" i="21"/>
  <c r="DX89" i="21"/>
  <c r="DV89" i="21"/>
  <c r="DU89" i="21"/>
  <c r="DT89" i="21"/>
  <c r="DR89" i="21"/>
  <c r="DQ89" i="21"/>
  <c r="DP89" i="21"/>
  <c r="DN89" i="21"/>
  <c r="DM89" i="21"/>
  <c r="DL89" i="21"/>
  <c r="DJ89" i="21"/>
  <c r="DI89" i="21"/>
  <c r="DH89" i="21"/>
  <c r="DF89" i="21"/>
  <c r="DE89" i="21"/>
  <c r="DD89" i="21"/>
  <c r="DB89" i="21"/>
  <c r="DA89" i="21"/>
  <c r="CZ89" i="21"/>
  <c r="CX89" i="21"/>
  <c r="CW89" i="21"/>
  <c r="CV89" i="21"/>
  <c r="CT89" i="21"/>
  <c r="CS89" i="21"/>
  <c r="CR89" i="21"/>
  <c r="ED88" i="21"/>
  <c r="EC88" i="21"/>
  <c r="EB88" i="21"/>
  <c r="DZ88" i="21"/>
  <c r="DY88" i="21"/>
  <c r="DX88" i="21"/>
  <c r="DV88" i="21"/>
  <c r="DU88" i="21"/>
  <c r="DT88" i="21"/>
  <c r="DR88" i="21"/>
  <c r="DQ88" i="21"/>
  <c r="DP88" i="21"/>
  <c r="DN88" i="21"/>
  <c r="DM88" i="21"/>
  <c r="DL88" i="21"/>
  <c r="DJ88" i="21"/>
  <c r="DI88" i="21"/>
  <c r="DH88" i="21"/>
  <c r="DF88" i="21"/>
  <c r="DE88" i="21"/>
  <c r="DD88" i="21"/>
  <c r="DB88" i="21"/>
  <c r="DA88" i="21"/>
  <c r="CZ88" i="21"/>
  <c r="CX88" i="21"/>
  <c r="CW88" i="21"/>
  <c r="CV88" i="21"/>
  <c r="CT88" i="21"/>
  <c r="CS88" i="21"/>
  <c r="CR88" i="21"/>
  <c r="ED87" i="21"/>
  <c r="EC87" i="21"/>
  <c r="EB87" i="21"/>
  <c r="DZ87" i="21"/>
  <c r="DY87" i="21"/>
  <c r="DX87" i="21"/>
  <c r="DV87" i="21"/>
  <c r="DU87" i="21"/>
  <c r="DT87" i="21"/>
  <c r="DR87" i="21"/>
  <c r="DQ87" i="21"/>
  <c r="DP87" i="21"/>
  <c r="DN87" i="21"/>
  <c r="DM87" i="21"/>
  <c r="DL87" i="21"/>
  <c r="DJ87" i="21"/>
  <c r="DI87" i="21"/>
  <c r="DH87" i="21"/>
  <c r="DF87" i="21"/>
  <c r="DE87" i="21"/>
  <c r="DD87" i="21"/>
  <c r="DB87" i="21"/>
  <c r="DA87" i="21"/>
  <c r="CZ87" i="21"/>
  <c r="CX87" i="21"/>
  <c r="CW87" i="21"/>
  <c r="CV87" i="21"/>
  <c r="CT87" i="21"/>
  <c r="CS87" i="21"/>
  <c r="CR87" i="21"/>
  <c r="ED86" i="21"/>
  <c r="EC86" i="21"/>
  <c r="EB86" i="21"/>
  <c r="DZ86" i="21"/>
  <c r="DY86" i="21"/>
  <c r="DX86" i="21"/>
  <c r="DV86" i="21"/>
  <c r="DU86" i="21"/>
  <c r="DT86" i="21"/>
  <c r="DR86" i="21"/>
  <c r="DQ86" i="21"/>
  <c r="DP86" i="21"/>
  <c r="DN86" i="21"/>
  <c r="DM86" i="21"/>
  <c r="DL86" i="21"/>
  <c r="DJ86" i="21"/>
  <c r="DI86" i="21"/>
  <c r="DH86" i="21"/>
  <c r="DF86" i="21"/>
  <c r="DE86" i="21"/>
  <c r="DD86" i="21"/>
  <c r="DB86" i="21"/>
  <c r="DA86" i="21"/>
  <c r="CZ86" i="21"/>
  <c r="CX86" i="21"/>
  <c r="CW86" i="21"/>
  <c r="CV86" i="21"/>
  <c r="CT86" i="21"/>
  <c r="CS86" i="21"/>
  <c r="CR86" i="21"/>
  <c r="ED85" i="21"/>
  <c r="EC85" i="21"/>
  <c r="EB85" i="21"/>
  <c r="DZ85" i="21"/>
  <c r="DY85" i="21"/>
  <c r="DX85" i="21"/>
  <c r="DV85" i="21"/>
  <c r="DU85" i="21"/>
  <c r="DT85" i="21"/>
  <c r="DR85" i="21"/>
  <c r="DQ85" i="21"/>
  <c r="DP85" i="21"/>
  <c r="DN85" i="21"/>
  <c r="DM85" i="21"/>
  <c r="DL85" i="21"/>
  <c r="DJ85" i="21"/>
  <c r="DI85" i="21"/>
  <c r="DH85" i="21"/>
  <c r="DF85" i="21"/>
  <c r="DE85" i="21"/>
  <c r="DD85" i="21"/>
  <c r="DB85" i="21"/>
  <c r="DA85" i="21"/>
  <c r="CZ85" i="21"/>
  <c r="CX85" i="21"/>
  <c r="CW85" i="21"/>
  <c r="CV85" i="21"/>
  <c r="CT85" i="21"/>
  <c r="CS85" i="21"/>
  <c r="CR85" i="21"/>
  <c r="ED84" i="21"/>
  <c r="EC84" i="21"/>
  <c r="EB84" i="21"/>
  <c r="DZ84" i="21"/>
  <c r="DY84" i="21"/>
  <c r="DX84" i="21"/>
  <c r="DV84" i="21"/>
  <c r="DU84" i="21"/>
  <c r="DT84" i="21"/>
  <c r="DR84" i="21"/>
  <c r="DQ84" i="21"/>
  <c r="DP84" i="21"/>
  <c r="DN84" i="21"/>
  <c r="DM84" i="21"/>
  <c r="DL84" i="21"/>
  <c r="DJ84" i="21"/>
  <c r="DI84" i="21"/>
  <c r="DH84" i="21"/>
  <c r="DF84" i="21"/>
  <c r="DE84" i="21"/>
  <c r="DD84" i="21"/>
  <c r="DB84" i="21"/>
  <c r="DA84" i="21"/>
  <c r="CZ84" i="21"/>
  <c r="CX84" i="21"/>
  <c r="CW84" i="21"/>
  <c r="CV84" i="21"/>
  <c r="CT84" i="21"/>
  <c r="CS84" i="21"/>
  <c r="CR84" i="21"/>
  <c r="ED83" i="21"/>
  <c r="EC83" i="21"/>
  <c r="EB83" i="21"/>
  <c r="DZ83" i="21"/>
  <c r="DY83" i="21"/>
  <c r="DX83" i="21"/>
  <c r="DV83" i="21"/>
  <c r="DU83" i="21"/>
  <c r="DT83" i="21"/>
  <c r="DR83" i="21"/>
  <c r="DQ83" i="21"/>
  <c r="DP83" i="21"/>
  <c r="DN83" i="21"/>
  <c r="DM83" i="21"/>
  <c r="DL83" i="21"/>
  <c r="DJ83" i="21"/>
  <c r="DI83" i="21"/>
  <c r="DH83" i="21"/>
  <c r="DF83" i="21"/>
  <c r="DE83" i="21"/>
  <c r="DD83" i="21"/>
  <c r="DB83" i="21"/>
  <c r="DA83" i="21"/>
  <c r="CZ83" i="21"/>
  <c r="CX83" i="21"/>
  <c r="CW83" i="21"/>
  <c r="CV83" i="21"/>
  <c r="CT83" i="21"/>
  <c r="CS83" i="21"/>
  <c r="CR83" i="21"/>
  <c r="ED82" i="21"/>
  <c r="EC82" i="21"/>
  <c r="EB82" i="21"/>
  <c r="DZ82" i="21"/>
  <c r="DY82" i="21"/>
  <c r="DX82" i="21"/>
  <c r="DV82" i="21"/>
  <c r="DU82" i="21"/>
  <c r="DT82" i="21"/>
  <c r="DR82" i="21"/>
  <c r="DQ82" i="21"/>
  <c r="DP82" i="21"/>
  <c r="DN82" i="21"/>
  <c r="DM82" i="21"/>
  <c r="DL82" i="21"/>
  <c r="DJ82" i="21"/>
  <c r="DI82" i="21"/>
  <c r="DH82" i="21"/>
  <c r="DF82" i="21"/>
  <c r="DE82" i="21"/>
  <c r="DD82" i="21"/>
  <c r="DB82" i="21"/>
  <c r="DA82" i="21"/>
  <c r="CZ82" i="21"/>
  <c r="CX82" i="21"/>
  <c r="CW82" i="21"/>
  <c r="CV82" i="21"/>
  <c r="CT82" i="21"/>
  <c r="CS82" i="21"/>
  <c r="CR82" i="21"/>
  <c r="ED81" i="21"/>
  <c r="EC81" i="21"/>
  <c r="EB81" i="21"/>
  <c r="DZ81" i="21"/>
  <c r="DY81" i="21"/>
  <c r="DX81" i="21"/>
  <c r="DV81" i="21"/>
  <c r="DU81" i="21"/>
  <c r="DT81" i="21"/>
  <c r="DR81" i="21"/>
  <c r="DQ81" i="21"/>
  <c r="DP81" i="21"/>
  <c r="DN81" i="21"/>
  <c r="DM81" i="21"/>
  <c r="DL81" i="21"/>
  <c r="DJ81" i="21"/>
  <c r="DI81" i="21"/>
  <c r="DH81" i="21"/>
  <c r="DF81" i="21"/>
  <c r="DE81" i="21"/>
  <c r="DD81" i="21"/>
  <c r="DB81" i="21"/>
  <c r="DA81" i="21"/>
  <c r="CZ81" i="21"/>
  <c r="CX81" i="21"/>
  <c r="CW81" i="21"/>
  <c r="CV81" i="21"/>
  <c r="CT81" i="21"/>
  <c r="CS81" i="21"/>
  <c r="CR81" i="21"/>
  <c r="ED80" i="21"/>
  <c r="EC80" i="21"/>
  <c r="EB80" i="21"/>
  <c r="DZ80" i="21"/>
  <c r="DY80" i="21"/>
  <c r="DX80" i="21"/>
  <c r="DV80" i="21"/>
  <c r="DU80" i="21"/>
  <c r="DT80" i="21"/>
  <c r="DR80" i="21"/>
  <c r="DQ80" i="21"/>
  <c r="DP80" i="21"/>
  <c r="DN80" i="21"/>
  <c r="DM80" i="21"/>
  <c r="DL80" i="21"/>
  <c r="DJ80" i="21"/>
  <c r="DI80" i="21"/>
  <c r="DH80" i="21"/>
  <c r="DF80" i="21"/>
  <c r="DE80" i="21"/>
  <c r="DD80" i="21"/>
  <c r="DB80" i="21"/>
  <c r="DA80" i="21"/>
  <c r="CZ80" i="21"/>
  <c r="CX80" i="21"/>
  <c r="CW80" i="21"/>
  <c r="CV80" i="21"/>
  <c r="CT80" i="21"/>
  <c r="CS80" i="21"/>
  <c r="CR80" i="21"/>
  <c r="ED79" i="21"/>
  <c r="EC79" i="21"/>
  <c r="EB79" i="21"/>
  <c r="DZ79" i="21"/>
  <c r="DY79" i="21"/>
  <c r="DX79" i="21"/>
  <c r="DV79" i="21"/>
  <c r="DU79" i="21"/>
  <c r="DT79" i="21"/>
  <c r="DR79" i="21"/>
  <c r="DQ79" i="21"/>
  <c r="DP79" i="21"/>
  <c r="DN79" i="21"/>
  <c r="DM79" i="21"/>
  <c r="DL79" i="21"/>
  <c r="DJ79" i="21"/>
  <c r="DI79" i="21"/>
  <c r="DH79" i="21"/>
  <c r="DF79" i="21"/>
  <c r="DE79" i="21"/>
  <c r="DD79" i="21"/>
  <c r="DB79" i="21"/>
  <c r="DA79" i="21"/>
  <c r="CZ79" i="21"/>
  <c r="CX79" i="21"/>
  <c r="CW79" i="21"/>
  <c r="CV79" i="21"/>
  <c r="CT79" i="21"/>
  <c r="CS79" i="21"/>
  <c r="CR79" i="21"/>
  <c r="ED78" i="21"/>
  <c r="EC78" i="21"/>
  <c r="EB78" i="21"/>
  <c r="DZ78" i="21"/>
  <c r="DY78" i="21"/>
  <c r="DX78" i="21"/>
  <c r="DV78" i="21"/>
  <c r="DU78" i="21"/>
  <c r="DT78" i="21"/>
  <c r="DR78" i="21"/>
  <c r="DQ78" i="21"/>
  <c r="DP78" i="21"/>
  <c r="DN78" i="21"/>
  <c r="DM78" i="21"/>
  <c r="DL78" i="21"/>
  <c r="DJ78" i="21"/>
  <c r="DI78" i="21"/>
  <c r="DH78" i="21"/>
  <c r="DF78" i="21"/>
  <c r="DE78" i="21"/>
  <c r="DD78" i="21"/>
  <c r="DB78" i="21"/>
  <c r="DA78" i="21"/>
  <c r="CZ78" i="21"/>
  <c r="CX78" i="21"/>
  <c r="CW78" i="21"/>
  <c r="CV78" i="21"/>
  <c r="CT78" i="21"/>
  <c r="CS78" i="21"/>
  <c r="CR78" i="21"/>
  <c r="ED77" i="21"/>
  <c r="EC77" i="21"/>
  <c r="EB77" i="21"/>
  <c r="DZ77" i="21"/>
  <c r="DY77" i="21"/>
  <c r="DX77" i="21"/>
  <c r="DV77" i="21"/>
  <c r="DU77" i="21"/>
  <c r="DT77" i="21"/>
  <c r="DR77" i="21"/>
  <c r="DQ77" i="21"/>
  <c r="DP77" i="21"/>
  <c r="DN77" i="21"/>
  <c r="DM77" i="21"/>
  <c r="DL77" i="21"/>
  <c r="DJ77" i="21"/>
  <c r="DI77" i="21"/>
  <c r="DH77" i="21"/>
  <c r="DF77" i="21"/>
  <c r="DE77" i="21"/>
  <c r="DD77" i="21"/>
  <c r="DB77" i="21"/>
  <c r="DA77" i="21"/>
  <c r="CZ77" i="21"/>
  <c r="CX77" i="21"/>
  <c r="CW77" i="21"/>
  <c r="CV77" i="21"/>
  <c r="CT77" i="21"/>
  <c r="CS77" i="21"/>
  <c r="CR77" i="21"/>
  <c r="ED76" i="21"/>
  <c r="EC76" i="21"/>
  <c r="EB76" i="21"/>
  <c r="DZ76" i="21"/>
  <c r="DY76" i="21"/>
  <c r="DX76" i="21"/>
  <c r="DV76" i="21"/>
  <c r="DU76" i="21"/>
  <c r="DT76" i="21"/>
  <c r="DR76" i="21"/>
  <c r="DQ76" i="21"/>
  <c r="DP76" i="21"/>
  <c r="DN76" i="21"/>
  <c r="DM76" i="21"/>
  <c r="DL76" i="21"/>
  <c r="DJ76" i="21"/>
  <c r="DI76" i="21"/>
  <c r="DH76" i="21"/>
  <c r="DF76" i="21"/>
  <c r="DE76" i="21"/>
  <c r="DD76" i="21"/>
  <c r="DB76" i="21"/>
  <c r="DA76" i="21"/>
  <c r="CZ76" i="21"/>
  <c r="CX76" i="21"/>
  <c r="CW76" i="21"/>
  <c r="CV76" i="21"/>
  <c r="CT76" i="21"/>
  <c r="CS76" i="21"/>
  <c r="CR76" i="21"/>
  <c r="ED75" i="21"/>
  <c r="EC75" i="21"/>
  <c r="EB75" i="21"/>
  <c r="DZ75" i="21"/>
  <c r="DY75" i="21"/>
  <c r="DX75" i="21"/>
  <c r="DV75" i="21"/>
  <c r="DU75" i="21"/>
  <c r="DT75" i="21"/>
  <c r="DR75" i="21"/>
  <c r="DQ75" i="21"/>
  <c r="DP75" i="21"/>
  <c r="DN75" i="21"/>
  <c r="DM75" i="21"/>
  <c r="DL75" i="21"/>
  <c r="DJ75" i="21"/>
  <c r="DI75" i="21"/>
  <c r="DH75" i="21"/>
  <c r="DF75" i="21"/>
  <c r="DE75" i="21"/>
  <c r="DD75" i="21"/>
  <c r="DB75" i="21"/>
  <c r="DA75" i="21"/>
  <c r="CZ75" i="21"/>
  <c r="CX75" i="21"/>
  <c r="CW75" i="21"/>
  <c r="CV75" i="21"/>
  <c r="CT75" i="21"/>
  <c r="CS75" i="21"/>
  <c r="CR75" i="21"/>
  <c r="ED74" i="21"/>
  <c r="EC74" i="21"/>
  <c r="EB74" i="21"/>
  <c r="DZ74" i="21"/>
  <c r="DY74" i="21"/>
  <c r="DX74" i="21"/>
  <c r="DV74" i="21"/>
  <c r="DU74" i="21"/>
  <c r="DT74" i="21"/>
  <c r="DR74" i="21"/>
  <c r="DQ74" i="21"/>
  <c r="DP74" i="21"/>
  <c r="DN74" i="21"/>
  <c r="DM74" i="21"/>
  <c r="DL74" i="21"/>
  <c r="DJ74" i="21"/>
  <c r="DI74" i="21"/>
  <c r="DH74" i="21"/>
  <c r="DF74" i="21"/>
  <c r="DE74" i="21"/>
  <c r="DD74" i="21"/>
  <c r="DB74" i="21"/>
  <c r="DA74" i="21"/>
  <c r="CZ74" i="21"/>
  <c r="CX74" i="21"/>
  <c r="CW74" i="21"/>
  <c r="CV74" i="21"/>
  <c r="CT74" i="21"/>
  <c r="CS74" i="21"/>
  <c r="CR74" i="21"/>
  <c r="ED73" i="21"/>
  <c r="EC73" i="21"/>
  <c r="EB73" i="21"/>
  <c r="DZ73" i="21"/>
  <c r="DY73" i="21"/>
  <c r="DX73" i="21"/>
  <c r="DV73" i="21"/>
  <c r="DU73" i="21"/>
  <c r="DT73" i="21"/>
  <c r="DR73" i="21"/>
  <c r="DQ73" i="21"/>
  <c r="DP73" i="21"/>
  <c r="DN73" i="21"/>
  <c r="DM73" i="21"/>
  <c r="DL73" i="21"/>
  <c r="DJ73" i="21"/>
  <c r="DI73" i="21"/>
  <c r="DH73" i="21"/>
  <c r="DF73" i="21"/>
  <c r="DE73" i="21"/>
  <c r="DD73" i="21"/>
  <c r="DB73" i="21"/>
  <c r="DA73" i="21"/>
  <c r="CZ73" i="21"/>
  <c r="CX73" i="21"/>
  <c r="CW73" i="21"/>
  <c r="CV73" i="21"/>
  <c r="CT73" i="21"/>
  <c r="CS73" i="21"/>
  <c r="CR73" i="21"/>
  <c r="ED72" i="21"/>
  <c r="EC72" i="21"/>
  <c r="EB72" i="21"/>
  <c r="DZ72" i="21"/>
  <c r="DY72" i="21"/>
  <c r="DX72" i="21"/>
  <c r="DV72" i="21"/>
  <c r="DU72" i="21"/>
  <c r="DT72" i="21"/>
  <c r="DR72" i="21"/>
  <c r="DQ72" i="21"/>
  <c r="DP72" i="21"/>
  <c r="DN72" i="21"/>
  <c r="DM72" i="21"/>
  <c r="DL72" i="21"/>
  <c r="DJ72" i="21"/>
  <c r="DI72" i="21"/>
  <c r="DH72" i="21"/>
  <c r="DF72" i="21"/>
  <c r="DE72" i="21"/>
  <c r="DD72" i="21"/>
  <c r="DB72" i="21"/>
  <c r="DA72" i="21"/>
  <c r="CZ72" i="21"/>
  <c r="CX72" i="21"/>
  <c r="CW72" i="21"/>
  <c r="CV72" i="21"/>
  <c r="CT72" i="21"/>
  <c r="CS72" i="21"/>
  <c r="CR72" i="21"/>
  <c r="ED71" i="21"/>
  <c r="EC71" i="21"/>
  <c r="EB71" i="21"/>
  <c r="DZ71" i="21"/>
  <c r="DY71" i="21"/>
  <c r="DX71" i="21"/>
  <c r="DV71" i="21"/>
  <c r="DU71" i="21"/>
  <c r="DT71" i="21"/>
  <c r="DR71" i="21"/>
  <c r="DQ71" i="21"/>
  <c r="DP71" i="21"/>
  <c r="DN71" i="21"/>
  <c r="DM71" i="21"/>
  <c r="DL71" i="21"/>
  <c r="DJ71" i="21"/>
  <c r="DI71" i="21"/>
  <c r="DH71" i="21"/>
  <c r="DF71" i="21"/>
  <c r="DE71" i="21"/>
  <c r="DD71" i="21"/>
  <c r="DB71" i="21"/>
  <c r="DA71" i="21"/>
  <c r="CZ71" i="21"/>
  <c r="CX71" i="21"/>
  <c r="CW71" i="21"/>
  <c r="CV71" i="21"/>
  <c r="CT71" i="21"/>
  <c r="CS71" i="21"/>
  <c r="CR71" i="21"/>
  <c r="ED70" i="21"/>
  <c r="EC70" i="21"/>
  <c r="EB70" i="21"/>
  <c r="DZ70" i="21"/>
  <c r="DY70" i="21"/>
  <c r="DX70" i="21"/>
  <c r="DV70" i="21"/>
  <c r="DU70" i="21"/>
  <c r="DT70" i="21"/>
  <c r="DR70" i="21"/>
  <c r="DQ70" i="21"/>
  <c r="DP70" i="21"/>
  <c r="DN70" i="21"/>
  <c r="DM70" i="21"/>
  <c r="DL70" i="21"/>
  <c r="DJ70" i="21"/>
  <c r="DI70" i="21"/>
  <c r="DH70" i="21"/>
  <c r="DF70" i="21"/>
  <c r="DE70" i="21"/>
  <c r="DD70" i="21"/>
  <c r="DB70" i="21"/>
  <c r="DA70" i="21"/>
  <c r="CZ70" i="21"/>
  <c r="CX70" i="21"/>
  <c r="CW70" i="21"/>
  <c r="CV70" i="21"/>
  <c r="CT70" i="21"/>
  <c r="CS70" i="21"/>
  <c r="CR70" i="21"/>
  <c r="ED69" i="21"/>
  <c r="EC69" i="21"/>
  <c r="EB69" i="21"/>
  <c r="DZ69" i="21"/>
  <c r="DY69" i="21"/>
  <c r="DX69" i="21"/>
  <c r="DV69" i="21"/>
  <c r="DU69" i="21"/>
  <c r="DT69" i="21"/>
  <c r="DR69" i="21"/>
  <c r="DQ69" i="21"/>
  <c r="DP69" i="21"/>
  <c r="DN69" i="21"/>
  <c r="DM69" i="21"/>
  <c r="DL69" i="21"/>
  <c r="DJ69" i="21"/>
  <c r="DI69" i="21"/>
  <c r="DH69" i="21"/>
  <c r="DF69" i="21"/>
  <c r="DE69" i="21"/>
  <c r="DD69" i="21"/>
  <c r="DB69" i="21"/>
  <c r="DA69" i="21"/>
  <c r="CZ69" i="21"/>
  <c r="CX69" i="21"/>
  <c r="CW69" i="21"/>
  <c r="CV69" i="21"/>
  <c r="CT69" i="21"/>
  <c r="CS69" i="21"/>
  <c r="CR69" i="21"/>
  <c r="ED68" i="21"/>
  <c r="EC68" i="21"/>
  <c r="EB68" i="21"/>
  <c r="DZ68" i="21"/>
  <c r="DY68" i="21"/>
  <c r="DX68" i="21"/>
  <c r="DV68" i="21"/>
  <c r="DU68" i="21"/>
  <c r="DT68" i="21"/>
  <c r="DR68" i="21"/>
  <c r="DQ68" i="21"/>
  <c r="DP68" i="21"/>
  <c r="DN68" i="21"/>
  <c r="DM68" i="21"/>
  <c r="DL68" i="21"/>
  <c r="DJ68" i="21"/>
  <c r="DI68" i="21"/>
  <c r="DH68" i="21"/>
  <c r="DF68" i="21"/>
  <c r="DE68" i="21"/>
  <c r="DD68" i="21"/>
  <c r="DB68" i="21"/>
  <c r="DA68" i="21"/>
  <c r="CZ68" i="21"/>
  <c r="CX68" i="21"/>
  <c r="CW68" i="21"/>
  <c r="CV68" i="21"/>
  <c r="CT68" i="21"/>
  <c r="CS68" i="21"/>
  <c r="CR68" i="21"/>
  <c r="ED67" i="21"/>
  <c r="EC67" i="21"/>
  <c r="EB67" i="21"/>
  <c r="DZ67" i="21"/>
  <c r="DY67" i="21"/>
  <c r="DX67" i="21"/>
  <c r="DV67" i="21"/>
  <c r="DU67" i="21"/>
  <c r="DT67" i="21"/>
  <c r="DR67" i="21"/>
  <c r="DQ67" i="21"/>
  <c r="DP67" i="21"/>
  <c r="DN67" i="21"/>
  <c r="DM67" i="21"/>
  <c r="DL67" i="21"/>
  <c r="DJ67" i="21"/>
  <c r="DI67" i="21"/>
  <c r="DH67" i="21"/>
  <c r="DF67" i="21"/>
  <c r="DE67" i="21"/>
  <c r="DD67" i="21"/>
  <c r="DB67" i="21"/>
  <c r="DA67" i="21"/>
  <c r="CZ67" i="21"/>
  <c r="CX67" i="21"/>
  <c r="CW67" i="21"/>
  <c r="CV67" i="21"/>
  <c r="CT67" i="21"/>
  <c r="CS67" i="21"/>
  <c r="CR67" i="21"/>
  <c r="ED66" i="21"/>
  <c r="EC66" i="21"/>
  <c r="EB66" i="21"/>
  <c r="DZ66" i="21"/>
  <c r="DY66" i="21"/>
  <c r="DX66" i="21"/>
  <c r="DV66" i="21"/>
  <c r="DU66" i="21"/>
  <c r="DT66" i="21"/>
  <c r="DR66" i="21"/>
  <c r="DQ66" i="21"/>
  <c r="DP66" i="21"/>
  <c r="DN66" i="21"/>
  <c r="DM66" i="21"/>
  <c r="DL66" i="21"/>
  <c r="DJ66" i="21"/>
  <c r="DI66" i="21"/>
  <c r="DH66" i="21"/>
  <c r="DF66" i="21"/>
  <c r="DE66" i="21"/>
  <c r="DD66" i="21"/>
  <c r="DB66" i="21"/>
  <c r="DA66" i="21"/>
  <c r="CZ66" i="21"/>
  <c r="CX66" i="21"/>
  <c r="CW66" i="21"/>
  <c r="CV66" i="21"/>
  <c r="CT66" i="21"/>
  <c r="CS66" i="21"/>
  <c r="CR66" i="21"/>
  <c r="ED65" i="21"/>
  <c r="EC65" i="21"/>
  <c r="EB65" i="21"/>
  <c r="DZ65" i="21"/>
  <c r="DY65" i="21"/>
  <c r="DX65" i="21"/>
  <c r="DV65" i="21"/>
  <c r="DU65" i="21"/>
  <c r="DT65" i="21"/>
  <c r="DR65" i="21"/>
  <c r="DQ65" i="21"/>
  <c r="DP65" i="21"/>
  <c r="DN65" i="21"/>
  <c r="DM65" i="21"/>
  <c r="DL65" i="21"/>
  <c r="DJ65" i="21"/>
  <c r="DI65" i="21"/>
  <c r="DH65" i="21"/>
  <c r="DF65" i="21"/>
  <c r="DE65" i="21"/>
  <c r="DD65" i="21"/>
  <c r="DB65" i="21"/>
  <c r="DA65" i="21"/>
  <c r="CZ65" i="21"/>
  <c r="CX65" i="21"/>
  <c r="CW65" i="21"/>
  <c r="CV65" i="21"/>
  <c r="CT65" i="21"/>
  <c r="CS65" i="21"/>
  <c r="CR65" i="21"/>
  <c r="ED64" i="21"/>
  <c r="EC64" i="21"/>
  <c r="EB64" i="21"/>
  <c r="DZ64" i="21"/>
  <c r="DY64" i="21"/>
  <c r="DX64" i="21"/>
  <c r="DV64" i="21"/>
  <c r="DU64" i="21"/>
  <c r="DT64" i="21"/>
  <c r="DR64" i="21"/>
  <c r="DQ64" i="21"/>
  <c r="DP64" i="21"/>
  <c r="DN64" i="21"/>
  <c r="DM64" i="21"/>
  <c r="DL64" i="21"/>
  <c r="DJ64" i="21"/>
  <c r="DI64" i="21"/>
  <c r="DH64" i="21"/>
  <c r="DF64" i="21"/>
  <c r="DE64" i="21"/>
  <c r="DD64" i="21"/>
  <c r="DB64" i="21"/>
  <c r="DA64" i="21"/>
  <c r="CZ64" i="21"/>
  <c r="CX64" i="21"/>
  <c r="CW64" i="21"/>
  <c r="CV64" i="21"/>
  <c r="CT64" i="21"/>
  <c r="CS64" i="21"/>
  <c r="CR64" i="21"/>
  <c r="ED63" i="21"/>
  <c r="EC63" i="21"/>
  <c r="EB63" i="21"/>
  <c r="DZ63" i="21"/>
  <c r="DY63" i="21"/>
  <c r="DX63" i="21"/>
  <c r="DV63" i="21"/>
  <c r="DU63" i="21"/>
  <c r="DT63" i="21"/>
  <c r="DR63" i="21"/>
  <c r="DQ63" i="21"/>
  <c r="DP63" i="21"/>
  <c r="DN63" i="21"/>
  <c r="DM63" i="21"/>
  <c r="DL63" i="21"/>
  <c r="DJ63" i="21"/>
  <c r="DI63" i="21"/>
  <c r="DH63" i="21"/>
  <c r="DF63" i="21"/>
  <c r="DE63" i="21"/>
  <c r="DD63" i="21"/>
  <c r="DB63" i="21"/>
  <c r="DA63" i="21"/>
  <c r="CZ63" i="21"/>
  <c r="CX63" i="21"/>
  <c r="CW63" i="21"/>
  <c r="CV63" i="21"/>
  <c r="CT63" i="21"/>
  <c r="CS63" i="21"/>
  <c r="CR63" i="21"/>
  <c r="ED62" i="21"/>
  <c r="EC62" i="21"/>
  <c r="EB62" i="21"/>
  <c r="DZ62" i="21"/>
  <c r="DY62" i="21"/>
  <c r="DX62" i="21"/>
  <c r="DV62" i="21"/>
  <c r="DU62" i="21"/>
  <c r="DT62" i="21"/>
  <c r="DR62" i="21"/>
  <c r="DQ62" i="21"/>
  <c r="DP62" i="21"/>
  <c r="DN62" i="21"/>
  <c r="DM62" i="21"/>
  <c r="DL62" i="21"/>
  <c r="DJ62" i="21"/>
  <c r="DI62" i="21"/>
  <c r="DH62" i="21"/>
  <c r="DF62" i="21"/>
  <c r="DE62" i="21"/>
  <c r="DD62" i="21"/>
  <c r="DB62" i="21"/>
  <c r="DA62" i="21"/>
  <c r="CZ62" i="21"/>
  <c r="CX62" i="21"/>
  <c r="CW62" i="21"/>
  <c r="CV62" i="21"/>
  <c r="CT62" i="21"/>
  <c r="CS62" i="21"/>
  <c r="CR62" i="21"/>
  <c r="ED61" i="21"/>
  <c r="EC61" i="21"/>
  <c r="EB61" i="21"/>
  <c r="DZ61" i="21"/>
  <c r="DY61" i="21"/>
  <c r="DX61" i="21"/>
  <c r="DV61" i="21"/>
  <c r="DU61" i="21"/>
  <c r="DT61" i="21"/>
  <c r="DR61" i="21"/>
  <c r="DQ61" i="21"/>
  <c r="DP61" i="21"/>
  <c r="DN61" i="21"/>
  <c r="DM61" i="21"/>
  <c r="DL61" i="21"/>
  <c r="DJ61" i="21"/>
  <c r="DI61" i="21"/>
  <c r="DH61" i="21"/>
  <c r="DF61" i="21"/>
  <c r="DE61" i="21"/>
  <c r="DD61" i="21"/>
  <c r="DB61" i="21"/>
  <c r="DA61" i="21"/>
  <c r="CZ61" i="21"/>
  <c r="CX61" i="21"/>
  <c r="CW61" i="21"/>
  <c r="CV61" i="21"/>
  <c r="CT61" i="21"/>
  <c r="CS61" i="21"/>
  <c r="CR61" i="21"/>
  <c r="ED60" i="21"/>
  <c r="EC60" i="21"/>
  <c r="EB60" i="21"/>
  <c r="DZ60" i="21"/>
  <c r="DY60" i="21"/>
  <c r="DX60" i="21"/>
  <c r="DV60" i="21"/>
  <c r="DU60" i="21"/>
  <c r="DT60" i="21"/>
  <c r="DR60" i="21"/>
  <c r="DQ60" i="21"/>
  <c r="DP60" i="21"/>
  <c r="DN60" i="21"/>
  <c r="DM60" i="21"/>
  <c r="DL60" i="21"/>
  <c r="DJ60" i="21"/>
  <c r="DI60" i="21"/>
  <c r="DH60" i="21"/>
  <c r="DF60" i="21"/>
  <c r="DE60" i="21"/>
  <c r="DD60" i="21"/>
  <c r="DB60" i="21"/>
  <c r="DA60" i="21"/>
  <c r="CZ60" i="21"/>
  <c r="CX60" i="21"/>
  <c r="CW60" i="21"/>
  <c r="CV60" i="21"/>
  <c r="CT60" i="21"/>
  <c r="CS60" i="21"/>
  <c r="CR60" i="21"/>
  <c r="ED59" i="21"/>
  <c r="EC59" i="21"/>
  <c r="EB59" i="21"/>
  <c r="DZ59" i="21"/>
  <c r="DY59" i="21"/>
  <c r="DX59" i="21"/>
  <c r="DV59" i="21"/>
  <c r="DU59" i="21"/>
  <c r="DT59" i="21"/>
  <c r="DR59" i="21"/>
  <c r="DQ59" i="21"/>
  <c r="DP59" i="21"/>
  <c r="DN59" i="21"/>
  <c r="DM59" i="21"/>
  <c r="DL59" i="21"/>
  <c r="DJ59" i="21"/>
  <c r="DI59" i="21"/>
  <c r="DH59" i="21"/>
  <c r="DF59" i="21"/>
  <c r="DE59" i="21"/>
  <c r="DD59" i="21"/>
  <c r="DB59" i="21"/>
  <c r="DA59" i="21"/>
  <c r="CZ59" i="21"/>
  <c r="CX59" i="21"/>
  <c r="CW59" i="21"/>
  <c r="CV59" i="21"/>
  <c r="CT59" i="21"/>
  <c r="CS59" i="21"/>
  <c r="CR59" i="21"/>
  <c r="ED58" i="21"/>
  <c r="EC58" i="21"/>
  <c r="EB58" i="21"/>
  <c r="DZ58" i="21"/>
  <c r="DY58" i="21"/>
  <c r="DX58" i="21"/>
  <c r="DV58" i="21"/>
  <c r="DU58" i="21"/>
  <c r="DT58" i="21"/>
  <c r="DR58" i="21"/>
  <c r="DQ58" i="21"/>
  <c r="DP58" i="21"/>
  <c r="DN58" i="21"/>
  <c r="DM58" i="21"/>
  <c r="DL58" i="21"/>
  <c r="DJ58" i="21"/>
  <c r="DI58" i="21"/>
  <c r="DH58" i="21"/>
  <c r="DF58" i="21"/>
  <c r="DE58" i="21"/>
  <c r="DD58" i="21"/>
  <c r="DB58" i="21"/>
  <c r="DA58" i="21"/>
  <c r="CZ58" i="21"/>
  <c r="CX58" i="21"/>
  <c r="CW58" i="21"/>
  <c r="CV58" i="21"/>
  <c r="CT58" i="21"/>
  <c r="CS58" i="21"/>
  <c r="CR58" i="21"/>
  <c r="ED57" i="21"/>
  <c r="EC57" i="21"/>
  <c r="EB57" i="21"/>
  <c r="DZ57" i="21"/>
  <c r="DY57" i="21"/>
  <c r="DX57" i="21"/>
  <c r="DV57" i="21"/>
  <c r="DU57" i="21"/>
  <c r="DT57" i="21"/>
  <c r="DR57" i="21"/>
  <c r="DQ57" i="21"/>
  <c r="DP57" i="21"/>
  <c r="DN57" i="21"/>
  <c r="DM57" i="21"/>
  <c r="DL57" i="21"/>
  <c r="DJ57" i="21"/>
  <c r="DI57" i="21"/>
  <c r="DH57" i="21"/>
  <c r="DF57" i="21"/>
  <c r="DE57" i="21"/>
  <c r="DD57" i="21"/>
  <c r="DB57" i="21"/>
  <c r="DA57" i="21"/>
  <c r="CZ57" i="21"/>
  <c r="CX57" i="21"/>
  <c r="CW57" i="21"/>
  <c r="CV57" i="21"/>
  <c r="CT57" i="21"/>
  <c r="CS57" i="21"/>
  <c r="CR57" i="21"/>
  <c r="ED56" i="21"/>
  <c r="EC56" i="21"/>
  <c r="EB56" i="21"/>
  <c r="DZ56" i="21"/>
  <c r="DY56" i="21"/>
  <c r="DX56" i="21"/>
  <c r="DV56" i="21"/>
  <c r="DU56" i="21"/>
  <c r="DT56" i="21"/>
  <c r="DR56" i="21"/>
  <c r="DQ56" i="21"/>
  <c r="DP56" i="21"/>
  <c r="DN56" i="21"/>
  <c r="DM56" i="21"/>
  <c r="DL56" i="21"/>
  <c r="DJ56" i="21"/>
  <c r="DI56" i="21"/>
  <c r="DH56" i="21"/>
  <c r="DF56" i="21"/>
  <c r="DE56" i="21"/>
  <c r="DD56" i="21"/>
  <c r="DB56" i="21"/>
  <c r="DA56" i="21"/>
  <c r="CZ56" i="21"/>
  <c r="CX56" i="21"/>
  <c r="CW56" i="21"/>
  <c r="CV56" i="21"/>
  <c r="CT56" i="21"/>
  <c r="CS56" i="21"/>
  <c r="CR56" i="21"/>
  <c r="ED55" i="21"/>
  <c r="EC55" i="21"/>
  <c r="EB55" i="21"/>
  <c r="DZ55" i="21"/>
  <c r="DY55" i="21"/>
  <c r="DX55" i="21"/>
  <c r="DV55" i="21"/>
  <c r="DU55" i="21"/>
  <c r="DT55" i="21"/>
  <c r="DR55" i="21"/>
  <c r="DQ55" i="21"/>
  <c r="DP55" i="21"/>
  <c r="DN55" i="21"/>
  <c r="DM55" i="21"/>
  <c r="DL55" i="21"/>
  <c r="DJ55" i="21"/>
  <c r="DI55" i="21"/>
  <c r="DH55" i="21"/>
  <c r="DF55" i="21"/>
  <c r="DE55" i="21"/>
  <c r="DD55" i="21"/>
  <c r="DB55" i="21"/>
  <c r="DA55" i="21"/>
  <c r="CZ55" i="21"/>
  <c r="CX55" i="21"/>
  <c r="CW55" i="21"/>
  <c r="CV55" i="21"/>
  <c r="CT55" i="21"/>
  <c r="CS55" i="21"/>
  <c r="CR55" i="21"/>
  <c r="ED54" i="21"/>
  <c r="EC54" i="21"/>
  <c r="EB54" i="21"/>
  <c r="DZ54" i="21"/>
  <c r="DY54" i="21"/>
  <c r="DX54" i="21"/>
  <c r="DV54" i="21"/>
  <c r="DU54" i="21"/>
  <c r="DT54" i="21"/>
  <c r="DR54" i="21"/>
  <c r="DQ54" i="21"/>
  <c r="DP54" i="21"/>
  <c r="DN54" i="21"/>
  <c r="DM54" i="21"/>
  <c r="DL54" i="21"/>
  <c r="DJ54" i="21"/>
  <c r="DI54" i="21"/>
  <c r="DH54" i="21"/>
  <c r="DF54" i="21"/>
  <c r="DE54" i="21"/>
  <c r="DD54" i="21"/>
  <c r="DB54" i="21"/>
  <c r="DA54" i="21"/>
  <c r="CZ54" i="21"/>
  <c r="CX54" i="21"/>
  <c r="CW54" i="21"/>
  <c r="CV54" i="21"/>
  <c r="CT54" i="21"/>
  <c r="CS54" i="21"/>
  <c r="CR54" i="21"/>
  <c r="ED53" i="21"/>
  <c r="EC53" i="21"/>
  <c r="EB53" i="21"/>
  <c r="DZ53" i="21"/>
  <c r="DY53" i="21"/>
  <c r="DX53" i="21"/>
  <c r="DV53" i="21"/>
  <c r="DU53" i="21"/>
  <c r="DT53" i="21"/>
  <c r="DR53" i="21"/>
  <c r="DQ53" i="21"/>
  <c r="DP53" i="21"/>
  <c r="DN53" i="21"/>
  <c r="DM53" i="21"/>
  <c r="DL53" i="21"/>
  <c r="DJ53" i="21"/>
  <c r="DI53" i="21"/>
  <c r="DH53" i="21"/>
  <c r="DF53" i="21"/>
  <c r="DE53" i="21"/>
  <c r="DD53" i="21"/>
  <c r="DB53" i="21"/>
  <c r="DA53" i="21"/>
  <c r="CZ53" i="21"/>
  <c r="CX53" i="21"/>
  <c r="CW53" i="21"/>
  <c r="CV53" i="21"/>
  <c r="CT53" i="21"/>
  <c r="CS53" i="21"/>
  <c r="CR53" i="21"/>
  <c r="ED52" i="21"/>
  <c r="EC52" i="21"/>
  <c r="EB52" i="21"/>
  <c r="DZ52" i="21"/>
  <c r="DY52" i="21"/>
  <c r="DX52" i="21"/>
  <c r="DV52" i="21"/>
  <c r="DU52" i="21"/>
  <c r="DT52" i="21"/>
  <c r="DR52" i="21"/>
  <c r="DQ52" i="21"/>
  <c r="DP52" i="21"/>
  <c r="DN52" i="21"/>
  <c r="DM52" i="21"/>
  <c r="DL52" i="21"/>
  <c r="DJ52" i="21"/>
  <c r="DI52" i="21"/>
  <c r="DH52" i="21"/>
  <c r="DF52" i="21"/>
  <c r="DE52" i="21"/>
  <c r="DD52" i="21"/>
  <c r="DB52" i="21"/>
  <c r="DA52" i="21"/>
  <c r="CZ52" i="21"/>
  <c r="CX52" i="21"/>
  <c r="CW52" i="21"/>
  <c r="CV52" i="21"/>
  <c r="CT52" i="21"/>
  <c r="CS52" i="21"/>
  <c r="CR52" i="21"/>
  <c r="ED51" i="21"/>
  <c r="EC51" i="21"/>
  <c r="EB51" i="21"/>
  <c r="DZ51" i="21"/>
  <c r="DY51" i="21"/>
  <c r="DX51" i="21"/>
  <c r="DV51" i="21"/>
  <c r="DU51" i="21"/>
  <c r="DT51" i="21"/>
  <c r="DR51" i="21"/>
  <c r="DQ51" i="21"/>
  <c r="DP51" i="21"/>
  <c r="DN51" i="21"/>
  <c r="DM51" i="21"/>
  <c r="DL51" i="21"/>
  <c r="DJ51" i="21"/>
  <c r="DI51" i="21"/>
  <c r="DH51" i="21"/>
  <c r="DF51" i="21"/>
  <c r="DE51" i="21"/>
  <c r="DD51" i="21"/>
  <c r="DB51" i="21"/>
  <c r="DA51" i="21"/>
  <c r="CZ51" i="21"/>
  <c r="CX51" i="21"/>
  <c r="CW51" i="21"/>
  <c r="CV51" i="21"/>
  <c r="CT51" i="21"/>
  <c r="CS51" i="21"/>
  <c r="CR51" i="21"/>
  <c r="ED50" i="21"/>
  <c r="EC50" i="21"/>
  <c r="EB50" i="21"/>
  <c r="DZ50" i="21"/>
  <c r="DY50" i="21"/>
  <c r="DX50" i="21"/>
  <c r="DV50" i="21"/>
  <c r="DU50" i="21"/>
  <c r="DT50" i="21"/>
  <c r="DR50" i="21"/>
  <c r="DQ50" i="21"/>
  <c r="DP50" i="21"/>
  <c r="DN50" i="21"/>
  <c r="DM50" i="21"/>
  <c r="DL50" i="21"/>
  <c r="DJ50" i="21"/>
  <c r="DI50" i="21"/>
  <c r="DH50" i="21"/>
  <c r="DF50" i="21"/>
  <c r="DE50" i="21"/>
  <c r="DD50" i="21"/>
  <c r="DB50" i="21"/>
  <c r="DA50" i="21"/>
  <c r="CZ50" i="21"/>
  <c r="CX50" i="21"/>
  <c r="CW50" i="21"/>
  <c r="CV50" i="21"/>
  <c r="CT50" i="21"/>
  <c r="CS50" i="21"/>
  <c r="CR50" i="21"/>
  <c r="ED49" i="21"/>
  <c r="EC49" i="21"/>
  <c r="EB49" i="21"/>
  <c r="DZ49" i="21"/>
  <c r="DY49" i="21"/>
  <c r="DX49" i="21"/>
  <c r="DV49" i="21"/>
  <c r="DU49" i="21"/>
  <c r="DT49" i="21"/>
  <c r="DR49" i="21"/>
  <c r="DQ49" i="21"/>
  <c r="DP49" i="21"/>
  <c r="DN49" i="21"/>
  <c r="DM49" i="21"/>
  <c r="DL49" i="21"/>
  <c r="DJ49" i="21"/>
  <c r="DI49" i="21"/>
  <c r="DH49" i="21"/>
  <c r="DF49" i="21"/>
  <c r="DE49" i="21"/>
  <c r="DD49" i="21"/>
  <c r="DB49" i="21"/>
  <c r="DA49" i="21"/>
  <c r="CZ49" i="21"/>
  <c r="CX49" i="21"/>
  <c r="CW49" i="21"/>
  <c r="CV49" i="21"/>
  <c r="CT49" i="21"/>
  <c r="CS49" i="21"/>
  <c r="CR49" i="21"/>
  <c r="ED48" i="21"/>
  <c r="EC48" i="21"/>
  <c r="EB48" i="21"/>
  <c r="DZ48" i="21"/>
  <c r="DY48" i="21"/>
  <c r="DX48" i="21"/>
  <c r="DV48" i="21"/>
  <c r="DU48" i="21"/>
  <c r="DT48" i="21"/>
  <c r="DR48" i="21"/>
  <c r="DQ48" i="21"/>
  <c r="DP48" i="21"/>
  <c r="DN48" i="21"/>
  <c r="DM48" i="21"/>
  <c r="DL48" i="21"/>
  <c r="DJ48" i="21"/>
  <c r="DI48" i="21"/>
  <c r="DH48" i="21"/>
  <c r="DF48" i="21"/>
  <c r="DE48" i="21"/>
  <c r="DD48" i="21"/>
  <c r="DB48" i="21"/>
  <c r="DA48" i="21"/>
  <c r="CZ48" i="21"/>
  <c r="CX48" i="21"/>
  <c r="CW48" i="21"/>
  <c r="CV48" i="21"/>
  <c r="CT48" i="21"/>
  <c r="CS48" i="21"/>
  <c r="CR48" i="21"/>
  <c r="ED47" i="21"/>
  <c r="EC47" i="21"/>
  <c r="EB47" i="21"/>
  <c r="DZ47" i="21"/>
  <c r="DY47" i="21"/>
  <c r="DX47" i="21"/>
  <c r="DV47" i="21"/>
  <c r="DU47" i="21"/>
  <c r="DT47" i="21"/>
  <c r="DR47" i="21"/>
  <c r="DQ47" i="21"/>
  <c r="DP47" i="21"/>
  <c r="DN47" i="21"/>
  <c r="DM47" i="21"/>
  <c r="DL47" i="21"/>
  <c r="DJ47" i="21"/>
  <c r="DI47" i="21"/>
  <c r="DH47" i="21"/>
  <c r="DF47" i="21"/>
  <c r="DE47" i="21"/>
  <c r="DD47" i="21"/>
  <c r="DB47" i="21"/>
  <c r="DA47" i="21"/>
  <c r="CZ47" i="21"/>
  <c r="CX47" i="21"/>
  <c r="CW47" i="21"/>
  <c r="CV47" i="21"/>
  <c r="CT47" i="21"/>
  <c r="CS47" i="21"/>
  <c r="CR47" i="21"/>
  <c r="ED46" i="21"/>
  <c r="EC46" i="21"/>
  <c r="EB46" i="21"/>
  <c r="DZ46" i="21"/>
  <c r="DY46" i="21"/>
  <c r="DX46" i="21"/>
  <c r="DV46" i="21"/>
  <c r="DU46" i="21"/>
  <c r="DT46" i="21"/>
  <c r="DR46" i="21"/>
  <c r="DQ46" i="21"/>
  <c r="DP46" i="21"/>
  <c r="DN46" i="21"/>
  <c r="DM46" i="21"/>
  <c r="DL46" i="21"/>
  <c r="DJ46" i="21"/>
  <c r="DI46" i="21"/>
  <c r="DH46" i="21"/>
  <c r="DF46" i="21"/>
  <c r="DE46" i="21"/>
  <c r="DD46" i="21"/>
  <c r="DB46" i="21"/>
  <c r="DA46" i="21"/>
  <c r="CZ46" i="21"/>
  <c r="CX46" i="21"/>
  <c r="CW46" i="21"/>
  <c r="CV46" i="21"/>
  <c r="CT46" i="21"/>
  <c r="CS46" i="21"/>
  <c r="CR46" i="21"/>
  <c r="ED45" i="21"/>
  <c r="EC45" i="21"/>
  <c r="EB45" i="21"/>
  <c r="DZ45" i="21"/>
  <c r="DY45" i="21"/>
  <c r="DX45" i="21"/>
  <c r="DV45" i="21"/>
  <c r="DU45" i="21"/>
  <c r="DT45" i="21"/>
  <c r="DR45" i="21"/>
  <c r="DQ45" i="21"/>
  <c r="DP45" i="21"/>
  <c r="DN45" i="21"/>
  <c r="DM45" i="21"/>
  <c r="DL45" i="21"/>
  <c r="DJ45" i="21"/>
  <c r="DI45" i="21"/>
  <c r="DH45" i="21"/>
  <c r="DF45" i="21"/>
  <c r="DE45" i="21"/>
  <c r="DD45" i="21"/>
  <c r="DB45" i="21"/>
  <c r="DA45" i="21"/>
  <c r="CZ45" i="21"/>
  <c r="CX45" i="21"/>
  <c r="CW45" i="21"/>
  <c r="CV45" i="21"/>
  <c r="CT45" i="21"/>
  <c r="CS45" i="21"/>
  <c r="CR45" i="21"/>
  <c r="ED44" i="21"/>
  <c r="EC44" i="21"/>
  <c r="EB44" i="21"/>
  <c r="DZ44" i="21"/>
  <c r="DY44" i="21"/>
  <c r="DX44" i="21"/>
  <c r="DV44" i="21"/>
  <c r="DU44" i="21"/>
  <c r="DT44" i="21"/>
  <c r="DR44" i="21"/>
  <c r="DQ44" i="21"/>
  <c r="DP44" i="21"/>
  <c r="DN44" i="21"/>
  <c r="DM44" i="21"/>
  <c r="DL44" i="21"/>
  <c r="DJ44" i="21"/>
  <c r="DI44" i="21"/>
  <c r="DH44" i="21"/>
  <c r="DF44" i="21"/>
  <c r="DE44" i="21"/>
  <c r="DD44" i="21"/>
  <c r="DB44" i="21"/>
  <c r="DA44" i="21"/>
  <c r="CZ44" i="21"/>
  <c r="CX44" i="21"/>
  <c r="CW44" i="21"/>
  <c r="CV44" i="21"/>
  <c r="CT44" i="21"/>
  <c r="CS44" i="21"/>
  <c r="CR44" i="21"/>
  <c r="ED43" i="21"/>
  <c r="EC43" i="21"/>
  <c r="EB43" i="21"/>
  <c r="DZ43" i="21"/>
  <c r="DY43" i="21"/>
  <c r="DX43" i="21"/>
  <c r="DV43" i="21"/>
  <c r="DU43" i="21"/>
  <c r="DT43" i="21"/>
  <c r="DR43" i="21"/>
  <c r="DQ43" i="21"/>
  <c r="DP43" i="21"/>
  <c r="DN43" i="21"/>
  <c r="DM43" i="21"/>
  <c r="DL43" i="21"/>
  <c r="DJ43" i="21"/>
  <c r="DI43" i="21"/>
  <c r="DH43" i="21"/>
  <c r="DF43" i="21"/>
  <c r="DE43" i="21"/>
  <c r="DD43" i="21"/>
  <c r="DB43" i="21"/>
  <c r="DA43" i="21"/>
  <c r="CZ43" i="21"/>
  <c r="CX43" i="21"/>
  <c r="CW43" i="21"/>
  <c r="CV43" i="21"/>
  <c r="CT43" i="21"/>
  <c r="CS43" i="21"/>
  <c r="CR43" i="21"/>
  <c r="ED42" i="21"/>
  <c r="EC42" i="21"/>
  <c r="EB42" i="21"/>
  <c r="DZ42" i="21"/>
  <c r="DY42" i="21"/>
  <c r="DX42" i="21"/>
  <c r="DV42" i="21"/>
  <c r="DU42" i="21"/>
  <c r="DT42" i="21"/>
  <c r="DR42" i="21"/>
  <c r="DQ42" i="21"/>
  <c r="DP42" i="21"/>
  <c r="DN42" i="21"/>
  <c r="DM42" i="21"/>
  <c r="DL42" i="21"/>
  <c r="DJ42" i="21"/>
  <c r="DI42" i="21"/>
  <c r="DH42" i="21"/>
  <c r="DF42" i="21"/>
  <c r="DE42" i="21"/>
  <c r="DD42" i="21"/>
  <c r="DB42" i="21"/>
  <c r="DA42" i="21"/>
  <c r="CZ42" i="21"/>
  <c r="CX42" i="21"/>
  <c r="CW42" i="21"/>
  <c r="CV42" i="21"/>
  <c r="CT42" i="21"/>
  <c r="CS42" i="21"/>
  <c r="CR42" i="21"/>
  <c r="ED41" i="21"/>
  <c r="EC41" i="21"/>
  <c r="EB41" i="21"/>
  <c r="DZ41" i="21"/>
  <c r="DY41" i="21"/>
  <c r="DX41" i="21"/>
  <c r="DV41" i="21"/>
  <c r="DU41" i="21"/>
  <c r="DT41" i="21"/>
  <c r="DR41" i="21"/>
  <c r="DQ41" i="21"/>
  <c r="DP41" i="21"/>
  <c r="DN41" i="21"/>
  <c r="DM41" i="21"/>
  <c r="DL41" i="21"/>
  <c r="DJ41" i="21"/>
  <c r="DI41" i="21"/>
  <c r="DH41" i="21"/>
  <c r="DF41" i="21"/>
  <c r="DE41" i="21"/>
  <c r="DD41" i="21"/>
  <c r="DB41" i="21"/>
  <c r="DA41" i="21"/>
  <c r="CZ41" i="21"/>
  <c r="CX41" i="21"/>
  <c r="CW41" i="21"/>
  <c r="CV41" i="21"/>
  <c r="CT41" i="21"/>
  <c r="CS41" i="21"/>
  <c r="CR41" i="21"/>
  <c r="ED40" i="21"/>
  <c r="EC40" i="21"/>
  <c r="EB40" i="21"/>
  <c r="DZ40" i="21"/>
  <c r="DY40" i="21"/>
  <c r="DX40" i="21"/>
  <c r="DV40" i="21"/>
  <c r="DU40" i="21"/>
  <c r="DT40" i="21"/>
  <c r="DR40" i="21"/>
  <c r="DQ40" i="21"/>
  <c r="DP40" i="21"/>
  <c r="DN40" i="21"/>
  <c r="DM40" i="21"/>
  <c r="DL40" i="21"/>
  <c r="DJ40" i="21"/>
  <c r="DI40" i="21"/>
  <c r="DH40" i="21"/>
  <c r="DF40" i="21"/>
  <c r="DE40" i="21"/>
  <c r="DD40" i="21"/>
  <c r="DB40" i="21"/>
  <c r="DA40" i="21"/>
  <c r="CZ40" i="21"/>
  <c r="CX40" i="21"/>
  <c r="CW40" i="21"/>
  <c r="CV40" i="21"/>
  <c r="CT40" i="21"/>
  <c r="CS40" i="21"/>
  <c r="CR40" i="21"/>
  <c r="ED39" i="21"/>
  <c r="EC39" i="21"/>
  <c r="EB39" i="21"/>
  <c r="DZ39" i="21"/>
  <c r="DY39" i="21"/>
  <c r="DX39" i="21"/>
  <c r="DV39" i="21"/>
  <c r="DU39" i="21"/>
  <c r="DT39" i="21"/>
  <c r="DR39" i="21"/>
  <c r="DQ39" i="21"/>
  <c r="DP39" i="21"/>
  <c r="DN39" i="21"/>
  <c r="DM39" i="21"/>
  <c r="DL39" i="21"/>
  <c r="DJ39" i="21"/>
  <c r="DI39" i="21"/>
  <c r="DH39" i="21"/>
  <c r="DF39" i="21"/>
  <c r="DE39" i="21"/>
  <c r="DD39" i="21"/>
  <c r="DB39" i="21"/>
  <c r="DA39" i="21"/>
  <c r="CZ39" i="21"/>
  <c r="CX39" i="21"/>
  <c r="CW39" i="21"/>
  <c r="CV39" i="21"/>
  <c r="CT39" i="21"/>
  <c r="CS39" i="21"/>
  <c r="CR39" i="21"/>
  <c r="ED38" i="21"/>
  <c r="EC38" i="21"/>
  <c r="EB38" i="21"/>
  <c r="DZ38" i="21"/>
  <c r="DY38" i="21"/>
  <c r="DX38" i="21"/>
  <c r="DV38" i="21"/>
  <c r="DU38" i="21"/>
  <c r="DT38" i="21"/>
  <c r="DR38" i="21"/>
  <c r="DQ38" i="21"/>
  <c r="DN38" i="21"/>
  <c r="DM38" i="21"/>
  <c r="DL38" i="21"/>
  <c r="DJ38" i="21"/>
  <c r="DI38" i="21"/>
  <c r="DH38" i="21"/>
  <c r="C30" i="21"/>
  <c r="F101" i="5"/>
  <c r="DF38" i="21"/>
  <c r="DE38" i="21"/>
  <c r="DD38" i="21"/>
  <c r="DB38" i="21"/>
  <c r="DA38" i="21"/>
  <c r="CZ38" i="21"/>
  <c r="CX38" i="21"/>
  <c r="CW38" i="21"/>
  <c r="CV38" i="21"/>
  <c r="CT38" i="21"/>
  <c r="CS38" i="21"/>
  <c r="CR38" i="21"/>
  <c r="W35" i="21"/>
  <c r="S35" i="21"/>
  <c r="O35" i="21"/>
  <c r="B35" i="21"/>
  <c r="W34" i="21"/>
  <c r="S34" i="21"/>
  <c r="O34" i="21"/>
  <c r="B34" i="21"/>
  <c r="W33" i="21"/>
  <c r="S33" i="21"/>
  <c r="O33" i="21"/>
  <c r="B33" i="21"/>
  <c r="A9" i="21"/>
  <c r="AA37" i="21"/>
  <c r="D38" i="21"/>
  <c r="E38" i="21"/>
  <c r="F38" i="21"/>
  <c r="H38" i="21"/>
  <c r="I38" i="21"/>
  <c r="J38" i="21"/>
  <c r="L38" i="21"/>
  <c r="M38" i="21"/>
  <c r="N38" i="21"/>
  <c r="P38" i="21"/>
  <c r="Q38" i="21"/>
  <c r="R38" i="21"/>
  <c r="T38" i="21"/>
  <c r="U38" i="21"/>
  <c r="V38" i="21"/>
  <c r="X38" i="21"/>
  <c r="Y38" i="21"/>
  <c r="Z38" i="21"/>
  <c r="AB38" i="21"/>
  <c r="AC38" i="21"/>
  <c r="AD38" i="21"/>
  <c r="AF38" i="21"/>
  <c r="AG38" i="21"/>
  <c r="AH38" i="21"/>
  <c r="AJ38" i="21"/>
  <c r="AK38" i="21"/>
  <c r="AL38" i="21"/>
  <c r="AN38" i="21"/>
  <c r="AO38" i="21"/>
  <c r="AP38" i="21"/>
  <c r="AR38" i="21"/>
  <c r="AS38" i="21"/>
  <c r="AT38" i="21"/>
  <c r="AV38" i="21"/>
  <c r="AW38" i="21"/>
  <c r="AX38" i="21"/>
  <c r="AZ38" i="21"/>
  <c r="BA38" i="21"/>
  <c r="BB38" i="21"/>
  <c r="BD38" i="21"/>
  <c r="BE38" i="21"/>
  <c r="BF38" i="21"/>
  <c r="BH38" i="21"/>
  <c r="BI38" i="21"/>
  <c r="BJ38" i="21"/>
  <c r="BL38" i="21"/>
  <c r="BM38" i="21"/>
  <c r="BN38" i="21"/>
  <c r="BP38" i="21"/>
  <c r="BQ38" i="21"/>
  <c r="BR38" i="21"/>
  <c r="BT38" i="21"/>
  <c r="BU38" i="21"/>
  <c r="BV38" i="21"/>
  <c r="BX38" i="21"/>
  <c r="BY38" i="21"/>
  <c r="BZ38" i="21"/>
  <c r="CB38" i="21"/>
  <c r="CC38" i="21"/>
  <c r="CD38" i="21"/>
  <c r="CF38" i="21"/>
  <c r="CG38" i="21"/>
  <c r="CH38" i="21"/>
  <c r="CJ38" i="21"/>
  <c r="CK38" i="21"/>
  <c r="CL38" i="21"/>
  <c r="CN38" i="21"/>
  <c r="CO38" i="21"/>
  <c r="CP38" i="21"/>
  <c r="D39" i="21"/>
  <c r="E39" i="21"/>
  <c r="F39" i="21"/>
  <c r="H39" i="21"/>
  <c r="I39" i="21"/>
  <c r="J39" i="21"/>
  <c r="L39" i="21"/>
  <c r="M39" i="21"/>
  <c r="N39" i="21"/>
  <c r="P39" i="21"/>
  <c r="Q39" i="21"/>
  <c r="R39" i="21"/>
  <c r="T39" i="21"/>
  <c r="U39" i="21"/>
  <c r="V39" i="21"/>
  <c r="X39" i="21"/>
  <c r="Y39" i="21"/>
  <c r="Z39" i="21"/>
  <c r="AB39" i="21"/>
  <c r="AC39" i="21"/>
  <c r="AD39" i="21"/>
  <c r="AF39" i="21"/>
  <c r="AG39" i="21"/>
  <c r="AH39" i="21"/>
  <c r="AJ39" i="21"/>
  <c r="AK39" i="21"/>
  <c r="AL39" i="21"/>
  <c r="AN39" i="21"/>
  <c r="AO39" i="21"/>
  <c r="AP39" i="21"/>
  <c r="AR39" i="21"/>
  <c r="AS39" i="21"/>
  <c r="AT39" i="21"/>
  <c r="AV39" i="21"/>
  <c r="AW39" i="21"/>
  <c r="AX39" i="21"/>
  <c r="AZ39" i="21"/>
  <c r="BA39" i="21"/>
  <c r="BB39" i="21"/>
  <c r="BD39" i="21"/>
  <c r="BE39" i="21"/>
  <c r="BF39" i="21"/>
  <c r="BH39" i="21"/>
  <c r="BI39" i="21"/>
  <c r="BJ39" i="21"/>
  <c r="BL39" i="21"/>
  <c r="BM39" i="21"/>
  <c r="BN39" i="21"/>
  <c r="BP39" i="21"/>
  <c r="BQ39" i="21"/>
  <c r="BR39" i="21"/>
  <c r="BT39" i="21"/>
  <c r="BU39" i="21"/>
  <c r="BV39" i="21"/>
  <c r="BX39" i="21"/>
  <c r="BY39" i="21"/>
  <c r="BZ39" i="21"/>
  <c r="CB39" i="21"/>
  <c r="CC39" i="21"/>
  <c r="CD39" i="21"/>
  <c r="CF39" i="21"/>
  <c r="CG39" i="21"/>
  <c r="CH39" i="21"/>
  <c r="CJ39" i="21"/>
  <c r="CK39" i="21"/>
  <c r="CL39" i="21"/>
  <c r="CN39" i="21"/>
  <c r="CO39" i="21"/>
  <c r="CP39" i="21"/>
  <c r="D40" i="21"/>
  <c r="E40" i="21"/>
  <c r="F40" i="21"/>
  <c r="H40" i="21"/>
  <c r="I40" i="21"/>
  <c r="J40" i="21"/>
  <c r="L40" i="21"/>
  <c r="M40" i="21"/>
  <c r="N40" i="21"/>
  <c r="P40" i="21"/>
  <c r="Q40" i="21"/>
  <c r="R40" i="21"/>
  <c r="T40" i="21"/>
  <c r="U40" i="21"/>
  <c r="V40" i="21"/>
  <c r="X40" i="21"/>
  <c r="Y40" i="21"/>
  <c r="Z40" i="21"/>
  <c r="AB40" i="21"/>
  <c r="AC40" i="21"/>
  <c r="AD40" i="21"/>
  <c r="AF40" i="21"/>
  <c r="AG40" i="21"/>
  <c r="AH40" i="21"/>
  <c r="AJ40" i="21"/>
  <c r="AK40" i="21"/>
  <c r="AL40" i="21"/>
  <c r="AN40" i="21"/>
  <c r="AO40" i="21"/>
  <c r="AP40" i="21"/>
  <c r="AR40" i="21"/>
  <c r="AS40" i="21"/>
  <c r="AT40" i="21"/>
  <c r="AV40" i="21"/>
  <c r="AW40" i="21"/>
  <c r="AX40" i="21"/>
  <c r="AZ40" i="21"/>
  <c r="BA40" i="21"/>
  <c r="BB40" i="21"/>
  <c r="BD40" i="21"/>
  <c r="BE40" i="21"/>
  <c r="BF40" i="21"/>
  <c r="BH40" i="21"/>
  <c r="BI40" i="21"/>
  <c r="BJ40" i="21"/>
  <c r="BL40" i="21"/>
  <c r="BM40" i="21"/>
  <c r="BN40" i="21"/>
  <c r="BP40" i="21"/>
  <c r="BQ40" i="21"/>
  <c r="BR40" i="21"/>
  <c r="BT40" i="21"/>
  <c r="BU40" i="21"/>
  <c r="BV40" i="21"/>
  <c r="BX40" i="21"/>
  <c r="BY40" i="21"/>
  <c r="BZ40" i="21"/>
  <c r="CB40" i="21"/>
  <c r="CC40" i="21"/>
  <c r="CD40" i="21"/>
  <c r="CF40" i="21"/>
  <c r="CG40" i="21"/>
  <c r="CH40" i="21"/>
  <c r="CJ40" i="21"/>
  <c r="CK40" i="21"/>
  <c r="CL40" i="21"/>
  <c r="CN40" i="21"/>
  <c r="CO40" i="21"/>
  <c r="CP40" i="21"/>
  <c r="D41" i="21"/>
  <c r="E41" i="21"/>
  <c r="F41" i="21"/>
  <c r="H41" i="21"/>
  <c r="I41" i="21"/>
  <c r="J41" i="21"/>
  <c r="L41" i="21"/>
  <c r="M41" i="21"/>
  <c r="N41" i="21"/>
  <c r="P41" i="21"/>
  <c r="Q41" i="21"/>
  <c r="R41" i="21"/>
  <c r="T41" i="21"/>
  <c r="U41" i="21"/>
  <c r="V41" i="21"/>
  <c r="X41" i="21"/>
  <c r="Y41" i="21"/>
  <c r="Z41" i="21"/>
  <c r="AB41" i="21"/>
  <c r="AC41" i="21"/>
  <c r="AD41" i="21"/>
  <c r="AF41" i="21"/>
  <c r="AG41" i="21"/>
  <c r="AH41" i="21"/>
  <c r="AJ41" i="21"/>
  <c r="AK41" i="21"/>
  <c r="AL41" i="21"/>
  <c r="AN41" i="21"/>
  <c r="AO41" i="21"/>
  <c r="AP41" i="21"/>
  <c r="AR41" i="21"/>
  <c r="AS41" i="21"/>
  <c r="AT41" i="21"/>
  <c r="AV41" i="21"/>
  <c r="AW41" i="21"/>
  <c r="AX41" i="21"/>
  <c r="AZ41" i="21"/>
  <c r="BA41" i="21"/>
  <c r="BB41" i="21"/>
  <c r="BD41" i="21"/>
  <c r="BE41" i="21"/>
  <c r="BF41" i="21"/>
  <c r="BH41" i="21"/>
  <c r="BI41" i="21"/>
  <c r="BJ41" i="21"/>
  <c r="BL41" i="21"/>
  <c r="BM41" i="21"/>
  <c r="BN41" i="21"/>
  <c r="BP41" i="21"/>
  <c r="BQ41" i="21"/>
  <c r="BR41" i="21"/>
  <c r="BT41" i="21"/>
  <c r="BU41" i="21"/>
  <c r="BV41" i="21"/>
  <c r="BX41" i="21"/>
  <c r="BY41" i="21"/>
  <c r="BZ41" i="21"/>
  <c r="CB41" i="21"/>
  <c r="CC41" i="21"/>
  <c r="CD41" i="21"/>
  <c r="CF41" i="21"/>
  <c r="CG41" i="21"/>
  <c r="CH41" i="21"/>
  <c r="CJ41" i="21"/>
  <c r="CK41" i="21"/>
  <c r="CL41" i="21"/>
  <c r="CN41" i="21"/>
  <c r="CO41" i="21"/>
  <c r="CP41" i="21"/>
  <c r="D42" i="21"/>
  <c r="E42" i="21"/>
  <c r="F42" i="21"/>
  <c r="H42" i="21"/>
  <c r="I42" i="21"/>
  <c r="J42" i="21"/>
  <c r="L42" i="21"/>
  <c r="M42" i="21"/>
  <c r="N42" i="21"/>
  <c r="P42" i="21"/>
  <c r="Q42" i="21"/>
  <c r="R42" i="21"/>
  <c r="T42" i="21"/>
  <c r="U42" i="21"/>
  <c r="V42" i="21"/>
  <c r="X42" i="21"/>
  <c r="Y42" i="21"/>
  <c r="Z42" i="21"/>
  <c r="AB42" i="21"/>
  <c r="AC42" i="21"/>
  <c r="AD42" i="21"/>
  <c r="AF42" i="21"/>
  <c r="AG42" i="21"/>
  <c r="AH42" i="21"/>
  <c r="AJ42" i="21"/>
  <c r="AK42" i="21"/>
  <c r="AL42" i="21"/>
  <c r="AN42" i="21"/>
  <c r="AO42" i="21"/>
  <c r="AP42" i="21"/>
  <c r="AR42" i="21"/>
  <c r="AS42" i="21"/>
  <c r="AT42" i="21"/>
  <c r="AV42" i="21"/>
  <c r="AW42" i="21"/>
  <c r="AX42" i="21"/>
  <c r="AZ42" i="21"/>
  <c r="BA42" i="21"/>
  <c r="BB42" i="21"/>
  <c r="BD42" i="21"/>
  <c r="BE42" i="21"/>
  <c r="BF42" i="21"/>
  <c r="BH42" i="21"/>
  <c r="BI42" i="21"/>
  <c r="BJ42" i="21"/>
  <c r="BL42" i="21"/>
  <c r="BM42" i="21"/>
  <c r="BN42" i="21"/>
  <c r="BP42" i="21"/>
  <c r="BQ42" i="21"/>
  <c r="BR42" i="21"/>
  <c r="BT42" i="21"/>
  <c r="BU42" i="21"/>
  <c r="BV42" i="21"/>
  <c r="BX42" i="21"/>
  <c r="BY42" i="21"/>
  <c r="BZ42" i="21"/>
  <c r="CB42" i="21"/>
  <c r="CC42" i="21"/>
  <c r="CD42" i="21"/>
  <c r="CF42" i="21"/>
  <c r="CG42" i="21"/>
  <c r="CH42" i="21"/>
  <c r="CJ42" i="21"/>
  <c r="CK42" i="21"/>
  <c r="CL42" i="21"/>
  <c r="CN42" i="21"/>
  <c r="CO42" i="21"/>
  <c r="CP42" i="21"/>
  <c r="D43" i="21"/>
  <c r="E43" i="21"/>
  <c r="F43" i="21"/>
  <c r="H43" i="21"/>
  <c r="I43" i="21"/>
  <c r="J43" i="21"/>
  <c r="L43" i="21"/>
  <c r="M43" i="21"/>
  <c r="N43" i="21"/>
  <c r="P43" i="21"/>
  <c r="Q43" i="21"/>
  <c r="R43" i="21"/>
  <c r="T43" i="21"/>
  <c r="U43" i="21"/>
  <c r="V43" i="21"/>
  <c r="X43" i="21"/>
  <c r="Y43" i="21"/>
  <c r="Z43" i="21"/>
  <c r="AB43" i="21"/>
  <c r="AC43" i="21"/>
  <c r="AD43" i="21"/>
  <c r="AF43" i="21"/>
  <c r="AG43" i="21"/>
  <c r="AH43" i="21"/>
  <c r="AJ43" i="21"/>
  <c r="AK43" i="21"/>
  <c r="AL43" i="21"/>
  <c r="AN43" i="21"/>
  <c r="AO43" i="21"/>
  <c r="AP43" i="21"/>
  <c r="AR43" i="21"/>
  <c r="AS43" i="21"/>
  <c r="AT43" i="21"/>
  <c r="AV43" i="21"/>
  <c r="AW43" i="21"/>
  <c r="AX43" i="21"/>
  <c r="AZ43" i="21"/>
  <c r="BA43" i="21"/>
  <c r="BB43" i="21"/>
  <c r="BD43" i="21"/>
  <c r="BE43" i="21"/>
  <c r="BF43" i="21"/>
  <c r="BH43" i="21"/>
  <c r="BI43" i="21"/>
  <c r="BJ43" i="21"/>
  <c r="BL43" i="21"/>
  <c r="BM43" i="21"/>
  <c r="BN43" i="21"/>
  <c r="BP43" i="21"/>
  <c r="BQ43" i="21"/>
  <c r="BR43" i="21"/>
  <c r="BT43" i="21"/>
  <c r="BU43" i="21"/>
  <c r="BV43" i="21"/>
  <c r="BX43" i="21"/>
  <c r="BY43" i="21"/>
  <c r="BZ43" i="21"/>
  <c r="CB43" i="21"/>
  <c r="CC43" i="21"/>
  <c r="CD43" i="21"/>
  <c r="CF43" i="21"/>
  <c r="CG43" i="21"/>
  <c r="CH43" i="21"/>
  <c r="CJ43" i="21"/>
  <c r="CK43" i="21"/>
  <c r="CL43" i="21"/>
  <c r="CN43" i="21"/>
  <c r="CO43" i="21"/>
  <c r="CP43" i="21"/>
  <c r="W32" i="21"/>
  <c r="S32" i="21"/>
  <c r="O32" i="21"/>
  <c r="B32" i="21"/>
  <c r="A32" i="21"/>
  <c r="DO37" i="21"/>
  <c r="W31" i="21"/>
  <c r="S31" i="21"/>
  <c r="O31" i="21"/>
  <c r="B31" i="21"/>
  <c r="W30" i="21"/>
  <c r="S30" i="21"/>
  <c r="O30" i="21"/>
  <c r="B30" i="21"/>
  <c r="A30" i="21"/>
  <c r="DG37" i="21"/>
  <c r="W29" i="21"/>
  <c r="S29" i="21"/>
  <c r="O29" i="21"/>
  <c r="B29" i="21"/>
  <c r="A29" i="21"/>
  <c r="DC37" i="21"/>
  <c r="W28" i="21"/>
  <c r="S28" i="21"/>
  <c r="O28" i="21"/>
  <c r="B28" i="21"/>
  <c r="A28" i="21"/>
  <c r="CY37" i="21"/>
  <c r="W27" i="21"/>
  <c r="S27" i="21"/>
  <c r="O27" i="21"/>
  <c r="B27" i="21"/>
  <c r="W26" i="21"/>
  <c r="S26" i="21"/>
  <c r="O26" i="21"/>
  <c r="B26" i="21"/>
  <c r="A26" i="21"/>
  <c r="CQ37" i="21"/>
  <c r="W25" i="21"/>
  <c r="S25" i="21"/>
  <c r="O25" i="21"/>
  <c r="B25" i="21"/>
  <c r="A25" i="21"/>
  <c r="CM37" i="21"/>
  <c r="W24" i="21"/>
  <c r="S24" i="21"/>
  <c r="O24" i="21"/>
  <c r="B24" i="21"/>
  <c r="A24" i="21"/>
  <c r="CI37" i="21"/>
  <c r="W23" i="21"/>
  <c r="S23" i="21"/>
  <c r="O23" i="21"/>
  <c r="B23" i="21"/>
  <c r="A23" i="21"/>
  <c r="CE37" i="21"/>
  <c r="W22" i="21"/>
  <c r="S22" i="21"/>
  <c r="O22" i="21"/>
  <c r="B22" i="21"/>
  <c r="A22" i="21"/>
  <c r="CA37" i="21"/>
  <c r="W21" i="21"/>
  <c r="S21" i="21"/>
  <c r="O21" i="21"/>
  <c r="B21" i="21"/>
  <c r="A21" i="21"/>
  <c r="BW37" i="21"/>
  <c r="W20" i="21"/>
  <c r="S20" i="21"/>
  <c r="O20" i="21"/>
  <c r="B20" i="21"/>
  <c r="A20" i="21"/>
  <c r="BS37" i="21"/>
  <c r="W19" i="21"/>
  <c r="S19" i="21"/>
  <c r="O19" i="21"/>
  <c r="B19" i="21"/>
  <c r="A19" i="21"/>
  <c r="BO37" i="21"/>
  <c r="W18" i="21"/>
  <c r="S18" i="21"/>
  <c r="O18" i="21"/>
  <c r="B18" i="21"/>
  <c r="A18" i="21"/>
  <c r="BK37" i="21"/>
  <c r="CP96" i="21"/>
  <c r="CO96" i="21"/>
  <c r="CN96" i="21"/>
  <c r="CL96" i="21"/>
  <c r="CK96" i="21"/>
  <c r="CJ96" i="21"/>
  <c r="CH96" i="21"/>
  <c r="CG96" i="21"/>
  <c r="CF96" i="21"/>
  <c r="CD96" i="21"/>
  <c r="CC96" i="21"/>
  <c r="CB96" i="21"/>
  <c r="BZ96" i="21"/>
  <c r="BY96" i="21"/>
  <c r="BX96" i="21"/>
  <c r="BV96" i="21"/>
  <c r="BU96" i="21"/>
  <c r="BT96" i="21"/>
  <c r="BR96" i="21"/>
  <c r="BQ96" i="21"/>
  <c r="BP96" i="21"/>
  <c r="BN96" i="21"/>
  <c r="BM96" i="21"/>
  <c r="BL96" i="21"/>
  <c r="CP95" i="21"/>
  <c r="CO95" i="21"/>
  <c r="CN95" i="21"/>
  <c r="CL95" i="21"/>
  <c r="CK95" i="21"/>
  <c r="CJ95" i="21"/>
  <c r="CH95" i="21"/>
  <c r="CG95" i="21"/>
  <c r="CF95" i="21"/>
  <c r="CD95" i="21"/>
  <c r="CC95" i="21"/>
  <c r="CB95" i="21"/>
  <c r="BZ95" i="21"/>
  <c r="BY95" i="21"/>
  <c r="BX95" i="21"/>
  <c r="BV95" i="21"/>
  <c r="BU95" i="21"/>
  <c r="BT95" i="21"/>
  <c r="BR95" i="21"/>
  <c r="BQ95" i="21"/>
  <c r="BP95" i="21"/>
  <c r="BN95" i="21"/>
  <c r="BM95" i="21"/>
  <c r="BL95" i="21"/>
  <c r="CP94" i="21"/>
  <c r="CO94" i="21"/>
  <c r="CN94" i="21"/>
  <c r="CL94" i="21"/>
  <c r="CK94" i="21"/>
  <c r="CJ94" i="21"/>
  <c r="CH94" i="21"/>
  <c r="CG94" i="21"/>
  <c r="CF94" i="21"/>
  <c r="CD94" i="21"/>
  <c r="CC94" i="21"/>
  <c r="CB94" i="21"/>
  <c r="BZ94" i="21"/>
  <c r="BY94" i="21"/>
  <c r="BX94" i="21"/>
  <c r="BV94" i="21"/>
  <c r="BU94" i="21"/>
  <c r="BT94" i="21"/>
  <c r="BR94" i="21"/>
  <c r="BQ94" i="21"/>
  <c r="BP94" i="21"/>
  <c r="BN94" i="21"/>
  <c r="BM94" i="21"/>
  <c r="BL94" i="21"/>
  <c r="CP93" i="21"/>
  <c r="CO93" i="21"/>
  <c r="CN93" i="21"/>
  <c r="CL93" i="21"/>
  <c r="CK93" i="21"/>
  <c r="CJ93" i="21"/>
  <c r="CH93" i="21"/>
  <c r="CG93" i="21"/>
  <c r="CF93" i="21"/>
  <c r="CD93" i="21"/>
  <c r="CC93" i="21"/>
  <c r="CB93" i="21"/>
  <c r="BZ93" i="21"/>
  <c r="BY93" i="21"/>
  <c r="BX93" i="21"/>
  <c r="BV93" i="21"/>
  <c r="BU93" i="21"/>
  <c r="BT93" i="21"/>
  <c r="BR93" i="21"/>
  <c r="BQ93" i="21"/>
  <c r="BP93" i="21"/>
  <c r="BN93" i="21"/>
  <c r="BM93" i="21"/>
  <c r="BL93" i="21"/>
  <c r="CP92" i="21"/>
  <c r="CO92" i="21"/>
  <c r="CN92" i="21"/>
  <c r="CL92" i="21"/>
  <c r="CK92" i="21"/>
  <c r="CJ92" i="21"/>
  <c r="CH92" i="21"/>
  <c r="CG92" i="21"/>
  <c r="CF92" i="21"/>
  <c r="CD92" i="21"/>
  <c r="CC92" i="21"/>
  <c r="CB92" i="21"/>
  <c r="BZ92" i="21"/>
  <c r="BY92" i="21"/>
  <c r="BX92" i="21"/>
  <c r="BV92" i="21"/>
  <c r="BU92" i="21"/>
  <c r="BT92" i="21"/>
  <c r="BR92" i="21"/>
  <c r="BQ92" i="21"/>
  <c r="BP92" i="21"/>
  <c r="BN92" i="21"/>
  <c r="BM92" i="21"/>
  <c r="BL92" i="21"/>
  <c r="CP91" i="21"/>
  <c r="CO91" i="21"/>
  <c r="CN91" i="21"/>
  <c r="CL91" i="21"/>
  <c r="CK91" i="21"/>
  <c r="CJ91" i="21"/>
  <c r="CH91" i="21"/>
  <c r="CG91" i="21"/>
  <c r="CF91" i="21"/>
  <c r="CD91" i="21"/>
  <c r="CC91" i="21"/>
  <c r="CB91" i="21"/>
  <c r="BZ91" i="21"/>
  <c r="BY91" i="21"/>
  <c r="BX91" i="21"/>
  <c r="BV91" i="21"/>
  <c r="BU91" i="21"/>
  <c r="BT91" i="21"/>
  <c r="BR91" i="21"/>
  <c r="BQ91" i="21"/>
  <c r="BP91" i="21"/>
  <c r="BN91" i="21"/>
  <c r="BM91" i="21"/>
  <c r="BL91" i="21"/>
  <c r="CP90" i="21"/>
  <c r="CO90" i="21"/>
  <c r="CN90" i="21"/>
  <c r="CL90" i="21"/>
  <c r="CK90" i="21"/>
  <c r="CJ90" i="21"/>
  <c r="CH90" i="21"/>
  <c r="CG90" i="21"/>
  <c r="CF90" i="21"/>
  <c r="CD90" i="21"/>
  <c r="CC90" i="21"/>
  <c r="CB90" i="21"/>
  <c r="BZ90" i="21"/>
  <c r="BY90" i="21"/>
  <c r="BX90" i="21"/>
  <c r="BV90" i="21"/>
  <c r="BU90" i="21"/>
  <c r="BT90" i="21"/>
  <c r="BR90" i="21"/>
  <c r="BQ90" i="21"/>
  <c r="BP90" i="21"/>
  <c r="BN90" i="21"/>
  <c r="BM90" i="21"/>
  <c r="BL90" i="21"/>
  <c r="CP89" i="21"/>
  <c r="CO89" i="21"/>
  <c r="CN89" i="21"/>
  <c r="CL89" i="21"/>
  <c r="CK89" i="21"/>
  <c r="CJ89" i="21"/>
  <c r="CH89" i="21"/>
  <c r="CG89" i="21"/>
  <c r="CF89" i="21"/>
  <c r="CD89" i="21"/>
  <c r="CC89" i="21"/>
  <c r="CB89" i="21"/>
  <c r="BZ89" i="21"/>
  <c r="BY89" i="21"/>
  <c r="BX89" i="21"/>
  <c r="BV89" i="21"/>
  <c r="BU89" i="21"/>
  <c r="BT89" i="21"/>
  <c r="BR89" i="21"/>
  <c r="BQ89" i="21"/>
  <c r="BP89" i="21"/>
  <c r="BN89" i="21"/>
  <c r="BM89" i="21"/>
  <c r="BL89" i="21"/>
  <c r="CP88" i="21"/>
  <c r="CO88" i="21"/>
  <c r="CN88" i="21"/>
  <c r="CL88" i="21"/>
  <c r="CK88" i="21"/>
  <c r="CJ88" i="21"/>
  <c r="CH88" i="21"/>
  <c r="CG88" i="21"/>
  <c r="CF88" i="21"/>
  <c r="CD88" i="21"/>
  <c r="CC88" i="21"/>
  <c r="CB88" i="21"/>
  <c r="BZ88" i="21"/>
  <c r="BY88" i="21"/>
  <c r="BX88" i="21"/>
  <c r="BV88" i="21"/>
  <c r="BU88" i="21"/>
  <c r="BT88" i="21"/>
  <c r="BR88" i="21"/>
  <c r="BQ88" i="21"/>
  <c r="BP88" i="21"/>
  <c r="BN88" i="21"/>
  <c r="BM88" i="21"/>
  <c r="BL88" i="21"/>
  <c r="CP87" i="21"/>
  <c r="CO87" i="21"/>
  <c r="CN87" i="21"/>
  <c r="CL87" i="21"/>
  <c r="CK87" i="21"/>
  <c r="CJ87" i="21"/>
  <c r="CH87" i="21"/>
  <c r="CG87" i="21"/>
  <c r="CF87" i="21"/>
  <c r="CD87" i="21"/>
  <c r="CC87" i="21"/>
  <c r="CB87" i="21"/>
  <c r="BZ87" i="21"/>
  <c r="BY87" i="21"/>
  <c r="BX87" i="21"/>
  <c r="BV87" i="21"/>
  <c r="BU87" i="21"/>
  <c r="BT87" i="21"/>
  <c r="BR87" i="21"/>
  <c r="BQ87" i="21"/>
  <c r="BP87" i="21"/>
  <c r="BN87" i="21"/>
  <c r="BM87" i="21"/>
  <c r="BL87" i="21"/>
  <c r="CP86" i="21"/>
  <c r="CO86" i="21"/>
  <c r="CN86" i="21"/>
  <c r="CL86" i="21"/>
  <c r="CK86" i="21"/>
  <c r="CJ86" i="21"/>
  <c r="CH86" i="21"/>
  <c r="CG86" i="21"/>
  <c r="CF86" i="21"/>
  <c r="CD86" i="21"/>
  <c r="CC86" i="21"/>
  <c r="CB86" i="21"/>
  <c r="BZ86" i="21"/>
  <c r="BY86" i="21"/>
  <c r="BX86" i="21"/>
  <c r="BV86" i="21"/>
  <c r="BU86" i="21"/>
  <c r="BT86" i="21"/>
  <c r="BR86" i="21"/>
  <c r="BQ86" i="21"/>
  <c r="BP86" i="21"/>
  <c r="BN86" i="21"/>
  <c r="BM86" i="21"/>
  <c r="BL86" i="21"/>
  <c r="CP85" i="21"/>
  <c r="CO85" i="21"/>
  <c r="CN85" i="21"/>
  <c r="CL85" i="21"/>
  <c r="CK85" i="21"/>
  <c r="CJ85" i="21"/>
  <c r="CH85" i="21"/>
  <c r="CG85" i="21"/>
  <c r="CF85" i="21"/>
  <c r="CD85" i="21"/>
  <c r="CC85" i="21"/>
  <c r="CB85" i="21"/>
  <c r="BZ85" i="21"/>
  <c r="BY85" i="21"/>
  <c r="BX85" i="21"/>
  <c r="BV85" i="21"/>
  <c r="BU85" i="21"/>
  <c r="BT85" i="21"/>
  <c r="BR85" i="21"/>
  <c r="BQ85" i="21"/>
  <c r="BP85" i="21"/>
  <c r="BN85" i="21"/>
  <c r="BM85" i="21"/>
  <c r="BL85" i="21"/>
  <c r="CP84" i="21"/>
  <c r="CO84" i="21"/>
  <c r="CN84" i="21"/>
  <c r="CL84" i="21"/>
  <c r="CK84" i="21"/>
  <c r="CJ84" i="21"/>
  <c r="CH84" i="21"/>
  <c r="CG84" i="21"/>
  <c r="CF84" i="21"/>
  <c r="CD84" i="21"/>
  <c r="CC84" i="21"/>
  <c r="CB84" i="21"/>
  <c r="BZ84" i="21"/>
  <c r="BY84" i="21"/>
  <c r="BX84" i="21"/>
  <c r="BV84" i="21"/>
  <c r="BU84" i="21"/>
  <c r="BT84" i="21"/>
  <c r="BR84" i="21"/>
  <c r="BQ84" i="21"/>
  <c r="BP84" i="21"/>
  <c r="BN84" i="21"/>
  <c r="BM84" i="21"/>
  <c r="BL84" i="21"/>
  <c r="CP83" i="21"/>
  <c r="CO83" i="21"/>
  <c r="CN83" i="21"/>
  <c r="CL83" i="21"/>
  <c r="CK83" i="21"/>
  <c r="CJ83" i="21"/>
  <c r="CH83" i="21"/>
  <c r="CG83" i="21"/>
  <c r="CF83" i="21"/>
  <c r="CD83" i="21"/>
  <c r="CC83" i="21"/>
  <c r="CB83" i="21"/>
  <c r="BZ83" i="21"/>
  <c r="BY83" i="21"/>
  <c r="BX83" i="21"/>
  <c r="BV83" i="21"/>
  <c r="BU83" i="21"/>
  <c r="BT83" i="21"/>
  <c r="BR83" i="21"/>
  <c r="BQ83" i="21"/>
  <c r="BP83" i="21"/>
  <c r="BN83" i="21"/>
  <c r="BM83" i="21"/>
  <c r="BL83" i="21"/>
  <c r="CP82" i="21"/>
  <c r="CO82" i="21"/>
  <c r="CN82" i="21"/>
  <c r="CL82" i="21"/>
  <c r="CK82" i="21"/>
  <c r="CJ82" i="21"/>
  <c r="CH82" i="21"/>
  <c r="CG82" i="21"/>
  <c r="CF82" i="21"/>
  <c r="CD82" i="21"/>
  <c r="CC82" i="21"/>
  <c r="CB82" i="21"/>
  <c r="BZ82" i="21"/>
  <c r="BY82" i="21"/>
  <c r="BX82" i="21"/>
  <c r="BV82" i="21"/>
  <c r="BU82" i="21"/>
  <c r="BT82" i="21"/>
  <c r="BR82" i="21"/>
  <c r="BQ82" i="21"/>
  <c r="BP82" i="21"/>
  <c r="BN82" i="21"/>
  <c r="BM82" i="21"/>
  <c r="BL82" i="21"/>
  <c r="CP81" i="21"/>
  <c r="CO81" i="21"/>
  <c r="CN81" i="21"/>
  <c r="CL81" i="21"/>
  <c r="CK81" i="21"/>
  <c r="CJ81" i="21"/>
  <c r="CH81" i="21"/>
  <c r="CG81" i="21"/>
  <c r="CF81" i="21"/>
  <c r="CD81" i="21"/>
  <c r="CC81" i="21"/>
  <c r="CB81" i="21"/>
  <c r="BZ81" i="21"/>
  <c r="BY81" i="21"/>
  <c r="BX81" i="21"/>
  <c r="BV81" i="21"/>
  <c r="BU81" i="21"/>
  <c r="BT81" i="21"/>
  <c r="BR81" i="21"/>
  <c r="BQ81" i="21"/>
  <c r="BP81" i="21"/>
  <c r="BN81" i="21"/>
  <c r="BM81" i="21"/>
  <c r="BL81" i="21"/>
  <c r="CP80" i="21"/>
  <c r="CO80" i="21"/>
  <c r="CN80" i="21"/>
  <c r="CL80" i="21"/>
  <c r="CK80" i="21"/>
  <c r="CJ80" i="21"/>
  <c r="CH80" i="21"/>
  <c r="CG80" i="21"/>
  <c r="CF80" i="21"/>
  <c r="CD80" i="21"/>
  <c r="CC80" i="21"/>
  <c r="CB80" i="21"/>
  <c r="BZ80" i="21"/>
  <c r="BY80" i="21"/>
  <c r="BX80" i="21"/>
  <c r="BV80" i="21"/>
  <c r="BU80" i="21"/>
  <c r="BT80" i="21"/>
  <c r="BR80" i="21"/>
  <c r="BQ80" i="21"/>
  <c r="BP80" i="21"/>
  <c r="BN80" i="21"/>
  <c r="BM80" i="21"/>
  <c r="BL80" i="21"/>
  <c r="CP79" i="21"/>
  <c r="CO79" i="21"/>
  <c r="CN79" i="21"/>
  <c r="CL79" i="21"/>
  <c r="CK79" i="21"/>
  <c r="CJ79" i="21"/>
  <c r="CH79" i="21"/>
  <c r="CG79" i="21"/>
  <c r="CF79" i="21"/>
  <c r="CD79" i="21"/>
  <c r="CC79" i="21"/>
  <c r="CB79" i="21"/>
  <c r="BZ79" i="21"/>
  <c r="BY79" i="21"/>
  <c r="BX79" i="21"/>
  <c r="BV79" i="21"/>
  <c r="BU79" i="21"/>
  <c r="BT79" i="21"/>
  <c r="BR79" i="21"/>
  <c r="BQ79" i="21"/>
  <c r="BP79" i="21"/>
  <c r="BN79" i="21"/>
  <c r="BM79" i="21"/>
  <c r="BL79" i="21"/>
  <c r="CP78" i="21"/>
  <c r="CO78" i="21"/>
  <c r="CN78" i="21"/>
  <c r="CL78" i="21"/>
  <c r="CK78" i="21"/>
  <c r="CJ78" i="21"/>
  <c r="CH78" i="21"/>
  <c r="CG78" i="21"/>
  <c r="CF78" i="21"/>
  <c r="CD78" i="21"/>
  <c r="CC78" i="21"/>
  <c r="CB78" i="21"/>
  <c r="BZ78" i="21"/>
  <c r="BY78" i="21"/>
  <c r="BX78" i="21"/>
  <c r="BV78" i="21"/>
  <c r="BU78" i="21"/>
  <c r="BT78" i="21"/>
  <c r="BR78" i="21"/>
  <c r="BQ78" i="21"/>
  <c r="BP78" i="21"/>
  <c r="BN78" i="21"/>
  <c r="BM78" i="21"/>
  <c r="BL78" i="21"/>
  <c r="CP77" i="21"/>
  <c r="CO77" i="21"/>
  <c r="CN77" i="21"/>
  <c r="CL77" i="21"/>
  <c r="CK77" i="21"/>
  <c r="CJ77" i="21"/>
  <c r="CH77" i="21"/>
  <c r="CG77" i="21"/>
  <c r="CF77" i="21"/>
  <c r="CD77" i="21"/>
  <c r="CC77" i="21"/>
  <c r="CB77" i="21"/>
  <c r="BZ77" i="21"/>
  <c r="BY77" i="21"/>
  <c r="BX77" i="21"/>
  <c r="BV77" i="21"/>
  <c r="BU77" i="21"/>
  <c r="BT77" i="21"/>
  <c r="BR77" i="21"/>
  <c r="BQ77" i="21"/>
  <c r="BP77" i="21"/>
  <c r="BN77" i="21"/>
  <c r="BM77" i="21"/>
  <c r="BL77" i="21"/>
  <c r="CP76" i="21"/>
  <c r="CO76" i="21"/>
  <c r="CN76" i="21"/>
  <c r="CL76" i="21"/>
  <c r="CK76" i="21"/>
  <c r="CJ76" i="21"/>
  <c r="CH76" i="21"/>
  <c r="CG76" i="21"/>
  <c r="CF76" i="21"/>
  <c r="CD76" i="21"/>
  <c r="CC76" i="21"/>
  <c r="CB76" i="21"/>
  <c r="BZ76" i="21"/>
  <c r="BY76" i="21"/>
  <c r="BX76" i="21"/>
  <c r="BV76" i="21"/>
  <c r="BU76" i="21"/>
  <c r="BT76" i="21"/>
  <c r="BR76" i="21"/>
  <c r="BQ76" i="21"/>
  <c r="BP76" i="21"/>
  <c r="BN76" i="21"/>
  <c r="BM76" i="21"/>
  <c r="BL76" i="21"/>
  <c r="CP75" i="21"/>
  <c r="CO75" i="21"/>
  <c r="CN75" i="21"/>
  <c r="CL75" i="21"/>
  <c r="CK75" i="21"/>
  <c r="CJ75" i="21"/>
  <c r="CH75" i="21"/>
  <c r="CG75" i="21"/>
  <c r="CF75" i="21"/>
  <c r="CD75" i="21"/>
  <c r="CC75" i="21"/>
  <c r="CB75" i="21"/>
  <c r="BZ75" i="21"/>
  <c r="BY75" i="21"/>
  <c r="BX75" i="21"/>
  <c r="BV75" i="21"/>
  <c r="BU75" i="21"/>
  <c r="BT75" i="21"/>
  <c r="BR75" i="21"/>
  <c r="BQ75" i="21"/>
  <c r="BP75" i="21"/>
  <c r="BN75" i="21"/>
  <c r="BM75" i="21"/>
  <c r="BL75" i="21"/>
  <c r="CP74" i="21"/>
  <c r="CO74" i="21"/>
  <c r="CN74" i="21"/>
  <c r="CL74" i="21"/>
  <c r="CK74" i="21"/>
  <c r="CJ74" i="21"/>
  <c r="CH74" i="21"/>
  <c r="CG74" i="21"/>
  <c r="CF74" i="21"/>
  <c r="CD74" i="21"/>
  <c r="CC74" i="21"/>
  <c r="CB74" i="21"/>
  <c r="BZ74" i="21"/>
  <c r="BY74" i="21"/>
  <c r="BX74" i="21"/>
  <c r="BV74" i="21"/>
  <c r="BU74" i="21"/>
  <c r="BT74" i="21"/>
  <c r="BR74" i="21"/>
  <c r="BQ74" i="21"/>
  <c r="BP74" i="21"/>
  <c r="BN74" i="21"/>
  <c r="BM74" i="21"/>
  <c r="BL74" i="21"/>
  <c r="CP73" i="21"/>
  <c r="CO73" i="21"/>
  <c r="CN73" i="21"/>
  <c r="CL73" i="21"/>
  <c r="CK73" i="21"/>
  <c r="CJ73" i="21"/>
  <c r="CH73" i="21"/>
  <c r="CG73" i="21"/>
  <c r="CF73" i="21"/>
  <c r="CD73" i="21"/>
  <c r="CC73" i="21"/>
  <c r="CB73" i="21"/>
  <c r="BZ73" i="21"/>
  <c r="BY73" i="21"/>
  <c r="BX73" i="21"/>
  <c r="BV73" i="21"/>
  <c r="BU73" i="21"/>
  <c r="BT73" i="21"/>
  <c r="BR73" i="21"/>
  <c r="BQ73" i="21"/>
  <c r="BP73" i="21"/>
  <c r="BN73" i="21"/>
  <c r="BM73" i="21"/>
  <c r="BL73" i="21"/>
  <c r="CP72" i="21"/>
  <c r="CO72" i="21"/>
  <c r="CN72" i="21"/>
  <c r="CL72" i="21"/>
  <c r="CK72" i="21"/>
  <c r="CJ72" i="21"/>
  <c r="CH72" i="21"/>
  <c r="CG72" i="21"/>
  <c r="CF72" i="21"/>
  <c r="CD72" i="21"/>
  <c r="CC72" i="21"/>
  <c r="CB72" i="21"/>
  <c r="BZ72" i="21"/>
  <c r="BY72" i="21"/>
  <c r="BX72" i="21"/>
  <c r="BV72" i="21"/>
  <c r="BU72" i="21"/>
  <c r="BT72" i="21"/>
  <c r="BR72" i="21"/>
  <c r="BQ72" i="21"/>
  <c r="BP72" i="21"/>
  <c r="BN72" i="21"/>
  <c r="BM72" i="21"/>
  <c r="BL72" i="21"/>
  <c r="CP71" i="21"/>
  <c r="CO71" i="21"/>
  <c r="CN71" i="21"/>
  <c r="CL71" i="21"/>
  <c r="CK71" i="21"/>
  <c r="CJ71" i="21"/>
  <c r="CH71" i="21"/>
  <c r="CG71" i="21"/>
  <c r="CF71" i="21"/>
  <c r="CD71" i="21"/>
  <c r="CC71" i="21"/>
  <c r="CB71" i="21"/>
  <c r="BZ71" i="21"/>
  <c r="BY71" i="21"/>
  <c r="BX71" i="21"/>
  <c r="BV71" i="21"/>
  <c r="BU71" i="21"/>
  <c r="BT71" i="21"/>
  <c r="BR71" i="21"/>
  <c r="BQ71" i="21"/>
  <c r="BP71" i="21"/>
  <c r="BN71" i="21"/>
  <c r="BM71" i="21"/>
  <c r="BL71" i="21"/>
  <c r="CP70" i="21"/>
  <c r="CO70" i="21"/>
  <c r="CN70" i="21"/>
  <c r="CL70" i="21"/>
  <c r="CK70" i="21"/>
  <c r="CJ70" i="21"/>
  <c r="CH70" i="21"/>
  <c r="CG70" i="21"/>
  <c r="CF70" i="21"/>
  <c r="CD70" i="21"/>
  <c r="CC70" i="21"/>
  <c r="CB70" i="21"/>
  <c r="BZ70" i="21"/>
  <c r="BY70" i="21"/>
  <c r="BX70" i="21"/>
  <c r="BV70" i="21"/>
  <c r="BU70" i="21"/>
  <c r="BT70" i="21"/>
  <c r="BR70" i="21"/>
  <c r="BQ70" i="21"/>
  <c r="BP70" i="21"/>
  <c r="BN70" i="21"/>
  <c r="BM70" i="21"/>
  <c r="BL70" i="21"/>
  <c r="CP69" i="21"/>
  <c r="CO69" i="21"/>
  <c r="CN69" i="21"/>
  <c r="CL69" i="21"/>
  <c r="CK69" i="21"/>
  <c r="CJ69" i="21"/>
  <c r="CH69" i="21"/>
  <c r="CG69" i="21"/>
  <c r="CF69" i="21"/>
  <c r="CD69" i="21"/>
  <c r="CC69" i="21"/>
  <c r="CB69" i="21"/>
  <c r="BZ69" i="21"/>
  <c r="BY69" i="21"/>
  <c r="BX69" i="21"/>
  <c r="BV69" i="21"/>
  <c r="BU69" i="21"/>
  <c r="BT69" i="21"/>
  <c r="BR69" i="21"/>
  <c r="BQ69" i="21"/>
  <c r="BP69" i="21"/>
  <c r="BN69" i="21"/>
  <c r="BM69" i="21"/>
  <c r="BL69" i="21"/>
  <c r="CP68" i="21"/>
  <c r="CO68" i="21"/>
  <c r="CN68" i="21"/>
  <c r="CL68" i="21"/>
  <c r="CK68" i="21"/>
  <c r="CJ68" i="21"/>
  <c r="CH68" i="21"/>
  <c r="CG68" i="21"/>
  <c r="CF68" i="21"/>
  <c r="CD68" i="21"/>
  <c r="CC68" i="21"/>
  <c r="CB68" i="21"/>
  <c r="BZ68" i="21"/>
  <c r="BY68" i="21"/>
  <c r="BX68" i="21"/>
  <c r="BV68" i="21"/>
  <c r="BU68" i="21"/>
  <c r="BT68" i="21"/>
  <c r="BR68" i="21"/>
  <c r="BQ68" i="21"/>
  <c r="BP68" i="21"/>
  <c r="BN68" i="21"/>
  <c r="BM68" i="21"/>
  <c r="BL68" i="21"/>
  <c r="CP67" i="21"/>
  <c r="CO67" i="21"/>
  <c r="CN67" i="21"/>
  <c r="CL67" i="21"/>
  <c r="CK67" i="21"/>
  <c r="CJ67" i="21"/>
  <c r="CH67" i="21"/>
  <c r="CG67" i="21"/>
  <c r="CF67" i="21"/>
  <c r="CD67" i="21"/>
  <c r="CC67" i="21"/>
  <c r="CB67" i="21"/>
  <c r="BZ67" i="21"/>
  <c r="BY67" i="21"/>
  <c r="BX67" i="21"/>
  <c r="BV67" i="21"/>
  <c r="BU67" i="21"/>
  <c r="BT67" i="21"/>
  <c r="BR67" i="21"/>
  <c r="BQ67" i="21"/>
  <c r="BP67" i="21"/>
  <c r="BN67" i="21"/>
  <c r="BM67" i="21"/>
  <c r="BL67" i="21"/>
  <c r="CP66" i="21"/>
  <c r="CO66" i="21"/>
  <c r="CN66" i="21"/>
  <c r="CL66" i="21"/>
  <c r="CK66" i="21"/>
  <c r="CJ66" i="21"/>
  <c r="CH66" i="21"/>
  <c r="CG66" i="21"/>
  <c r="CF66" i="21"/>
  <c r="CD66" i="21"/>
  <c r="CC66" i="21"/>
  <c r="CB66" i="21"/>
  <c r="BZ66" i="21"/>
  <c r="BY66" i="21"/>
  <c r="BX66" i="21"/>
  <c r="BV66" i="21"/>
  <c r="BU66" i="21"/>
  <c r="BT66" i="21"/>
  <c r="BR66" i="21"/>
  <c r="BQ66" i="21"/>
  <c r="BP66" i="21"/>
  <c r="BN66" i="21"/>
  <c r="BM66" i="21"/>
  <c r="BL66" i="21"/>
  <c r="CP65" i="21"/>
  <c r="CO65" i="21"/>
  <c r="CN65" i="21"/>
  <c r="CL65" i="21"/>
  <c r="CK65" i="21"/>
  <c r="CJ65" i="21"/>
  <c r="CH65" i="21"/>
  <c r="CG65" i="21"/>
  <c r="CF65" i="21"/>
  <c r="CD65" i="21"/>
  <c r="CC65" i="21"/>
  <c r="CB65" i="21"/>
  <c r="BZ65" i="21"/>
  <c r="BY65" i="21"/>
  <c r="BX65" i="21"/>
  <c r="BV65" i="21"/>
  <c r="BU65" i="21"/>
  <c r="BT65" i="21"/>
  <c r="BR65" i="21"/>
  <c r="BQ65" i="21"/>
  <c r="BP65" i="21"/>
  <c r="BN65" i="21"/>
  <c r="BM65" i="21"/>
  <c r="BL65" i="21"/>
  <c r="CP64" i="21"/>
  <c r="CO64" i="21"/>
  <c r="CN64" i="21"/>
  <c r="CL64" i="21"/>
  <c r="CK64" i="21"/>
  <c r="CJ64" i="21"/>
  <c r="CH64" i="21"/>
  <c r="CG64" i="21"/>
  <c r="CF64" i="21"/>
  <c r="CD64" i="21"/>
  <c r="CC64" i="21"/>
  <c r="CB64" i="21"/>
  <c r="BZ64" i="21"/>
  <c r="BY64" i="21"/>
  <c r="BX64" i="21"/>
  <c r="BV64" i="21"/>
  <c r="BU64" i="21"/>
  <c r="BT64" i="21"/>
  <c r="BR64" i="21"/>
  <c r="BQ64" i="21"/>
  <c r="BP64" i="21"/>
  <c r="BN64" i="21"/>
  <c r="BM64" i="21"/>
  <c r="BL64" i="21"/>
  <c r="CP63" i="21"/>
  <c r="CO63" i="21"/>
  <c r="CN63" i="21"/>
  <c r="CL63" i="21"/>
  <c r="CK63" i="21"/>
  <c r="CJ63" i="21"/>
  <c r="CH63" i="21"/>
  <c r="CG63" i="21"/>
  <c r="CF63" i="21"/>
  <c r="CD63" i="21"/>
  <c r="CC63" i="21"/>
  <c r="CB63" i="21"/>
  <c r="BZ63" i="21"/>
  <c r="BY63" i="21"/>
  <c r="BX63" i="21"/>
  <c r="BV63" i="21"/>
  <c r="BU63" i="21"/>
  <c r="BT63" i="21"/>
  <c r="BR63" i="21"/>
  <c r="BQ63" i="21"/>
  <c r="BP63" i="21"/>
  <c r="BN63" i="21"/>
  <c r="BM63" i="21"/>
  <c r="BL63" i="21"/>
  <c r="CP62" i="21"/>
  <c r="CO62" i="21"/>
  <c r="CN62" i="21"/>
  <c r="CL62" i="21"/>
  <c r="CK62" i="21"/>
  <c r="CJ62" i="21"/>
  <c r="CH62" i="21"/>
  <c r="CG62" i="21"/>
  <c r="CF62" i="21"/>
  <c r="CD62" i="21"/>
  <c r="CC62" i="21"/>
  <c r="CB62" i="21"/>
  <c r="BZ62" i="21"/>
  <c r="BY62" i="21"/>
  <c r="BX62" i="21"/>
  <c r="BV62" i="21"/>
  <c r="BU62" i="21"/>
  <c r="BT62" i="21"/>
  <c r="BR62" i="21"/>
  <c r="BQ62" i="21"/>
  <c r="BP62" i="21"/>
  <c r="BN62" i="21"/>
  <c r="BM62" i="21"/>
  <c r="BL62" i="21"/>
  <c r="CP61" i="21"/>
  <c r="CO61" i="21"/>
  <c r="CN61" i="21"/>
  <c r="CL61" i="21"/>
  <c r="CK61" i="21"/>
  <c r="CJ61" i="21"/>
  <c r="CH61" i="21"/>
  <c r="CG61" i="21"/>
  <c r="CF61" i="21"/>
  <c r="CD61" i="21"/>
  <c r="CC61" i="21"/>
  <c r="CB61" i="21"/>
  <c r="BZ61" i="21"/>
  <c r="BY61" i="21"/>
  <c r="BX61" i="21"/>
  <c r="BV61" i="21"/>
  <c r="BU61" i="21"/>
  <c r="BT61" i="21"/>
  <c r="BR61" i="21"/>
  <c r="BQ61" i="21"/>
  <c r="BP61" i="21"/>
  <c r="BN61" i="21"/>
  <c r="BM61" i="21"/>
  <c r="BL61" i="21"/>
  <c r="CP60" i="21"/>
  <c r="CO60" i="21"/>
  <c r="CN60" i="21"/>
  <c r="CL60" i="21"/>
  <c r="CK60" i="21"/>
  <c r="CJ60" i="21"/>
  <c r="CH60" i="21"/>
  <c r="CG60" i="21"/>
  <c r="CF60" i="21"/>
  <c r="CD60" i="21"/>
  <c r="CC60" i="21"/>
  <c r="CB60" i="21"/>
  <c r="BZ60" i="21"/>
  <c r="BY60" i="21"/>
  <c r="BX60" i="21"/>
  <c r="BV60" i="21"/>
  <c r="BU60" i="21"/>
  <c r="BT60" i="21"/>
  <c r="BR60" i="21"/>
  <c r="BQ60" i="21"/>
  <c r="BP60" i="21"/>
  <c r="BN60" i="21"/>
  <c r="BM60" i="21"/>
  <c r="BL60" i="21"/>
  <c r="CP59" i="21"/>
  <c r="CO59" i="21"/>
  <c r="CN59" i="21"/>
  <c r="CL59" i="21"/>
  <c r="CK59" i="21"/>
  <c r="CJ59" i="21"/>
  <c r="CH59" i="21"/>
  <c r="CG59" i="21"/>
  <c r="CF59" i="21"/>
  <c r="CD59" i="21"/>
  <c r="CC59" i="21"/>
  <c r="CB59" i="21"/>
  <c r="BZ59" i="21"/>
  <c r="BY59" i="21"/>
  <c r="BX59" i="21"/>
  <c r="BV59" i="21"/>
  <c r="BU59" i="21"/>
  <c r="BT59" i="21"/>
  <c r="BR59" i="21"/>
  <c r="BQ59" i="21"/>
  <c r="BP59" i="21"/>
  <c r="BN59" i="21"/>
  <c r="BM59" i="21"/>
  <c r="BL59" i="21"/>
  <c r="CP58" i="21"/>
  <c r="CO58" i="21"/>
  <c r="CN58" i="21"/>
  <c r="CL58" i="21"/>
  <c r="CK58" i="21"/>
  <c r="CJ58" i="21"/>
  <c r="CH58" i="21"/>
  <c r="CG58" i="21"/>
  <c r="CF58" i="21"/>
  <c r="CD58" i="21"/>
  <c r="CC58" i="21"/>
  <c r="CB58" i="21"/>
  <c r="BZ58" i="21"/>
  <c r="BY58" i="21"/>
  <c r="BX58" i="21"/>
  <c r="BV58" i="21"/>
  <c r="BU58" i="21"/>
  <c r="BT58" i="21"/>
  <c r="BR58" i="21"/>
  <c r="BQ58" i="21"/>
  <c r="BP58" i="21"/>
  <c r="BN58" i="21"/>
  <c r="BM58" i="21"/>
  <c r="BL58" i="21"/>
  <c r="CP57" i="21"/>
  <c r="CO57" i="21"/>
  <c r="CN57" i="21"/>
  <c r="CL57" i="21"/>
  <c r="CK57" i="21"/>
  <c r="CJ57" i="21"/>
  <c r="CH57" i="21"/>
  <c r="CG57" i="21"/>
  <c r="CF57" i="21"/>
  <c r="CD57" i="21"/>
  <c r="CC57" i="21"/>
  <c r="CB57" i="21"/>
  <c r="BZ57" i="21"/>
  <c r="BY57" i="21"/>
  <c r="BX57" i="21"/>
  <c r="BV57" i="21"/>
  <c r="BU57" i="21"/>
  <c r="BT57" i="21"/>
  <c r="BR57" i="21"/>
  <c r="BQ57" i="21"/>
  <c r="BP57" i="21"/>
  <c r="BN57" i="21"/>
  <c r="BM57" i="21"/>
  <c r="BL57" i="21"/>
  <c r="CP56" i="21"/>
  <c r="CO56" i="21"/>
  <c r="CN56" i="21"/>
  <c r="CL56" i="21"/>
  <c r="CK56" i="21"/>
  <c r="CJ56" i="21"/>
  <c r="CH56" i="21"/>
  <c r="CG56" i="21"/>
  <c r="CF56" i="21"/>
  <c r="CD56" i="21"/>
  <c r="CC56" i="21"/>
  <c r="CB56" i="21"/>
  <c r="BZ56" i="21"/>
  <c r="BY56" i="21"/>
  <c r="BX56" i="21"/>
  <c r="BV56" i="21"/>
  <c r="BU56" i="21"/>
  <c r="BT56" i="21"/>
  <c r="BR56" i="21"/>
  <c r="BQ56" i="21"/>
  <c r="BP56" i="21"/>
  <c r="BN56" i="21"/>
  <c r="BM56" i="21"/>
  <c r="BL56" i="21"/>
  <c r="CP55" i="21"/>
  <c r="CO55" i="21"/>
  <c r="CN55" i="21"/>
  <c r="CL55" i="21"/>
  <c r="CK55" i="21"/>
  <c r="CJ55" i="21"/>
  <c r="CH55" i="21"/>
  <c r="CG55" i="21"/>
  <c r="CF55" i="21"/>
  <c r="CD55" i="21"/>
  <c r="CC55" i="21"/>
  <c r="CB55" i="21"/>
  <c r="BZ55" i="21"/>
  <c r="BY55" i="21"/>
  <c r="BX55" i="21"/>
  <c r="BV55" i="21"/>
  <c r="BU55" i="21"/>
  <c r="BT55" i="21"/>
  <c r="BR55" i="21"/>
  <c r="BQ55" i="21"/>
  <c r="BP55" i="21"/>
  <c r="BN55" i="21"/>
  <c r="BM55" i="21"/>
  <c r="BL55" i="21"/>
  <c r="CP54" i="21"/>
  <c r="CO54" i="21"/>
  <c r="CN54" i="21"/>
  <c r="CL54" i="21"/>
  <c r="CK54" i="21"/>
  <c r="CJ54" i="21"/>
  <c r="CH54" i="21"/>
  <c r="CG54" i="21"/>
  <c r="CF54" i="21"/>
  <c r="CD54" i="21"/>
  <c r="CC54" i="21"/>
  <c r="CB54" i="21"/>
  <c r="BZ54" i="21"/>
  <c r="BY54" i="21"/>
  <c r="BX54" i="21"/>
  <c r="BV54" i="21"/>
  <c r="BU54" i="21"/>
  <c r="BT54" i="21"/>
  <c r="BR54" i="21"/>
  <c r="BQ54" i="21"/>
  <c r="BP54" i="21"/>
  <c r="BN54" i="21"/>
  <c r="BM54" i="21"/>
  <c r="BL54" i="21"/>
  <c r="CP53" i="21"/>
  <c r="CO53" i="21"/>
  <c r="CN53" i="21"/>
  <c r="CL53" i="21"/>
  <c r="CK53" i="21"/>
  <c r="CJ53" i="21"/>
  <c r="CH53" i="21"/>
  <c r="CG53" i="21"/>
  <c r="CF53" i="21"/>
  <c r="CD53" i="21"/>
  <c r="CC53" i="21"/>
  <c r="CB53" i="21"/>
  <c r="BZ53" i="21"/>
  <c r="BY53" i="21"/>
  <c r="BX53" i="21"/>
  <c r="BV53" i="21"/>
  <c r="BU53" i="21"/>
  <c r="BT53" i="21"/>
  <c r="BR53" i="21"/>
  <c r="BQ53" i="21"/>
  <c r="BP53" i="21"/>
  <c r="BN53" i="21"/>
  <c r="BM53" i="21"/>
  <c r="BL53" i="21"/>
  <c r="CP52" i="21"/>
  <c r="CO52" i="21"/>
  <c r="CN52" i="21"/>
  <c r="CL52" i="21"/>
  <c r="CK52" i="21"/>
  <c r="CJ52" i="21"/>
  <c r="CH52" i="21"/>
  <c r="CG52" i="21"/>
  <c r="CF52" i="21"/>
  <c r="CD52" i="21"/>
  <c r="CC52" i="21"/>
  <c r="CB52" i="21"/>
  <c r="BZ52" i="21"/>
  <c r="BY52" i="21"/>
  <c r="BX52" i="21"/>
  <c r="BV52" i="21"/>
  <c r="BU52" i="21"/>
  <c r="BT52" i="21"/>
  <c r="BR52" i="21"/>
  <c r="BQ52" i="21"/>
  <c r="BP52" i="21"/>
  <c r="BN52" i="21"/>
  <c r="BM52" i="21"/>
  <c r="BL52" i="21"/>
  <c r="CP51" i="21"/>
  <c r="CO51" i="21"/>
  <c r="CN51" i="21"/>
  <c r="CL51" i="21"/>
  <c r="CK51" i="21"/>
  <c r="CJ51" i="21"/>
  <c r="CH51" i="21"/>
  <c r="CG51" i="21"/>
  <c r="CF51" i="21"/>
  <c r="CD51" i="21"/>
  <c r="CC51" i="21"/>
  <c r="CB51" i="21"/>
  <c r="BZ51" i="21"/>
  <c r="BY51" i="21"/>
  <c r="BX51" i="21"/>
  <c r="BV51" i="21"/>
  <c r="BU51" i="21"/>
  <c r="BT51" i="21"/>
  <c r="BR51" i="21"/>
  <c r="BQ51" i="21"/>
  <c r="BP51" i="21"/>
  <c r="BN51" i="21"/>
  <c r="BM51" i="21"/>
  <c r="BL51" i="21"/>
  <c r="CP50" i="21"/>
  <c r="CO50" i="21"/>
  <c r="CN50" i="21"/>
  <c r="CL50" i="21"/>
  <c r="CK50" i="21"/>
  <c r="CJ50" i="21"/>
  <c r="CH50" i="21"/>
  <c r="CG50" i="21"/>
  <c r="CF50" i="21"/>
  <c r="CD50" i="21"/>
  <c r="CC50" i="21"/>
  <c r="CB50" i="21"/>
  <c r="BZ50" i="21"/>
  <c r="BY50" i="21"/>
  <c r="BX50" i="21"/>
  <c r="BV50" i="21"/>
  <c r="BU50" i="21"/>
  <c r="BT50" i="21"/>
  <c r="BR50" i="21"/>
  <c r="BQ50" i="21"/>
  <c r="BP50" i="21"/>
  <c r="BN50" i="21"/>
  <c r="BM50" i="21"/>
  <c r="BL50" i="21"/>
  <c r="CP49" i="21"/>
  <c r="CO49" i="21"/>
  <c r="CN49" i="21"/>
  <c r="CL49" i="21"/>
  <c r="CK49" i="21"/>
  <c r="CJ49" i="21"/>
  <c r="CH49" i="21"/>
  <c r="CG49" i="21"/>
  <c r="CF49" i="21"/>
  <c r="CD49" i="21"/>
  <c r="CC49" i="21"/>
  <c r="CB49" i="21"/>
  <c r="BZ49" i="21"/>
  <c r="BY49" i="21"/>
  <c r="BX49" i="21"/>
  <c r="BV49" i="21"/>
  <c r="BU49" i="21"/>
  <c r="BT49" i="21"/>
  <c r="BR49" i="21"/>
  <c r="BQ49" i="21"/>
  <c r="BP49" i="21"/>
  <c r="BN49" i="21"/>
  <c r="BM49" i="21"/>
  <c r="BL49" i="21"/>
  <c r="CP48" i="21"/>
  <c r="CO48" i="21"/>
  <c r="CN48" i="21"/>
  <c r="CL48" i="21"/>
  <c r="CK48" i="21"/>
  <c r="CJ48" i="21"/>
  <c r="CH48" i="21"/>
  <c r="CG48" i="21"/>
  <c r="CF48" i="21"/>
  <c r="CD48" i="21"/>
  <c r="CC48" i="21"/>
  <c r="CB48" i="21"/>
  <c r="BZ48" i="21"/>
  <c r="BY48" i="21"/>
  <c r="BX48" i="21"/>
  <c r="BV48" i="21"/>
  <c r="BU48" i="21"/>
  <c r="BT48" i="21"/>
  <c r="BR48" i="21"/>
  <c r="BQ48" i="21"/>
  <c r="BP48" i="21"/>
  <c r="BN48" i="21"/>
  <c r="BM48" i="21"/>
  <c r="BL48" i="21"/>
  <c r="CP47" i="21"/>
  <c r="CO47" i="21"/>
  <c r="CN47" i="21"/>
  <c r="CL47" i="21"/>
  <c r="CK47" i="21"/>
  <c r="CJ47" i="21"/>
  <c r="CH47" i="21"/>
  <c r="CG47" i="21"/>
  <c r="CF47" i="21"/>
  <c r="CD47" i="21"/>
  <c r="CC47" i="21"/>
  <c r="CB47" i="21"/>
  <c r="BZ47" i="21"/>
  <c r="BY47" i="21"/>
  <c r="BX47" i="21"/>
  <c r="BV47" i="21"/>
  <c r="BU47" i="21"/>
  <c r="BT47" i="21"/>
  <c r="BR47" i="21"/>
  <c r="BQ47" i="21"/>
  <c r="BP47" i="21"/>
  <c r="BN47" i="21"/>
  <c r="BM47" i="21"/>
  <c r="BL47" i="21"/>
  <c r="CP46" i="21"/>
  <c r="CO46" i="21"/>
  <c r="CN46" i="21"/>
  <c r="CL46" i="21"/>
  <c r="CK46" i="21"/>
  <c r="CJ46" i="21"/>
  <c r="CH46" i="21"/>
  <c r="CG46" i="21"/>
  <c r="CF46" i="21"/>
  <c r="CD46" i="21"/>
  <c r="CC46" i="21"/>
  <c r="CB46" i="21"/>
  <c r="BZ46" i="21"/>
  <c r="BY46" i="21"/>
  <c r="BX46" i="21"/>
  <c r="BV46" i="21"/>
  <c r="BU46" i="21"/>
  <c r="BT46" i="21"/>
  <c r="BR46" i="21"/>
  <c r="BQ46" i="21"/>
  <c r="BP46" i="21"/>
  <c r="BN46" i="21"/>
  <c r="BM46" i="21"/>
  <c r="BL46" i="21"/>
  <c r="CP45" i="21"/>
  <c r="CO45" i="21"/>
  <c r="CN45" i="21"/>
  <c r="CL45" i="21"/>
  <c r="CK45" i="21"/>
  <c r="CJ45" i="21"/>
  <c r="CH45" i="21"/>
  <c r="CG45" i="21"/>
  <c r="CF45" i="21"/>
  <c r="CD45" i="21"/>
  <c r="CC45" i="21"/>
  <c r="CB45" i="21"/>
  <c r="BZ45" i="21"/>
  <c r="BY45" i="21"/>
  <c r="BX45" i="21"/>
  <c r="BV45" i="21"/>
  <c r="BU45" i="21"/>
  <c r="BT45" i="21"/>
  <c r="BR45" i="21"/>
  <c r="BQ45" i="21"/>
  <c r="BP45" i="21"/>
  <c r="BN45" i="21"/>
  <c r="BM45" i="21"/>
  <c r="BL45" i="21"/>
  <c r="CP44" i="21"/>
  <c r="CO44" i="21"/>
  <c r="CN44" i="21"/>
  <c r="CL44" i="21"/>
  <c r="CK44" i="21"/>
  <c r="CJ44" i="21"/>
  <c r="CH44" i="21"/>
  <c r="CG44" i="21"/>
  <c r="CF44" i="21"/>
  <c r="CD44" i="21"/>
  <c r="CC44" i="21"/>
  <c r="CB44" i="21"/>
  <c r="BZ44" i="21"/>
  <c r="BY44" i="21"/>
  <c r="BX44" i="21"/>
  <c r="BV44" i="21"/>
  <c r="BU44" i="21"/>
  <c r="BT44" i="21"/>
  <c r="BR44" i="21"/>
  <c r="BQ44" i="21"/>
  <c r="BP44" i="21"/>
  <c r="BN44" i="21"/>
  <c r="BM44" i="21"/>
  <c r="BL44" i="21"/>
  <c r="W4" i="21"/>
  <c r="W5" i="21"/>
  <c r="W6" i="21"/>
  <c r="W7" i="21"/>
  <c r="W8" i="21"/>
  <c r="W9" i="21"/>
  <c r="W11" i="21"/>
  <c r="W12" i="21"/>
  <c r="W13" i="21"/>
  <c r="W14" i="21"/>
  <c r="W16" i="21"/>
  <c r="W17" i="21"/>
  <c r="S4" i="21"/>
  <c r="S5" i="21"/>
  <c r="S6" i="21"/>
  <c r="S7" i="21"/>
  <c r="S8" i="21"/>
  <c r="S9" i="21"/>
  <c r="S12" i="21"/>
  <c r="S13" i="21"/>
  <c r="S14" i="21"/>
  <c r="S16" i="21"/>
  <c r="S17" i="21"/>
  <c r="O4" i="21"/>
  <c r="O5" i="21"/>
  <c r="O6" i="21"/>
  <c r="O7" i="21"/>
  <c r="O8" i="21"/>
  <c r="O9" i="21"/>
  <c r="O10" i="21"/>
  <c r="O11" i="21"/>
  <c r="O13" i="21"/>
  <c r="O14" i="21"/>
  <c r="O15" i="21"/>
  <c r="O16" i="21"/>
  <c r="O17" i="21"/>
  <c r="W3" i="21"/>
  <c r="S3" i="21"/>
  <c r="O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3" i="21"/>
  <c r="A4" i="21"/>
  <c r="G37" i="21"/>
  <c r="A5" i="21"/>
  <c r="K37" i="21"/>
  <c r="A6" i="21"/>
  <c r="O37" i="21"/>
  <c r="A7" i="21"/>
  <c r="S37" i="21"/>
  <c r="A8" i="21"/>
  <c r="W37" i="21"/>
  <c r="A10" i="21"/>
  <c r="AE37" i="21"/>
  <c r="A11" i="21"/>
  <c r="AI37" i="21"/>
  <c r="A12" i="21"/>
  <c r="AM37" i="21"/>
  <c r="A13" i="21"/>
  <c r="AQ37" i="21"/>
  <c r="A14" i="21"/>
  <c r="AU37" i="21"/>
  <c r="A15" i="21"/>
  <c r="AY37" i="21"/>
  <c r="A16" i="21"/>
  <c r="BC37" i="21"/>
  <c r="A17" i="21"/>
  <c r="BG37" i="21"/>
  <c r="A3" i="21"/>
  <c r="C37" i="21"/>
  <c r="BJ96" i="21"/>
  <c r="BI96" i="21"/>
  <c r="BH96" i="21"/>
  <c r="BF96" i="21"/>
  <c r="BE96" i="21"/>
  <c r="BD96" i="21"/>
  <c r="BB96" i="21"/>
  <c r="BA96" i="21"/>
  <c r="AZ96" i="21"/>
  <c r="AX96" i="21"/>
  <c r="AW96" i="21"/>
  <c r="AV96" i="21"/>
  <c r="AT96" i="21"/>
  <c r="AS96" i="21"/>
  <c r="AR96" i="21"/>
  <c r="AP96" i="21"/>
  <c r="AO96" i="21"/>
  <c r="AN96" i="21"/>
  <c r="AL96" i="21"/>
  <c r="AK96" i="21"/>
  <c r="AJ96" i="21"/>
  <c r="AH96" i="21"/>
  <c r="AG96" i="21"/>
  <c r="AF96" i="21"/>
  <c r="AD96" i="21"/>
  <c r="AC96" i="21"/>
  <c r="AB96" i="21"/>
  <c r="Z96" i="21"/>
  <c r="Y96" i="21"/>
  <c r="X96" i="21"/>
  <c r="V96" i="21"/>
  <c r="U96" i="21"/>
  <c r="T96" i="21"/>
  <c r="R96" i="21"/>
  <c r="Q96" i="21"/>
  <c r="P96" i="21"/>
  <c r="N96" i="21"/>
  <c r="M96" i="21"/>
  <c r="L96" i="21"/>
  <c r="J96" i="21"/>
  <c r="I96" i="21"/>
  <c r="H96" i="21"/>
  <c r="F96" i="21"/>
  <c r="E96" i="21"/>
  <c r="D96" i="21"/>
  <c r="BJ95" i="21"/>
  <c r="BI95" i="21"/>
  <c r="BH95" i="21"/>
  <c r="BF95" i="21"/>
  <c r="BE95" i="21"/>
  <c r="BD95" i="21"/>
  <c r="BB95" i="21"/>
  <c r="BA95" i="21"/>
  <c r="AZ95" i="21"/>
  <c r="AX95" i="21"/>
  <c r="AW95" i="21"/>
  <c r="AV95" i="21"/>
  <c r="AT95" i="21"/>
  <c r="AS95" i="21"/>
  <c r="AR95" i="21"/>
  <c r="AP95" i="21"/>
  <c r="AO95" i="21"/>
  <c r="AN95" i="21"/>
  <c r="AL95" i="21"/>
  <c r="AK95" i="21"/>
  <c r="AJ95" i="21"/>
  <c r="AH95" i="21"/>
  <c r="AG95" i="21"/>
  <c r="AF95" i="21"/>
  <c r="AD95" i="21"/>
  <c r="AC95" i="21"/>
  <c r="AB95" i="21"/>
  <c r="Z95" i="21"/>
  <c r="Y95" i="21"/>
  <c r="X95" i="21"/>
  <c r="V95" i="21"/>
  <c r="U95" i="21"/>
  <c r="T95" i="21"/>
  <c r="R95" i="21"/>
  <c r="Q95" i="21"/>
  <c r="P95" i="21"/>
  <c r="N95" i="21"/>
  <c r="M95" i="21"/>
  <c r="L95" i="21"/>
  <c r="J95" i="21"/>
  <c r="I95" i="21"/>
  <c r="H95" i="21"/>
  <c r="F95" i="21"/>
  <c r="E95" i="21"/>
  <c r="D95" i="21"/>
  <c r="BJ94" i="21"/>
  <c r="BI94" i="21"/>
  <c r="BH94" i="21"/>
  <c r="BF94" i="21"/>
  <c r="BE94" i="21"/>
  <c r="BD94" i="21"/>
  <c r="BB94" i="21"/>
  <c r="BA94" i="21"/>
  <c r="AZ94" i="21"/>
  <c r="AX94" i="21"/>
  <c r="AW94" i="21"/>
  <c r="AV94" i="21"/>
  <c r="AT94" i="21"/>
  <c r="AS94" i="21"/>
  <c r="AR94" i="21"/>
  <c r="AP94" i="21"/>
  <c r="AO94" i="21"/>
  <c r="AN94" i="21"/>
  <c r="AL94" i="21"/>
  <c r="AK94" i="21"/>
  <c r="AJ94" i="21"/>
  <c r="AH94" i="21"/>
  <c r="AG94" i="21"/>
  <c r="AF94" i="21"/>
  <c r="AD94" i="21"/>
  <c r="AC94" i="21"/>
  <c r="AB94" i="21"/>
  <c r="Z94" i="21"/>
  <c r="Y94" i="21"/>
  <c r="X94" i="21"/>
  <c r="V94" i="21"/>
  <c r="U94" i="21"/>
  <c r="T94" i="21"/>
  <c r="R94" i="21"/>
  <c r="Q94" i="21"/>
  <c r="P94" i="21"/>
  <c r="N94" i="21"/>
  <c r="M94" i="21"/>
  <c r="L94" i="21"/>
  <c r="J94" i="21"/>
  <c r="I94" i="21"/>
  <c r="H94" i="21"/>
  <c r="F94" i="21"/>
  <c r="E94" i="21"/>
  <c r="D94" i="21"/>
  <c r="BJ93" i="21"/>
  <c r="BI93" i="21"/>
  <c r="BH93" i="21"/>
  <c r="BF93" i="21"/>
  <c r="BE93" i="21"/>
  <c r="BD93" i="21"/>
  <c r="BB93" i="21"/>
  <c r="BA93" i="21"/>
  <c r="AZ93" i="21"/>
  <c r="AX93" i="21"/>
  <c r="AW93" i="21"/>
  <c r="AV93" i="21"/>
  <c r="AT93" i="21"/>
  <c r="AS93" i="21"/>
  <c r="AR93" i="21"/>
  <c r="AP93" i="21"/>
  <c r="AO93" i="21"/>
  <c r="AN93" i="21"/>
  <c r="AL93" i="21"/>
  <c r="AK93" i="21"/>
  <c r="AJ93" i="21"/>
  <c r="AH93" i="21"/>
  <c r="AG93" i="21"/>
  <c r="AF93" i="21"/>
  <c r="AD93" i="21"/>
  <c r="AC93" i="21"/>
  <c r="AB93" i="21"/>
  <c r="Z93" i="21"/>
  <c r="Y93" i="21"/>
  <c r="X93" i="21"/>
  <c r="V93" i="21"/>
  <c r="U93" i="21"/>
  <c r="T93" i="21"/>
  <c r="R93" i="21"/>
  <c r="Q93" i="21"/>
  <c r="P93" i="21"/>
  <c r="N93" i="21"/>
  <c r="M93" i="21"/>
  <c r="L93" i="21"/>
  <c r="J93" i="21"/>
  <c r="I93" i="21"/>
  <c r="H93" i="21"/>
  <c r="F93" i="21"/>
  <c r="E93" i="21"/>
  <c r="D93" i="21"/>
  <c r="BJ92" i="21"/>
  <c r="BI92" i="21"/>
  <c r="BH92" i="21"/>
  <c r="BF92" i="21"/>
  <c r="BE92" i="21"/>
  <c r="BD92" i="21"/>
  <c r="BB92" i="21"/>
  <c r="BA92" i="21"/>
  <c r="AZ92" i="21"/>
  <c r="AX92" i="21"/>
  <c r="AW92" i="21"/>
  <c r="AV92" i="21"/>
  <c r="AT92" i="21"/>
  <c r="AS92" i="21"/>
  <c r="AR92" i="21"/>
  <c r="AP92" i="21"/>
  <c r="AO92" i="21"/>
  <c r="AN92" i="21"/>
  <c r="AL92" i="21"/>
  <c r="AK92" i="21"/>
  <c r="AJ92" i="21"/>
  <c r="AH92" i="21"/>
  <c r="AG92" i="21"/>
  <c r="AF92" i="21"/>
  <c r="AD92" i="21"/>
  <c r="AC92" i="21"/>
  <c r="AB92" i="21"/>
  <c r="Z92" i="21"/>
  <c r="Y92" i="21"/>
  <c r="X92" i="21"/>
  <c r="V92" i="21"/>
  <c r="U92" i="21"/>
  <c r="T92" i="21"/>
  <c r="R92" i="21"/>
  <c r="Q92" i="21"/>
  <c r="P92" i="21"/>
  <c r="N92" i="21"/>
  <c r="M92" i="21"/>
  <c r="L92" i="21"/>
  <c r="J92" i="21"/>
  <c r="I92" i="21"/>
  <c r="H92" i="21"/>
  <c r="F92" i="21"/>
  <c r="E92" i="21"/>
  <c r="D92" i="21"/>
  <c r="BJ91" i="21"/>
  <c r="BI91" i="21"/>
  <c r="BH91" i="21"/>
  <c r="BF91" i="21"/>
  <c r="BE91" i="21"/>
  <c r="BD91" i="21"/>
  <c r="BB91" i="21"/>
  <c r="BA91" i="21"/>
  <c r="AZ91" i="21"/>
  <c r="AX91" i="21"/>
  <c r="AW91" i="21"/>
  <c r="AV91" i="21"/>
  <c r="AT91" i="21"/>
  <c r="AS91" i="21"/>
  <c r="AR91" i="21"/>
  <c r="AP91" i="21"/>
  <c r="AO91" i="21"/>
  <c r="AN91" i="21"/>
  <c r="AL91" i="21"/>
  <c r="AK91" i="21"/>
  <c r="AJ91" i="21"/>
  <c r="AH91" i="21"/>
  <c r="AG91" i="21"/>
  <c r="AF91" i="21"/>
  <c r="AD91" i="21"/>
  <c r="AC91" i="21"/>
  <c r="AB91" i="21"/>
  <c r="Z91" i="21"/>
  <c r="Y91" i="21"/>
  <c r="X91" i="21"/>
  <c r="V91" i="21"/>
  <c r="U91" i="21"/>
  <c r="T91" i="21"/>
  <c r="R91" i="21"/>
  <c r="Q91" i="21"/>
  <c r="P91" i="21"/>
  <c r="N91" i="21"/>
  <c r="M91" i="21"/>
  <c r="L91" i="21"/>
  <c r="J91" i="21"/>
  <c r="I91" i="21"/>
  <c r="H91" i="21"/>
  <c r="F91" i="21"/>
  <c r="E91" i="21"/>
  <c r="D91" i="21"/>
  <c r="BJ90" i="21"/>
  <c r="BI90" i="21"/>
  <c r="BH90" i="21"/>
  <c r="BF90" i="21"/>
  <c r="BE90" i="21"/>
  <c r="BD90" i="21"/>
  <c r="BB90" i="21"/>
  <c r="BA90" i="21"/>
  <c r="AZ90" i="21"/>
  <c r="AX90" i="21"/>
  <c r="AW90" i="21"/>
  <c r="AV90" i="21"/>
  <c r="AT90" i="21"/>
  <c r="AS90" i="21"/>
  <c r="AR90" i="21"/>
  <c r="AP90" i="21"/>
  <c r="AO90" i="21"/>
  <c r="AN90" i="21"/>
  <c r="AL90" i="21"/>
  <c r="AK90" i="21"/>
  <c r="AJ90" i="21"/>
  <c r="AH90" i="21"/>
  <c r="AG90" i="21"/>
  <c r="AF90" i="21"/>
  <c r="AD90" i="21"/>
  <c r="AC90" i="21"/>
  <c r="AB90" i="21"/>
  <c r="Z90" i="21"/>
  <c r="Y90" i="21"/>
  <c r="X90" i="21"/>
  <c r="V90" i="21"/>
  <c r="U90" i="21"/>
  <c r="T90" i="21"/>
  <c r="R90" i="21"/>
  <c r="Q90" i="21"/>
  <c r="P90" i="21"/>
  <c r="N90" i="21"/>
  <c r="M90" i="21"/>
  <c r="L90" i="21"/>
  <c r="J90" i="21"/>
  <c r="I90" i="21"/>
  <c r="H90" i="21"/>
  <c r="F90" i="21"/>
  <c r="E90" i="21"/>
  <c r="D90" i="21"/>
  <c r="BJ89" i="21"/>
  <c r="BI89" i="21"/>
  <c r="BH89" i="21"/>
  <c r="BF89" i="21"/>
  <c r="BE89" i="21"/>
  <c r="BD89" i="21"/>
  <c r="BB89" i="21"/>
  <c r="BA89" i="21"/>
  <c r="AZ89" i="21"/>
  <c r="AX89" i="21"/>
  <c r="AW89" i="21"/>
  <c r="AV89" i="21"/>
  <c r="AT89" i="21"/>
  <c r="AS89" i="21"/>
  <c r="AR89" i="21"/>
  <c r="AP89" i="21"/>
  <c r="AO89" i="21"/>
  <c r="AN89" i="21"/>
  <c r="AL89" i="21"/>
  <c r="AK89" i="21"/>
  <c r="AJ89" i="21"/>
  <c r="AH89" i="21"/>
  <c r="AG89" i="21"/>
  <c r="AF89" i="21"/>
  <c r="AD89" i="21"/>
  <c r="AC89" i="21"/>
  <c r="AB89" i="21"/>
  <c r="Z89" i="21"/>
  <c r="Y89" i="21"/>
  <c r="X89" i="21"/>
  <c r="V89" i="21"/>
  <c r="U89" i="21"/>
  <c r="T89" i="21"/>
  <c r="R89" i="21"/>
  <c r="Q89" i="21"/>
  <c r="P89" i="21"/>
  <c r="N89" i="21"/>
  <c r="M89" i="21"/>
  <c r="L89" i="21"/>
  <c r="J89" i="21"/>
  <c r="I89" i="21"/>
  <c r="H89" i="21"/>
  <c r="F89" i="21"/>
  <c r="E89" i="21"/>
  <c r="D89" i="21"/>
  <c r="BJ88" i="21"/>
  <c r="BI88" i="21"/>
  <c r="BH88" i="21"/>
  <c r="BF88" i="21"/>
  <c r="BE88" i="21"/>
  <c r="BD88" i="21"/>
  <c r="BB88" i="21"/>
  <c r="BA88" i="21"/>
  <c r="AZ88" i="21"/>
  <c r="AX88" i="21"/>
  <c r="AW88" i="21"/>
  <c r="AV88" i="21"/>
  <c r="AT88" i="21"/>
  <c r="AS88" i="21"/>
  <c r="AR88" i="21"/>
  <c r="AP88" i="21"/>
  <c r="AO88" i="21"/>
  <c r="AN88" i="21"/>
  <c r="AL88" i="21"/>
  <c r="AK88" i="21"/>
  <c r="AJ88" i="21"/>
  <c r="AH88" i="21"/>
  <c r="AG88" i="21"/>
  <c r="AF88" i="21"/>
  <c r="AD88" i="21"/>
  <c r="AC88" i="21"/>
  <c r="AB88" i="21"/>
  <c r="Z88" i="21"/>
  <c r="Y88" i="21"/>
  <c r="X88" i="21"/>
  <c r="V88" i="21"/>
  <c r="U88" i="21"/>
  <c r="T88" i="21"/>
  <c r="R88" i="21"/>
  <c r="Q88" i="21"/>
  <c r="P88" i="21"/>
  <c r="N88" i="21"/>
  <c r="M88" i="21"/>
  <c r="L88" i="21"/>
  <c r="J88" i="21"/>
  <c r="I88" i="21"/>
  <c r="H88" i="21"/>
  <c r="F88" i="21"/>
  <c r="E88" i="21"/>
  <c r="D88" i="21"/>
  <c r="BJ87" i="21"/>
  <c r="BI87" i="21"/>
  <c r="BH87" i="21"/>
  <c r="BF87" i="21"/>
  <c r="BE87" i="21"/>
  <c r="BD87" i="21"/>
  <c r="BB87" i="21"/>
  <c r="BA87" i="21"/>
  <c r="AZ87" i="21"/>
  <c r="AX87" i="21"/>
  <c r="AW87" i="21"/>
  <c r="AV87" i="21"/>
  <c r="AT87" i="21"/>
  <c r="AS87" i="21"/>
  <c r="AR87" i="21"/>
  <c r="AP87" i="21"/>
  <c r="AO87" i="21"/>
  <c r="AN87" i="21"/>
  <c r="AL87" i="21"/>
  <c r="AK87" i="21"/>
  <c r="AJ87" i="21"/>
  <c r="AH87" i="21"/>
  <c r="AG87" i="21"/>
  <c r="AF87" i="21"/>
  <c r="AD87" i="21"/>
  <c r="AC87" i="21"/>
  <c r="AB87" i="21"/>
  <c r="Z87" i="21"/>
  <c r="Y87" i="21"/>
  <c r="X87" i="21"/>
  <c r="V87" i="21"/>
  <c r="U87" i="21"/>
  <c r="T87" i="21"/>
  <c r="R87" i="21"/>
  <c r="Q87" i="21"/>
  <c r="P87" i="21"/>
  <c r="N87" i="21"/>
  <c r="M87" i="21"/>
  <c r="L87" i="21"/>
  <c r="J87" i="21"/>
  <c r="I87" i="21"/>
  <c r="H87" i="21"/>
  <c r="F87" i="21"/>
  <c r="E87" i="21"/>
  <c r="D87" i="21"/>
  <c r="BJ86" i="21"/>
  <c r="BI86" i="21"/>
  <c r="BH86" i="21"/>
  <c r="BF86" i="21"/>
  <c r="BE86" i="21"/>
  <c r="BD86" i="21"/>
  <c r="BB86" i="21"/>
  <c r="BA86" i="21"/>
  <c r="AZ86" i="21"/>
  <c r="AX86" i="21"/>
  <c r="AW86" i="21"/>
  <c r="AV86" i="21"/>
  <c r="AT86" i="21"/>
  <c r="AS86" i="21"/>
  <c r="AR86" i="21"/>
  <c r="AP86" i="21"/>
  <c r="AO86" i="21"/>
  <c r="AN86" i="21"/>
  <c r="AL86" i="21"/>
  <c r="AK86" i="21"/>
  <c r="AJ86" i="21"/>
  <c r="AH86" i="21"/>
  <c r="AG86" i="21"/>
  <c r="AF86" i="21"/>
  <c r="AD86" i="21"/>
  <c r="AC86" i="21"/>
  <c r="AB86" i="21"/>
  <c r="Z86" i="21"/>
  <c r="Y86" i="21"/>
  <c r="X86" i="21"/>
  <c r="V86" i="21"/>
  <c r="U86" i="21"/>
  <c r="T86" i="21"/>
  <c r="R86" i="21"/>
  <c r="Q86" i="21"/>
  <c r="P86" i="21"/>
  <c r="N86" i="21"/>
  <c r="M86" i="21"/>
  <c r="L86" i="21"/>
  <c r="J86" i="21"/>
  <c r="I86" i="21"/>
  <c r="H86" i="21"/>
  <c r="F86" i="21"/>
  <c r="E86" i="21"/>
  <c r="D86" i="21"/>
  <c r="BJ85" i="21"/>
  <c r="BI85" i="21"/>
  <c r="BH85" i="21"/>
  <c r="BF85" i="21"/>
  <c r="BE85" i="21"/>
  <c r="BD85" i="21"/>
  <c r="BB85" i="21"/>
  <c r="BA85" i="21"/>
  <c r="AZ85" i="21"/>
  <c r="AX85" i="21"/>
  <c r="AW85" i="21"/>
  <c r="AV85" i="21"/>
  <c r="AT85" i="21"/>
  <c r="AS85" i="21"/>
  <c r="AR85" i="21"/>
  <c r="AP85" i="21"/>
  <c r="AO85" i="21"/>
  <c r="AN85" i="21"/>
  <c r="AL85" i="21"/>
  <c r="AK85" i="21"/>
  <c r="AJ85" i="21"/>
  <c r="AH85" i="21"/>
  <c r="AG85" i="21"/>
  <c r="AF85" i="21"/>
  <c r="AD85" i="21"/>
  <c r="AC85" i="21"/>
  <c r="AB85" i="21"/>
  <c r="Z85" i="21"/>
  <c r="Y85" i="21"/>
  <c r="X85" i="21"/>
  <c r="V85" i="21"/>
  <c r="U85" i="21"/>
  <c r="T85" i="21"/>
  <c r="R85" i="21"/>
  <c r="Q85" i="21"/>
  <c r="P85" i="21"/>
  <c r="N85" i="21"/>
  <c r="M85" i="21"/>
  <c r="L85" i="21"/>
  <c r="J85" i="21"/>
  <c r="I85" i="21"/>
  <c r="H85" i="21"/>
  <c r="F85" i="21"/>
  <c r="E85" i="21"/>
  <c r="D85" i="21"/>
  <c r="BJ84" i="21"/>
  <c r="BI84" i="21"/>
  <c r="BH84" i="21"/>
  <c r="BF84" i="21"/>
  <c r="BE84" i="21"/>
  <c r="BD84" i="21"/>
  <c r="BB84" i="21"/>
  <c r="BA84" i="21"/>
  <c r="AZ84" i="21"/>
  <c r="AX84" i="21"/>
  <c r="AW84" i="21"/>
  <c r="AV84" i="21"/>
  <c r="AT84" i="21"/>
  <c r="AS84" i="21"/>
  <c r="AR84" i="21"/>
  <c r="AP84" i="21"/>
  <c r="AO84" i="21"/>
  <c r="AN84" i="21"/>
  <c r="AL84" i="21"/>
  <c r="AK84" i="21"/>
  <c r="AJ84" i="21"/>
  <c r="AH84" i="21"/>
  <c r="AG84" i="21"/>
  <c r="AF84" i="21"/>
  <c r="AD84" i="21"/>
  <c r="AC84" i="21"/>
  <c r="AB84" i="21"/>
  <c r="Z84" i="21"/>
  <c r="Y84" i="21"/>
  <c r="X84" i="21"/>
  <c r="V84" i="21"/>
  <c r="U84" i="21"/>
  <c r="T84" i="21"/>
  <c r="R84" i="21"/>
  <c r="Q84" i="21"/>
  <c r="P84" i="21"/>
  <c r="N84" i="21"/>
  <c r="M84" i="21"/>
  <c r="L84" i="21"/>
  <c r="J84" i="21"/>
  <c r="I84" i="21"/>
  <c r="H84" i="21"/>
  <c r="F84" i="21"/>
  <c r="E84" i="21"/>
  <c r="D84" i="21"/>
  <c r="BJ83" i="21"/>
  <c r="BI83" i="21"/>
  <c r="BH83" i="21"/>
  <c r="BF83" i="21"/>
  <c r="BE83" i="21"/>
  <c r="BD83" i="21"/>
  <c r="BB83" i="21"/>
  <c r="BA83" i="21"/>
  <c r="AZ83" i="21"/>
  <c r="AX83" i="21"/>
  <c r="AW83" i="21"/>
  <c r="AV83" i="21"/>
  <c r="AT83" i="21"/>
  <c r="AS83" i="21"/>
  <c r="AR83" i="21"/>
  <c r="AP83" i="21"/>
  <c r="AO83" i="21"/>
  <c r="AN83" i="21"/>
  <c r="AL83" i="21"/>
  <c r="AK83" i="21"/>
  <c r="AJ83" i="21"/>
  <c r="AH83" i="21"/>
  <c r="AG83" i="21"/>
  <c r="AF83" i="21"/>
  <c r="AD83" i="21"/>
  <c r="AC83" i="21"/>
  <c r="AB83" i="21"/>
  <c r="Z83" i="21"/>
  <c r="Y83" i="21"/>
  <c r="X83" i="21"/>
  <c r="V83" i="21"/>
  <c r="U83" i="21"/>
  <c r="T83" i="21"/>
  <c r="R83" i="21"/>
  <c r="Q83" i="21"/>
  <c r="P83" i="21"/>
  <c r="N83" i="21"/>
  <c r="M83" i="21"/>
  <c r="L83" i="21"/>
  <c r="J83" i="21"/>
  <c r="I83" i="21"/>
  <c r="H83" i="21"/>
  <c r="F83" i="21"/>
  <c r="E83" i="21"/>
  <c r="D83" i="21"/>
  <c r="BJ82" i="21"/>
  <c r="BI82" i="21"/>
  <c r="BH82" i="21"/>
  <c r="BF82" i="21"/>
  <c r="BE82" i="21"/>
  <c r="BD82" i="21"/>
  <c r="BB82" i="21"/>
  <c r="BA82" i="21"/>
  <c r="AZ82" i="21"/>
  <c r="AX82" i="21"/>
  <c r="AW82" i="21"/>
  <c r="AV82" i="21"/>
  <c r="AT82" i="21"/>
  <c r="AS82" i="21"/>
  <c r="AR82" i="21"/>
  <c r="AP82" i="21"/>
  <c r="AO82" i="21"/>
  <c r="AN82" i="21"/>
  <c r="AL82" i="21"/>
  <c r="AK82" i="21"/>
  <c r="AJ82" i="21"/>
  <c r="AH82" i="21"/>
  <c r="AG82" i="21"/>
  <c r="AF82" i="21"/>
  <c r="AD82" i="21"/>
  <c r="AC82" i="21"/>
  <c r="AB82" i="21"/>
  <c r="Z82" i="21"/>
  <c r="Y82" i="21"/>
  <c r="X82" i="21"/>
  <c r="V82" i="21"/>
  <c r="U82" i="21"/>
  <c r="T82" i="21"/>
  <c r="R82" i="21"/>
  <c r="Q82" i="21"/>
  <c r="P82" i="21"/>
  <c r="N82" i="21"/>
  <c r="M82" i="21"/>
  <c r="L82" i="21"/>
  <c r="J82" i="21"/>
  <c r="I82" i="21"/>
  <c r="H82" i="21"/>
  <c r="F82" i="21"/>
  <c r="E82" i="21"/>
  <c r="D82" i="21"/>
  <c r="BJ81" i="21"/>
  <c r="BI81" i="21"/>
  <c r="BH81" i="21"/>
  <c r="BF81" i="21"/>
  <c r="BE81" i="21"/>
  <c r="BD81" i="21"/>
  <c r="BB81" i="21"/>
  <c r="BA81" i="21"/>
  <c r="AZ81" i="21"/>
  <c r="AX81" i="21"/>
  <c r="AW81" i="21"/>
  <c r="AV81" i="21"/>
  <c r="AT81" i="21"/>
  <c r="AS81" i="21"/>
  <c r="AR81" i="21"/>
  <c r="AP81" i="21"/>
  <c r="AO81" i="21"/>
  <c r="AN81" i="21"/>
  <c r="AL81" i="21"/>
  <c r="AK81" i="21"/>
  <c r="AJ81" i="21"/>
  <c r="AH81" i="21"/>
  <c r="AG81" i="21"/>
  <c r="AF81" i="21"/>
  <c r="AD81" i="21"/>
  <c r="AC81" i="21"/>
  <c r="AB81" i="21"/>
  <c r="Z81" i="21"/>
  <c r="Y81" i="21"/>
  <c r="X81" i="21"/>
  <c r="V81" i="21"/>
  <c r="U81" i="21"/>
  <c r="T81" i="21"/>
  <c r="R81" i="21"/>
  <c r="Q81" i="21"/>
  <c r="P81" i="21"/>
  <c r="N81" i="21"/>
  <c r="M81" i="21"/>
  <c r="L81" i="21"/>
  <c r="J81" i="21"/>
  <c r="I81" i="21"/>
  <c r="H81" i="21"/>
  <c r="F81" i="21"/>
  <c r="E81" i="21"/>
  <c r="D81" i="21"/>
  <c r="BJ80" i="21"/>
  <c r="BI80" i="21"/>
  <c r="BH80" i="21"/>
  <c r="BF80" i="21"/>
  <c r="BE80" i="21"/>
  <c r="BD80" i="21"/>
  <c r="BB80" i="21"/>
  <c r="BA80" i="21"/>
  <c r="AZ80" i="21"/>
  <c r="AX80" i="21"/>
  <c r="AW80" i="21"/>
  <c r="AV80" i="21"/>
  <c r="AT80" i="21"/>
  <c r="AS80" i="21"/>
  <c r="AR80" i="21"/>
  <c r="AP80" i="21"/>
  <c r="AO80" i="21"/>
  <c r="AN80" i="21"/>
  <c r="AL80" i="21"/>
  <c r="AK80" i="21"/>
  <c r="AJ80" i="21"/>
  <c r="AH80" i="21"/>
  <c r="AG80" i="21"/>
  <c r="AF80" i="21"/>
  <c r="AD80" i="21"/>
  <c r="AC80" i="21"/>
  <c r="AB80" i="21"/>
  <c r="Z80" i="21"/>
  <c r="Y80" i="21"/>
  <c r="X80" i="21"/>
  <c r="V80" i="21"/>
  <c r="U80" i="21"/>
  <c r="T80" i="21"/>
  <c r="R80" i="21"/>
  <c r="Q80" i="21"/>
  <c r="P80" i="21"/>
  <c r="N80" i="21"/>
  <c r="M80" i="21"/>
  <c r="L80" i="21"/>
  <c r="J80" i="21"/>
  <c r="I80" i="21"/>
  <c r="H80" i="21"/>
  <c r="F80" i="21"/>
  <c r="E80" i="21"/>
  <c r="D80" i="21"/>
  <c r="BJ79" i="21"/>
  <c r="BI79" i="21"/>
  <c r="BH79" i="21"/>
  <c r="BF79" i="21"/>
  <c r="BE79" i="21"/>
  <c r="BD79" i="21"/>
  <c r="BB79" i="21"/>
  <c r="BA79" i="21"/>
  <c r="AZ79" i="21"/>
  <c r="AX79" i="21"/>
  <c r="AW79" i="21"/>
  <c r="AV79" i="21"/>
  <c r="AT79" i="21"/>
  <c r="AS79" i="21"/>
  <c r="AR79" i="21"/>
  <c r="AP79" i="21"/>
  <c r="AO79" i="21"/>
  <c r="AN79" i="21"/>
  <c r="AL79" i="21"/>
  <c r="AK79" i="21"/>
  <c r="AJ79" i="21"/>
  <c r="AH79" i="21"/>
  <c r="AG79" i="21"/>
  <c r="AF79" i="21"/>
  <c r="AD79" i="21"/>
  <c r="AC79" i="21"/>
  <c r="AB79" i="21"/>
  <c r="Z79" i="21"/>
  <c r="Y79" i="21"/>
  <c r="X79" i="21"/>
  <c r="V79" i="21"/>
  <c r="U79" i="21"/>
  <c r="T79" i="21"/>
  <c r="R79" i="21"/>
  <c r="Q79" i="21"/>
  <c r="P79" i="21"/>
  <c r="N79" i="21"/>
  <c r="M79" i="21"/>
  <c r="L79" i="21"/>
  <c r="J79" i="21"/>
  <c r="I79" i="21"/>
  <c r="H79" i="21"/>
  <c r="F79" i="21"/>
  <c r="E79" i="21"/>
  <c r="D79" i="21"/>
  <c r="BJ78" i="21"/>
  <c r="BI78" i="21"/>
  <c r="BH78" i="21"/>
  <c r="BF78" i="21"/>
  <c r="BE78" i="21"/>
  <c r="BD78" i="21"/>
  <c r="BB78" i="21"/>
  <c r="BA78" i="21"/>
  <c r="AZ78" i="21"/>
  <c r="AX78" i="21"/>
  <c r="AW78" i="21"/>
  <c r="AV78" i="21"/>
  <c r="AT78" i="21"/>
  <c r="AS78" i="21"/>
  <c r="AR78" i="21"/>
  <c r="AP78" i="21"/>
  <c r="AO78" i="21"/>
  <c r="AN78" i="21"/>
  <c r="AL78" i="21"/>
  <c r="AK78" i="21"/>
  <c r="AJ78" i="21"/>
  <c r="AH78" i="21"/>
  <c r="AG78" i="21"/>
  <c r="AF78" i="21"/>
  <c r="AD78" i="21"/>
  <c r="AC78" i="21"/>
  <c r="AB78" i="21"/>
  <c r="Z78" i="21"/>
  <c r="Y78" i="21"/>
  <c r="X78" i="21"/>
  <c r="V78" i="21"/>
  <c r="U78" i="21"/>
  <c r="T78" i="21"/>
  <c r="R78" i="21"/>
  <c r="Q78" i="21"/>
  <c r="P78" i="21"/>
  <c r="N78" i="21"/>
  <c r="M78" i="21"/>
  <c r="L78" i="21"/>
  <c r="J78" i="21"/>
  <c r="I78" i="21"/>
  <c r="H78" i="21"/>
  <c r="F78" i="21"/>
  <c r="E78" i="21"/>
  <c r="D78" i="21"/>
  <c r="BJ77" i="21"/>
  <c r="BI77" i="21"/>
  <c r="BH77" i="21"/>
  <c r="BF77" i="21"/>
  <c r="BE77" i="21"/>
  <c r="BD77" i="21"/>
  <c r="BB77" i="21"/>
  <c r="BA77" i="21"/>
  <c r="AZ77" i="21"/>
  <c r="AX77" i="21"/>
  <c r="AW77" i="21"/>
  <c r="AV77" i="21"/>
  <c r="AT77" i="21"/>
  <c r="AS77" i="21"/>
  <c r="AR77" i="21"/>
  <c r="AP77" i="21"/>
  <c r="AO77" i="21"/>
  <c r="AN77" i="21"/>
  <c r="AL77" i="21"/>
  <c r="AK77" i="21"/>
  <c r="AJ77" i="21"/>
  <c r="AH77" i="21"/>
  <c r="AG77" i="21"/>
  <c r="AF77" i="21"/>
  <c r="AD77" i="21"/>
  <c r="AC77" i="21"/>
  <c r="AB77" i="21"/>
  <c r="Z77" i="21"/>
  <c r="Y77" i="21"/>
  <c r="X77" i="21"/>
  <c r="V77" i="21"/>
  <c r="U77" i="21"/>
  <c r="T77" i="21"/>
  <c r="R77" i="21"/>
  <c r="Q77" i="21"/>
  <c r="P77" i="21"/>
  <c r="N77" i="21"/>
  <c r="M77" i="21"/>
  <c r="L77" i="21"/>
  <c r="J77" i="21"/>
  <c r="I77" i="21"/>
  <c r="H77" i="21"/>
  <c r="F77" i="21"/>
  <c r="E77" i="21"/>
  <c r="D77" i="21"/>
  <c r="BJ76" i="21"/>
  <c r="BI76" i="21"/>
  <c r="BH76" i="21"/>
  <c r="BF76" i="21"/>
  <c r="BE76" i="21"/>
  <c r="BD76" i="21"/>
  <c r="BB76" i="21"/>
  <c r="BA76" i="21"/>
  <c r="AZ76" i="21"/>
  <c r="AX76" i="21"/>
  <c r="AW76" i="21"/>
  <c r="AV76" i="21"/>
  <c r="AT76" i="21"/>
  <c r="AS76" i="21"/>
  <c r="AR76" i="21"/>
  <c r="AP76" i="21"/>
  <c r="AO76" i="21"/>
  <c r="AN76" i="21"/>
  <c r="AL76" i="21"/>
  <c r="AK76" i="21"/>
  <c r="AJ76" i="21"/>
  <c r="AH76" i="21"/>
  <c r="AG76" i="21"/>
  <c r="AF76" i="21"/>
  <c r="AD76" i="21"/>
  <c r="AC76" i="21"/>
  <c r="AB76" i="21"/>
  <c r="Z76" i="21"/>
  <c r="Y76" i="21"/>
  <c r="X76" i="21"/>
  <c r="V76" i="21"/>
  <c r="U76" i="21"/>
  <c r="T76" i="21"/>
  <c r="R76" i="21"/>
  <c r="Q76" i="21"/>
  <c r="P76" i="21"/>
  <c r="N76" i="21"/>
  <c r="M76" i="21"/>
  <c r="L76" i="21"/>
  <c r="J76" i="21"/>
  <c r="I76" i="21"/>
  <c r="H76" i="21"/>
  <c r="F76" i="21"/>
  <c r="E76" i="21"/>
  <c r="D76" i="21"/>
  <c r="BJ75" i="21"/>
  <c r="BI75" i="21"/>
  <c r="BH75" i="21"/>
  <c r="BF75" i="21"/>
  <c r="BE75" i="21"/>
  <c r="BD75" i="21"/>
  <c r="BB75" i="21"/>
  <c r="BA75" i="21"/>
  <c r="AZ75" i="21"/>
  <c r="AX75" i="21"/>
  <c r="AW75" i="21"/>
  <c r="AV75" i="21"/>
  <c r="AT75" i="21"/>
  <c r="AS75" i="21"/>
  <c r="AR75" i="21"/>
  <c r="AP75" i="21"/>
  <c r="AO75" i="21"/>
  <c r="AN75" i="21"/>
  <c r="AL75" i="21"/>
  <c r="AK75" i="21"/>
  <c r="AJ75" i="21"/>
  <c r="AH75" i="21"/>
  <c r="AG75" i="21"/>
  <c r="AF75" i="21"/>
  <c r="AD75" i="21"/>
  <c r="AC75" i="21"/>
  <c r="AB75" i="21"/>
  <c r="Z75" i="21"/>
  <c r="Y75" i="21"/>
  <c r="X75" i="21"/>
  <c r="V75" i="21"/>
  <c r="U75" i="21"/>
  <c r="T75" i="21"/>
  <c r="R75" i="21"/>
  <c r="Q75" i="21"/>
  <c r="P75" i="21"/>
  <c r="N75" i="21"/>
  <c r="M75" i="21"/>
  <c r="L75" i="21"/>
  <c r="J75" i="21"/>
  <c r="I75" i="21"/>
  <c r="H75" i="21"/>
  <c r="F75" i="21"/>
  <c r="E75" i="21"/>
  <c r="D75" i="21"/>
  <c r="BJ74" i="21"/>
  <c r="BI74" i="21"/>
  <c r="BH74" i="21"/>
  <c r="BF74" i="21"/>
  <c r="BE74" i="21"/>
  <c r="BD74" i="21"/>
  <c r="BB74" i="21"/>
  <c r="BA74" i="21"/>
  <c r="AZ74" i="21"/>
  <c r="AX74" i="21"/>
  <c r="AW74" i="21"/>
  <c r="AV74" i="21"/>
  <c r="AT74" i="21"/>
  <c r="AS74" i="21"/>
  <c r="AR74" i="21"/>
  <c r="AP74" i="21"/>
  <c r="AO74" i="21"/>
  <c r="AN74" i="21"/>
  <c r="AL74" i="21"/>
  <c r="AK74" i="21"/>
  <c r="AJ74" i="21"/>
  <c r="AH74" i="21"/>
  <c r="AG74" i="21"/>
  <c r="AF74" i="21"/>
  <c r="AD74" i="21"/>
  <c r="AC74" i="21"/>
  <c r="AB74" i="21"/>
  <c r="Z74" i="21"/>
  <c r="Y74" i="21"/>
  <c r="X74" i="21"/>
  <c r="V74" i="21"/>
  <c r="U74" i="21"/>
  <c r="T74" i="21"/>
  <c r="R74" i="21"/>
  <c r="Q74" i="21"/>
  <c r="P74" i="21"/>
  <c r="N74" i="21"/>
  <c r="M74" i="21"/>
  <c r="L74" i="21"/>
  <c r="J74" i="21"/>
  <c r="I74" i="21"/>
  <c r="H74" i="21"/>
  <c r="F74" i="21"/>
  <c r="E74" i="21"/>
  <c r="D74" i="21"/>
  <c r="BJ73" i="21"/>
  <c r="BI73" i="21"/>
  <c r="BH73" i="21"/>
  <c r="BF73" i="21"/>
  <c r="BE73" i="21"/>
  <c r="BD73" i="21"/>
  <c r="BB73" i="21"/>
  <c r="BA73" i="21"/>
  <c r="AZ73" i="21"/>
  <c r="AX73" i="21"/>
  <c r="AW73" i="21"/>
  <c r="AV73" i="21"/>
  <c r="AT73" i="21"/>
  <c r="AS73" i="21"/>
  <c r="AR73" i="21"/>
  <c r="AP73" i="21"/>
  <c r="AO73" i="21"/>
  <c r="AN73" i="21"/>
  <c r="AL73" i="21"/>
  <c r="AK73" i="21"/>
  <c r="AJ73" i="21"/>
  <c r="AH73" i="21"/>
  <c r="AG73" i="21"/>
  <c r="AF73" i="21"/>
  <c r="AD73" i="21"/>
  <c r="AC73" i="21"/>
  <c r="AB73" i="21"/>
  <c r="Z73" i="21"/>
  <c r="Y73" i="21"/>
  <c r="X73" i="21"/>
  <c r="V73" i="21"/>
  <c r="U73" i="21"/>
  <c r="T73" i="21"/>
  <c r="R73" i="21"/>
  <c r="Q73" i="21"/>
  <c r="P73" i="21"/>
  <c r="N73" i="21"/>
  <c r="M73" i="21"/>
  <c r="L73" i="21"/>
  <c r="J73" i="21"/>
  <c r="I73" i="21"/>
  <c r="H73" i="21"/>
  <c r="F73" i="21"/>
  <c r="E73" i="21"/>
  <c r="D73" i="21"/>
  <c r="BJ72" i="21"/>
  <c r="BI72" i="21"/>
  <c r="BH72" i="21"/>
  <c r="BF72" i="21"/>
  <c r="BE72" i="21"/>
  <c r="BD72" i="21"/>
  <c r="BB72" i="21"/>
  <c r="BA72" i="21"/>
  <c r="AZ72" i="21"/>
  <c r="AX72" i="21"/>
  <c r="AW72" i="21"/>
  <c r="AV72" i="21"/>
  <c r="AT72" i="21"/>
  <c r="AS72" i="21"/>
  <c r="AR72" i="21"/>
  <c r="AP72" i="21"/>
  <c r="AO72" i="21"/>
  <c r="AN72" i="21"/>
  <c r="AL72" i="21"/>
  <c r="AK72" i="21"/>
  <c r="AJ72" i="21"/>
  <c r="AH72" i="21"/>
  <c r="AG72" i="21"/>
  <c r="AF72" i="21"/>
  <c r="AD72" i="21"/>
  <c r="AC72" i="21"/>
  <c r="AB72" i="21"/>
  <c r="Z72" i="21"/>
  <c r="Y72" i="21"/>
  <c r="X72" i="21"/>
  <c r="V72" i="21"/>
  <c r="U72" i="21"/>
  <c r="T72" i="21"/>
  <c r="R72" i="21"/>
  <c r="Q72" i="21"/>
  <c r="P72" i="21"/>
  <c r="N72" i="21"/>
  <c r="M72" i="21"/>
  <c r="L72" i="21"/>
  <c r="J72" i="21"/>
  <c r="I72" i="21"/>
  <c r="H72" i="21"/>
  <c r="F72" i="21"/>
  <c r="E72" i="21"/>
  <c r="D72" i="21"/>
  <c r="BJ71" i="21"/>
  <c r="BI71" i="21"/>
  <c r="BH71" i="21"/>
  <c r="BF71" i="21"/>
  <c r="BE71" i="21"/>
  <c r="BD71" i="21"/>
  <c r="BB71" i="21"/>
  <c r="BA71" i="21"/>
  <c r="AZ71" i="21"/>
  <c r="AX71" i="21"/>
  <c r="AW71" i="21"/>
  <c r="AV71" i="21"/>
  <c r="AT71" i="21"/>
  <c r="AS71" i="21"/>
  <c r="AR71" i="21"/>
  <c r="AP71" i="21"/>
  <c r="AO71" i="21"/>
  <c r="AN71" i="21"/>
  <c r="AL71" i="21"/>
  <c r="AK71" i="21"/>
  <c r="AJ71" i="21"/>
  <c r="AH71" i="21"/>
  <c r="AG71" i="21"/>
  <c r="AF71" i="21"/>
  <c r="AD71" i="21"/>
  <c r="AC71" i="21"/>
  <c r="AB71" i="21"/>
  <c r="Z71" i="21"/>
  <c r="Y71" i="21"/>
  <c r="X71" i="21"/>
  <c r="V71" i="21"/>
  <c r="U71" i="21"/>
  <c r="T71" i="21"/>
  <c r="R71" i="21"/>
  <c r="Q71" i="21"/>
  <c r="P71" i="21"/>
  <c r="N71" i="21"/>
  <c r="M71" i="21"/>
  <c r="L71" i="21"/>
  <c r="J71" i="21"/>
  <c r="I71" i="21"/>
  <c r="H71" i="21"/>
  <c r="F71" i="21"/>
  <c r="E71" i="21"/>
  <c r="D71" i="21"/>
  <c r="BJ70" i="21"/>
  <c r="BI70" i="21"/>
  <c r="BH70" i="21"/>
  <c r="BF70" i="21"/>
  <c r="BE70" i="21"/>
  <c r="BD70" i="21"/>
  <c r="BB70" i="21"/>
  <c r="BA70" i="21"/>
  <c r="AZ70" i="21"/>
  <c r="AX70" i="21"/>
  <c r="AW70" i="21"/>
  <c r="AV70" i="21"/>
  <c r="AT70" i="21"/>
  <c r="AS70" i="21"/>
  <c r="AR70" i="21"/>
  <c r="AP70" i="21"/>
  <c r="AO70" i="21"/>
  <c r="AN70" i="21"/>
  <c r="AL70" i="21"/>
  <c r="AK70" i="21"/>
  <c r="AJ70" i="21"/>
  <c r="AH70" i="21"/>
  <c r="AG70" i="21"/>
  <c r="AF70" i="21"/>
  <c r="AD70" i="21"/>
  <c r="AC70" i="21"/>
  <c r="AB70" i="21"/>
  <c r="Z70" i="21"/>
  <c r="Y70" i="21"/>
  <c r="X70" i="21"/>
  <c r="V70" i="21"/>
  <c r="U70" i="21"/>
  <c r="T70" i="21"/>
  <c r="R70" i="21"/>
  <c r="Q70" i="21"/>
  <c r="P70" i="21"/>
  <c r="N70" i="21"/>
  <c r="M70" i="21"/>
  <c r="L70" i="21"/>
  <c r="J70" i="21"/>
  <c r="I70" i="21"/>
  <c r="H70" i="21"/>
  <c r="F70" i="21"/>
  <c r="E70" i="21"/>
  <c r="D70" i="21"/>
  <c r="BJ69" i="21"/>
  <c r="BI69" i="21"/>
  <c r="BH69" i="21"/>
  <c r="BF69" i="21"/>
  <c r="BE69" i="21"/>
  <c r="BD69" i="21"/>
  <c r="BB69" i="21"/>
  <c r="BA69" i="21"/>
  <c r="AZ69" i="21"/>
  <c r="AX69" i="21"/>
  <c r="AW69" i="21"/>
  <c r="AV69" i="21"/>
  <c r="AT69" i="21"/>
  <c r="AS69" i="21"/>
  <c r="AR69" i="21"/>
  <c r="AP69" i="21"/>
  <c r="AO69" i="21"/>
  <c r="AN69" i="21"/>
  <c r="AL69" i="21"/>
  <c r="AK69" i="21"/>
  <c r="AJ69" i="21"/>
  <c r="AH69" i="21"/>
  <c r="AG69" i="21"/>
  <c r="AF69" i="21"/>
  <c r="AD69" i="21"/>
  <c r="AC69" i="21"/>
  <c r="AB69" i="21"/>
  <c r="Z69" i="21"/>
  <c r="Y69" i="21"/>
  <c r="X69" i="21"/>
  <c r="V69" i="21"/>
  <c r="U69" i="21"/>
  <c r="T69" i="21"/>
  <c r="R69" i="21"/>
  <c r="Q69" i="21"/>
  <c r="P69" i="21"/>
  <c r="N69" i="21"/>
  <c r="M69" i="21"/>
  <c r="L69" i="21"/>
  <c r="J69" i="21"/>
  <c r="I69" i="21"/>
  <c r="H69" i="21"/>
  <c r="F69" i="21"/>
  <c r="E69" i="21"/>
  <c r="D69" i="21"/>
  <c r="BJ68" i="21"/>
  <c r="BI68" i="21"/>
  <c r="BH68" i="21"/>
  <c r="BF68" i="21"/>
  <c r="BE68" i="21"/>
  <c r="BD68" i="21"/>
  <c r="BB68" i="21"/>
  <c r="BA68" i="21"/>
  <c r="AZ68" i="21"/>
  <c r="AX68" i="21"/>
  <c r="AW68" i="21"/>
  <c r="AV68" i="21"/>
  <c r="AT68" i="21"/>
  <c r="AS68" i="21"/>
  <c r="AR68" i="21"/>
  <c r="AP68" i="21"/>
  <c r="AO68" i="21"/>
  <c r="AN68" i="21"/>
  <c r="AL68" i="21"/>
  <c r="AK68" i="21"/>
  <c r="AJ68" i="21"/>
  <c r="AH68" i="21"/>
  <c r="AG68" i="21"/>
  <c r="AF68" i="21"/>
  <c r="AD68" i="21"/>
  <c r="AC68" i="21"/>
  <c r="AB68" i="21"/>
  <c r="Z68" i="21"/>
  <c r="Y68" i="21"/>
  <c r="X68" i="21"/>
  <c r="V68" i="21"/>
  <c r="U68" i="21"/>
  <c r="T68" i="21"/>
  <c r="R68" i="21"/>
  <c r="Q68" i="21"/>
  <c r="P68" i="21"/>
  <c r="N68" i="21"/>
  <c r="M68" i="21"/>
  <c r="L68" i="21"/>
  <c r="J68" i="21"/>
  <c r="I68" i="21"/>
  <c r="H68" i="21"/>
  <c r="F68" i="21"/>
  <c r="E68" i="21"/>
  <c r="D68" i="21"/>
  <c r="BJ67" i="21"/>
  <c r="BI67" i="21"/>
  <c r="BH67" i="21"/>
  <c r="BF67" i="21"/>
  <c r="BE67" i="21"/>
  <c r="BD67" i="21"/>
  <c r="BB67" i="21"/>
  <c r="BA67" i="21"/>
  <c r="AZ67" i="21"/>
  <c r="AX67" i="21"/>
  <c r="AW67" i="21"/>
  <c r="AV67" i="21"/>
  <c r="AT67" i="21"/>
  <c r="AS67" i="21"/>
  <c r="AR67" i="21"/>
  <c r="AP67" i="21"/>
  <c r="AO67" i="21"/>
  <c r="AN67" i="21"/>
  <c r="AL67" i="21"/>
  <c r="AK67" i="21"/>
  <c r="AJ67" i="21"/>
  <c r="AH67" i="21"/>
  <c r="AG67" i="21"/>
  <c r="AF67" i="21"/>
  <c r="AD67" i="21"/>
  <c r="AC67" i="21"/>
  <c r="AB67" i="21"/>
  <c r="Z67" i="21"/>
  <c r="Y67" i="21"/>
  <c r="X67" i="21"/>
  <c r="V67" i="21"/>
  <c r="U67" i="21"/>
  <c r="T67" i="21"/>
  <c r="R67" i="21"/>
  <c r="Q67" i="21"/>
  <c r="P67" i="21"/>
  <c r="N67" i="21"/>
  <c r="M67" i="21"/>
  <c r="L67" i="21"/>
  <c r="J67" i="21"/>
  <c r="I67" i="21"/>
  <c r="H67" i="21"/>
  <c r="F67" i="21"/>
  <c r="E67" i="21"/>
  <c r="D67" i="21"/>
  <c r="BJ66" i="21"/>
  <c r="BI66" i="21"/>
  <c r="BH66" i="21"/>
  <c r="BF66" i="21"/>
  <c r="BE66" i="21"/>
  <c r="BD66" i="21"/>
  <c r="BB66" i="21"/>
  <c r="BA66" i="21"/>
  <c r="AZ66" i="21"/>
  <c r="AX66" i="21"/>
  <c r="AW66" i="21"/>
  <c r="AV66" i="21"/>
  <c r="AT66" i="21"/>
  <c r="AS66" i="21"/>
  <c r="AR66" i="21"/>
  <c r="AP66" i="21"/>
  <c r="AO66" i="21"/>
  <c r="AN66" i="21"/>
  <c r="AL66" i="21"/>
  <c r="AK66" i="21"/>
  <c r="AJ66" i="21"/>
  <c r="AH66" i="21"/>
  <c r="AG66" i="21"/>
  <c r="AF66" i="21"/>
  <c r="AD66" i="21"/>
  <c r="AC66" i="21"/>
  <c r="AB66" i="21"/>
  <c r="Z66" i="21"/>
  <c r="Y66" i="21"/>
  <c r="X66" i="21"/>
  <c r="V66" i="21"/>
  <c r="U66" i="21"/>
  <c r="T66" i="21"/>
  <c r="R66" i="21"/>
  <c r="Q66" i="21"/>
  <c r="P66" i="21"/>
  <c r="N66" i="21"/>
  <c r="M66" i="21"/>
  <c r="L66" i="21"/>
  <c r="J66" i="21"/>
  <c r="I66" i="21"/>
  <c r="H66" i="21"/>
  <c r="F66" i="21"/>
  <c r="E66" i="21"/>
  <c r="D66" i="21"/>
  <c r="BJ65" i="21"/>
  <c r="BI65" i="21"/>
  <c r="BH65" i="21"/>
  <c r="BF65" i="21"/>
  <c r="BE65" i="21"/>
  <c r="BD65" i="21"/>
  <c r="BB65" i="21"/>
  <c r="BA65" i="21"/>
  <c r="AZ65" i="21"/>
  <c r="AX65" i="21"/>
  <c r="AW65" i="21"/>
  <c r="AV65" i="21"/>
  <c r="AT65" i="21"/>
  <c r="AS65" i="21"/>
  <c r="AR65" i="21"/>
  <c r="AP65" i="21"/>
  <c r="AO65" i="21"/>
  <c r="AN65" i="21"/>
  <c r="AL65" i="21"/>
  <c r="AK65" i="21"/>
  <c r="AJ65" i="21"/>
  <c r="AH65" i="21"/>
  <c r="AG65" i="21"/>
  <c r="AF65" i="21"/>
  <c r="AD65" i="21"/>
  <c r="AC65" i="21"/>
  <c r="AB65" i="21"/>
  <c r="Z65" i="21"/>
  <c r="Y65" i="21"/>
  <c r="X65" i="21"/>
  <c r="V65" i="21"/>
  <c r="U65" i="21"/>
  <c r="T65" i="21"/>
  <c r="R65" i="21"/>
  <c r="Q65" i="21"/>
  <c r="P65" i="21"/>
  <c r="N65" i="21"/>
  <c r="M65" i="21"/>
  <c r="L65" i="21"/>
  <c r="J65" i="21"/>
  <c r="I65" i="21"/>
  <c r="H65" i="21"/>
  <c r="F65" i="21"/>
  <c r="E65" i="21"/>
  <c r="D65" i="21"/>
  <c r="BJ64" i="21"/>
  <c r="BI64" i="21"/>
  <c r="BH64" i="21"/>
  <c r="BF64" i="21"/>
  <c r="BE64" i="21"/>
  <c r="BD64" i="21"/>
  <c r="BB64" i="21"/>
  <c r="BA64" i="21"/>
  <c r="AZ64" i="21"/>
  <c r="AX64" i="21"/>
  <c r="AW64" i="21"/>
  <c r="AV64" i="21"/>
  <c r="AT64" i="21"/>
  <c r="AS64" i="21"/>
  <c r="AR64" i="21"/>
  <c r="AP64" i="21"/>
  <c r="AO64" i="21"/>
  <c r="AN64" i="21"/>
  <c r="AL64" i="21"/>
  <c r="AK64" i="21"/>
  <c r="AJ64" i="21"/>
  <c r="AH64" i="21"/>
  <c r="AG64" i="21"/>
  <c r="AF64" i="21"/>
  <c r="AD64" i="21"/>
  <c r="AC64" i="21"/>
  <c r="AB64" i="21"/>
  <c r="Z64" i="21"/>
  <c r="Y64" i="21"/>
  <c r="X64" i="21"/>
  <c r="V64" i="21"/>
  <c r="U64" i="21"/>
  <c r="T64" i="21"/>
  <c r="R64" i="21"/>
  <c r="Q64" i="21"/>
  <c r="P64" i="21"/>
  <c r="N64" i="21"/>
  <c r="M64" i="21"/>
  <c r="L64" i="21"/>
  <c r="J64" i="21"/>
  <c r="I64" i="21"/>
  <c r="H64" i="21"/>
  <c r="F64" i="21"/>
  <c r="E64" i="21"/>
  <c r="D64" i="21"/>
  <c r="BJ63" i="21"/>
  <c r="BI63" i="21"/>
  <c r="BH63" i="21"/>
  <c r="BF63" i="21"/>
  <c r="BE63" i="21"/>
  <c r="BD63" i="21"/>
  <c r="BB63" i="21"/>
  <c r="BA63" i="21"/>
  <c r="AZ63" i="21"/>
  <c r="AX63" i="21"/>
  <c r="AW63" i="21"/>
  <c r="AV63" i="21"/>
  <c r="AT63" i="21"/>
  <c r="AS63" i="21"/>
  <c r="AR63" i="21"/>
  <c r="AP63" i="21"/>
  <c r="AO63" i="21"/>
  <c r="AN63" i="21"/>
  <c r="AL63" i="21"/>
  <c r="AK63" i="21"/>
  <c r="AJ63" i="21"/>
  <c r="AH63" i="21"/>
  <c r="AG63" i="21"/>
  <c r="AF63" i="21"/>
  <c r="AD63" i="21"/>
  <c r="AC63" i="21"/>
  <c r="AB63" i="21"/>
  <c r="Z63" i="21"/>
  <c r="Y63" i="21"/>
  <c r="X63" i="21"/>
  <c r="V63" i="21"/>
  <c r="U63" i="21"/>
  <c r="T63" i="21"/>
  <c r="R63" i="21"/>
  <c r="Q63" i="21"/>
  <c r="P63" i="21"/>
  <c r="N63" i="21"/>
  <c r="M63" i="21"/>
  <c r="L63" i="21"/>
  <c r="J63" i="21"/>
  <c r="I63" i="21"/>
  <c r="H63" i="21"/>
  <c r="F63" i="21"/>
  <c r="E63" i="21"/>
  <c r="D63" i="21"/>
  <c r="BJ62" i="21"/>
  <c r="BI62" i="21"/>
  <c r="BH62" i="21"/>
  <c r="BF62" i="21"/>
  <c r="BE62" i="21"/>
  <c r="BD62" i="21"/>
  <c r="BB62" i="21"/>
  <c r="BA62" i="21"/>
  <c r="AZ62" i="21"/>
  <c r="AX62" i="21"/>
  <c r="AW62" i="21"/>
  <c r="AV62" i="21"/>
  <c r="AT62" i="21"/>
  <c r="AS62" i="21"/>
  <c r="AR62" i="21"/>
  <c r="AP62" i="21"/>
  <c r="AO62" i="21"/>
  <c r="AN62" i="21"/>
  <c r="AL62" i="21"/>
  <c r="AK62" i="21"/>
  <c r="AJ62" i="21"/>
  <c r="AH62" i="21"/>
  <c r="AG62" i="21"/>
  <c r="AF62" i="21"/>
  <c r="AD62" i="21"/>
  <c r="AC62" i="21"/>
  <c r="AB62" i="21"/>
  <c r="Z62" i="21"/>
  <c r="Y62" i="21"/>
  <c r="X62" i="21"/>
  <c r="V62" i="21"/>
  <c r="U62" i="21"/>
  <c r="T62" i="21"/>
  <c r="R62" i="21"/>
  <c r="Q62" i="21"/>
  <c r="P62" i="21"/>
  <c r="N62" i="21"/>
  <c r="M62" i="21"/>
  <c r="L62" i="21"/>
  <c r="J62" i="21"/>
  <c r="I62" i="21"/>
  <c r="H62" i="21"/>
  <c r="F62" i="21"/>
  <c r="E62" i="21"/>
  <c r="D62" i="21"/>
  <c r="BJ61" i="21"/>
  <c r="BI61" i="21"/>
  <c r="BH61" i="21"/>
  <c r="BF61" i="21"/>
  <c r="BE61" i="21"/>
  <c r="BD61" i="21"/>
  <c r="BB61" i="21"/>
  <c r="BA61" i="21"/>
  <c r="AZ61" i="21"/>
  <c r="AX61" i="21"/>
  <c r="AW61" i="21"/>
  <c r="AV61" i="21"/>
  <c r="AT61" i="21"/>
  <c r="AS61" i="21"/>
  <c r="AR61" i="21"/>
  <c r="AP61" i="21"/>
  <c r="AO61" i="21"/>
  <c r="AN61" i="21"/>
  <c r="AL61" i="21"/>
  <c r="AK61" i="21"/>
  <c r="AJ61" i="21"/>
  <c r="AH61" i="21"/>
  <c r="AG61" i="21"/>
  <c r="AF61" i="21"/>
  <c r="AD61" i="21"/>
  <c r="AC61" i="21"/>
  <c r="AB61" i="21"/>
  <c r="Z61" i="21"/>
  <c r="Y61" i="21"/>
  <c r="X61" i="21"/>
  <c r="V61" i="21"/>
  <c r="U61" i="21"/>
  <c r="T61" i="21"/>
  <c r="R61" i="21"/>
  <c r="Q61" i="21"/>
  <c r="P61" i="21"/>
  <c r="N61" i="21"/>
  <c r="M61" i="21"/>
  <c r="L61" i="21"/>
  <c r="J61" i="21"/>
  <c r="I61" i="21"/>
  <c r="H61" i="21"/>
  <c r="F61" i="21"/>
  <c r="E61" i="21"/>
  <c r="D61" i="21"/>
  <c r="BJ60" i="21"/>
  <c r="BI60" i="21"/>
  <c r="BH60" i="21"/>
  <c r="BF60" i="21"/>
  <c r="BE60" i="21"/>
  <c r="BD60" i="21"/>
  <c r="BB60" i="21"/>
  <c r="BA60" i="21"/>
  <c r="AZ60" i="21"/>
  <c r="AX60" i="21"/>
  <c r="AW60" i="21"/>
  <c r="AV60" i="21"/>
  <c r="AT60" i="21"/>
  <c r="AS60" i="21"/>
  <c r="AR60" i="21"/>
  <c r="AP60" i="21"/>
  <c r="AO60" i="21"/>
  <c r="AN60" i="21"/>
  <c r="AL60" i="21"/>
  <c r="AK60" i="21"/>
  <c r="AJ60" i="21"/>
  <c r="AH60" i="21"/>
  <c r="AG60" i="21"/>
  <c r="AF60" i="21"/>
  <c r="AD60" i="21"/>
  <c r="AC60" i="21"/>
  <c r="AB60" i="21"/>
  <c r="Z60" i="21"/>
  <c r="Y60" i="21"/>
  <c r="X60" i="21"/>
  <c r="V60" i="21"/>
  <c r="U60" i="21"/>
  <c r="T60" i="21"/>
  <c r="R60" i="21"/>
  <c r="Q60" i="21"/>
  <c r="P60" i="21"/>
  <c r="N60" i="21"/>
  <c r="M60" i="21"/>
  <c r="L60" i="21"/>
  <c r="J60" i="21"/>
  <c r="I60" i="21"/>
  <c r="H60" i="21"/>
  <c r="F60" i="21"/>
  <c r="E60" i="21"/>
  <c r="D60" i="21"/>
  <c r="BJ59" i="21"/>
  <c r="BI59" i="21"/>
  <c r="BH59" i="21"/>
  <c r="BF59" i="21"/>
  <c r="BE59" i="21"/>
  <c r="BD59" i="21"/>
  <c r="BB59" i="21"/>
  <c r="BA59" i="21"/>
  <c r="AZ59" i="21"/>
  <c r="AX59" i="21"/>
  <c r="AW59" i="21"/>
  <c r="AV59" i="21"/>
  <c r="AT59" i="21"/>
  <c r="AS59" i="21"/>
  <c r="AR59" i="21"/>
  <c r="AP59" i="21"/>
  <c r="AO59" i="21"/>
  <c r="AN59" i="21"/>
  <c r="AL59" i="21"/>
  <c r="AK59" i="21"/>
  <c r="AJ59" i="21"/>
  <c r="AH59" i="21"/>
  <c r="AG59" i="21"/>
  <c r="AF59" i="21"/>
  <c r="AD59" i="21"/>
  <c r="AC59" i="21"/>
  <c r="AB59" i="21"/>
  <c r="Z59" i="21"/>
  <c r="Y59" i="21"/>
  <c r="X59" i="21"/>
  <c r="V59" i="21"/>
  <c r="U59" i="21"/>
  <c r="T59" i="21"/>
  <c r="R59" i="21"/>
  <c r="Q59" i="21"/>
  <c r="P59" i="21"/>
  <c r="N59" i="21"/>
  <c r="M59" i="21"/>
  <c r="L59" i="21"/>
  <c r="J59" i="21"/>
  <c r="I59" i="21"/>
  <c r="H59" i="21"/>
  <c r="F59" i="21"/>
  <c r="E59" i="21"/>
  <c r="D59" i="21"/>
  <c r="BJ58" i="21"/>
  <c r="BI58" i="21"/>
  <c r="BH58" i="21"/>
  <c r="BF58" i="21"/>
  <c r="BE58" i="21"/>
  <c r="BD58" i="21"/>
  <c r="BB58" i="21"/>
  <c r="BA58" i="21"/>
  <c r="AZ58" i="21"/>
  <c r="AX58" i="21"/>
  <c r="AW58" i="21"/>
  <c r="AV58" i="21"/>
  <c r="AT58" i="21"/>
  <c r="AS58" i="21"/>
  <c r="AR58" i="21"/>
  <c r="AP58" i="21"/>
  <c r="AO58" i="21"/>
  <c r="AN58" i="21"/>
  <c r="AL58" i="21"/>
  <c r="AK58" i="21"/>
  <c r="AJ58" i="21"/>
  <c r="AH58" i="21"/>
  <c r="AG58" i="21"/>
  <c r="AF58" i="21"/>
  <c r="AD58" i="21"/>
  <c r="AC58" i="21"/>
  <c r="AB58" i="21"/>
  <c r="Z58" i="21"/>
  <c r="Y58" i="21"/>
  <c r="X58" i="21"/>
  <c r="V58" i="21"/>
  <c r="U58" i="21"/>
  <c r="T58" i="21"/>
  <c r="R58" i="21"/>
  <c r="Q58" i="21"/>
  <c r="P58" i="21"/>
  <c r="N58" i="21"/>
  <c r="M58" i="21"/>
  <c r="L58" i="21"/>
  <c r="J58" i="21"/>
  <c r="I58" i="21"/>
  <c r="H58" i="21"/>
  <c r="F58" i="21"/>
  <c r="E58" i="21"/>
  <c r="D58" i="21"/>
  <c r="BJ57" i="21"/>
  <c r="BI57" i="21"/>
  <c r="BH57" i="21"/>
  <c r="BF57" i="21"/>
  <c r="BE57" i="21"/>
  <c r="BD57" i="21"/>
  <c r="BB57" i="21"/>
  <c r="BA57" i="21"/>
  <c r="AZ57" i="21"/>
  <c r="AX57" i="21"/>
  <c r="AW57" i="21"/>
  <c r="AV57" i="21"/>
  <c r="AT57" i="21"/>
  <c r="AS57" i="21"/>
  <c r="AR57" i="21"/>
  <c r="AP57" i="21"/>
  <c r="AO57" i="21"/>
  <c r="AN57" i="21"/>
  <c r="AL57" i="21"/>
  <c r="AK57" i="21"/>
  <c r="AJ57" i="21"/>
  <c r="AH57" i="21"/>
  <c r="AG57" i="21"/>
  <c r="AF57" i="21"/>
  <c r="AD57" i="21"/>
  <c r="AC57" i="21"/>
  <c r="AB57" i="21"/>
  <c r="Z57" i="21"/>
  <c r="Y57" i="21"/>
  <c r="X57" i="21"/>
  <c r="V57" i="21"/>
  <c r="U57" i="21"/>
  <c r="T57" i="21"/>
  <c r="R57" i="21"/>
  <c r="Q57" i="21"/>
  <c r="P57" i="21"/>
  <c r="N57" i="21"/>
  <c r="M57" i="21"/>
  <c r="L57" i="21"/>
  <c r="J57" i="21"/>
  <c r="I57" i="21"/>
  <c r="H57" i="21"/>
  <c r="F57" i="21"/>
  <c r="E57" i="21"/>
  <c r="D57" i="21"/>
  <c r="BJ56" i="21"/>
  <c r="BI56" i="21"/>
  <c r="BH56" i="21"/>
  <c r="BF56" i="21"/>
  <c r="BE56" i="21"/>
  <c r="BD56" i="21"/>
  <c r="BB56" i="21"/>
  <c r="BA56" i="21"/>
  <c r="AZ56" i="21"/>
  <c r="AX56" i="21"/>
  <c r="AW56" i="21"/>
  <c r="AV56" i="21"/>
  <c r="AT56" i="21"/>
  <c r="AS56" i="21"/>
  <c r="AR56" i="21"/>
  <c r="AP56" i="21"/>
  <c r="AO56" i="21"/>
  <c r="AN56" i="21"/>
  <c r="AL56" i="21"/>
  <c r="AK56" i="21"/>
  <c r="AJ56" i="21"/>
  <c r="AH56" i="21"/>
  <c r="AG56" i="21"/>
  <c r="AF56" i="21"/>
  <c r="AD56" i="21"/>
  <c r="AC56" i="21"/>
  <c r="AB56" i="21"/>
  <c r="Z56" i="21"/>
  <c r="Y56" i="21"/>
  <c r="X56" i="21"/>
  <c r="V56" i="21"/>
  <c r="U56" i="21"/>
  <c r="T56" i="21"/>
  <c r="R56" i="21"/>
  <c r="Q56" i="21"/>
  <c r="P56" i="21"/>
  <c r="N56" i="21"/>
  <c r="M56" i="21"/>
  <c r="L56" i="21"/>
  <c r="J56" i="21"/>
  <c r="I56" i="21"/>
  <c r="H56" i="21"/>
  <c r="F56" i="21"/>
  <c r="E56" i="21"/>
  <c r="D56" i="21"/>
  <c r="BJ55" i="21"/>
  <c r="BI55" i="21"/>
  <c r="BH55" i="21"/>
  <c r="BF55" i="21"/>
  <c r="BE55" i="21"/>
  <c r="BD55" i="21"/>
  <c r="BB55" i="21"/>
  <c r="BA55" i="21"/>
  <c r="AZ55" i="21"/>
  <c r="AX55" i="21"/>
  <c r="AW55" i="21"/>
  <c r="AV55" i="21"/>
  <c r="AT55" i="21"/>
  <c r="AS55" i="21"/>
  <c r="AR55" i="21"/>
  <c r="AP55" i="21"/>
  <c r="AO55" i="21"/>
  <c r="AN55" i="21"/>
  <c r="AL55" i="21"/>
  <c r="AK55" i="21"/>
  <c r="AJ55" i="21"/>
  <c r="AH55" i="21"/>
  <c r="AG55" i="21"/>
  <c r="AF55" i="21"/>
  <c r="AD55" i="21"/>
  <c r="AC55" i="21"/>
  <c r="AB55" i="21"/>
  <c r="Z55" i="21"/>
  <c r="Y55" i="21"/>
  <c r="X55" i="21"/>
  <c r="V55" i="21"/>
  <c r="U55" i="21"/>
  <c r="T55" i="21"/>
  <c r="R55" i="21"/>
  <c r="Q55" i="21"/>
  <c r="P55" i="21"/>
  <c r="N55" i="21"/>
  <c r="M55" i="21"/>
  <c r="L55" i="21"/>
  <c r="J55" i="21"/>
  <c r="I55" i="21"/>
  <c r="H55" i="21"/>
  <c r="F55" i="21"/>
  <c r="E55" i="21"/>
  <c r="D55" i="21"/>
  <c r="BJ54" i="21"/>
  <c r="BI54" i="21"/>
  <c r="BH54" i="21"/>
  <c r="BF54" i="21"/>
  <c r="BE54" i="21"/>
  <c r="BD54" i="21"/>
  <c r="BB54" i="21"/>
  <c r="BA54" i="21"/>
  <c r="AZ54" i="21"/>
  <c r="AX54" i="21"/>
  <c r="AW54" i="21"/>
  <c r="AV54" i="21"/>
  <c r="AT54" i="21"/>
  <c r="AS54" i="21"/>
  <c r="AR54" i="21"/>
  <c r="AP54" i="21"/>
  <c r="AO54" i="21"/>
  <c r="AN54" i="21"/>
  <c r="AL54" i="21"/>
  <c r="AK54" i="21"/>
  <c r="AJ54" i="21"/>
  <c r="AH54" i="21"/>
  <c r="AG54" i="21"/>
  <c r="AF54" i="21"/>
  <c r="AD54" i="21"/>
  <c r="AC54" i="21"/>
  <c r="AB54" i="21"/>
  <c r="Z54" i="21"/>
  <c r="Y54" i="21"/>
  <c r="X54" i="21"/>
  <c r="V54" i="21"/>
  <c r="U54" i="21"/>
  <c r="T54" i="21"/>
  <c r="R54" i="21"/>
  <c r="Q54" i="21"/>
  <c r="P54" i="21"/>
  <c r="N54" i="21"/>
  <c r="M54" i="21"/>
  <c r="L54" i="21"/>
  <c r="J54" i="21"/>
  <c r="I54" i="21"/>
  <c r="H54" i="21"/>
  <c r="F54" i="21"/>
  <c r="E54" i="21"/>
  <c r="D54" i="21"/>
  <c r="BJ53" i="21"/>
  <c r="BI53" i="21"/>
  <c r="BH53" i="21"/>
  <c r="BF53" i="21"/>
  <c r="BE53" i="21"/>
  <c r="BD53" i="21"/>
  <c r="BB53" i="21"/>
  <c r="BA53" i="21"/>
  <c r="AZ53" i="21"/>
  <c r="AX53" i="21"/>
  <c r="AW53" i="21"/>
  <c r="AV53" i="21"/>
  <c r="AT53" i="21"/>
  <c r="AS53" i="21"/>
  <c r="AR53" i="21"/>
  <c r="AP53" i="21"/>
  <c r="AO53" i="21"/>
  <c r="AN53" i="21"/>
  <c r="AL53" i="21"/>
  <c r="AK53" i="21"/>
  <c r="AJ53" i="21"/>
  <c r="AH53" i="21"/>
  <c r="AG53" i="21"/>
  <c r="AF53" i="21"/>
  <c r="AD53" i="21"/>
  <c r="AC53" i="21"/>
  <c r="AB53" i="21"/>
  <c r="Z53" i="21"/>
  <c r="Y53" i="21"/>
  <c r="X53" i="21"/>
  <c r="V53" i="21"/>
  <c r="U53" i="21"/>
  <c r="T53" i="21"/>
  <c r="R53" i="21"/>
  <c r="Q53" i="21"/>
  <c r="P53" i="21"/>
  <c r="N53" i="21"/>
  <c r="M53" i="21"/>
  <c r="L53" i="21"/>
  <c r="J53" i="21"/>
  <c r="I53" i="21"/>
  <c r="H53" i="21"/>
  <c r="F53" i="21"/>
  <c r="E53" i="21"/>
  <c r="D53" i="21"/>
  <c r="BJ52" i="21"/>
  <c r="BI52" i="21"/>
  <c r="BH52" i="21"/>
  <c r="BF52" i="21"/>
  <c r="BE52" i="21"/>
  <c r="BD52" i="21"/>
  <c r="BB52" i="21"/>
  <c r="BA52" i="21"/>
  <c r="AZ52" i="21"/>
  <c r="AX52" i="21"/>
  <c r="AW52" i="21"/>
  <c r="AV52" i="21"/>
  <c r="AT52" i="21"/>
  <c r="AS52" i="21"/>
  <c r="AR52" i="21"/>
  <c r="AP52" i="21"/>
  <c r="AO52" i="21"/>
  <c r="AN52" i="21"/>
  <c r="AL52" i="21"/>
  <c r="AK52" i="21"/>
  <c r="AJ52" i="21"/>
  <c r="AH52" i="21"/>
  <c r="AG52" i="21"/>
  <c r="AF52" i="21"/>
  <c r="AD52" i="21"/>
  <c r="AC52" i="21"/>
  <c r="AB52" i="21"/>
  <c r="Z52" i="21"/>
  <c r="Y52" i="21"/>
  <c r="X52" i="21"/>
  <c r="V52" i="21"/>
  <c r="U52" i="21"/>
  <c r="T52" i="21"/>
  <c r="R52" i="21"/>
  <c r="Q52" i="21"/>
  <c r="P52" i="21"/>
  <c r="N52" i="21"/>
  <c r="M52" i="21"/>
  <c r="L52" i="21"/>
  <c r="J52" i="21"/>
  <c r="I52" i="21"/>
  <c r="H52" i="21"/>
  <c r="F52" i="21"/>
  <c r="E52" i="21"/>
  <c r="D52" i="21"/>
  <c r="BJ51" i="21"/>
  <c r="BI51" i="21"/>
  <c r="BH51" i="21"/>
  <c r="BF51" i="21"/>
  <c r="BE51" i="21"/>
  <c r="BD51" i="21"/>
  <c r="BB51" i="21"/>
  <c r="BA51" i="21"/>
  <c r="AZ51" i="21"/>
  <c r="AX51" i="21"/>
  <c r="AW51" i="21"/>
  <c r="AV51" i="21"/>
  <c r="AT51" i="21"/>
  <c r="AS51" i="21"/>
  <c r="AR51" i="21"/>
  <c r="AP51" i="21"/>
  <c r="AO51" i="21"/>
  <c r="AN51" i="21"/>
  <c r="AL51" i="21"/>
  <c r="AK51" i="21"/>
  <c r="AJ51" i="21"/>
  <c r="AH51" i="21"/>
  <c r="AG51" i="21"/>
  <c r="AF51" i="21"/>
  <c r="AD51" i="21"/>
  <c r="AC51" i="21"/>
  <c r="AB51" i="21"/>
  <c r="Z51" i="21"/>
  <c r="Y51" i="21"/>
  <c r="X51" i="21"/>
  <c r="V51" i="21"/>
  <c r="U51" i="21"/>
  <c r="T51" i="21"/>
  <c r="R51" i="21"/>
  <c r="Q51" i="21"/>
  <c r="P51" i="21"/>
  <c r="N51" i="21"/>
  <c r="M51" i="21"/>
  <c r="L51" i="21"/>
  <c r="J51" i="21"/>
  <c r="I51" i="21"/>
  <c r="H51" i="21"/>
  <c r="F51" i="21"/>
  <c r="E51" i="21"/>
  <c r="D51" i="21"/>
  <c r="BJ50" i="21"/>
  <c r="BI50" i="21"/>
  <c r="BH50" i="21"/>
  <c r="BF50" i="21"/>
  <c r="BE50" i="21"/>
  <c r="BD50" i="21"/>
  <c r="BB50" i="21"/>
  <c r="BA50" i="21"/>
  <c r="AZ50" i="21"/>
  <c r="AX50" i="21"/>
  <c r="AW50" i="21"/>
  <c r="AV50" i="21"/>
  <c r="AT50" i="21"/>
  <c r="AS50" i="21"/>
  <c r="AR50" i="21"/>
  <c r="AP50" i="21"/>
  <c r="AO50" i="21"/>
  <c r="AN50" i="21"/>
  <c r="AL50" i="21"/>
  <c r="AK50" i="21"/>
  <c r="AJ50" i="21"/>
  <c r="AH50" i="21"/>
  <c r="AG50" i="21"/>
  <c r="AF50" i="21"/>
  <c r="AD50" i="21"/>
  <c r="AC50" i="21"/>
  <c r="AB50" i="21"/>
  <c r="Z50" i="21"/>
  <c r="Y50" i="21"/>
  <c r="X50" i="21"/>
  <c r="V50" i="21"/>
  <c r="U50" i="21"/>
  <c r="T50" i="21"/>
  <c r="R50" i="21"/>
  <c r="Q50" i="21"/>
  <c r="P50" i="21"/>
  <c r="N50" i="21"/>
  <c r="M50" i="21"/>
  <c r="L50" i="21"/>
  <c r="J50" i="21"/>
  <c r="I50" i="21"/>
  <c r="H50" i="21"/>
  <c r="F50" i="21"/>
  <c r="E50" i="21"/>
  <c r="D50" i="21"/>
  <c r="BJ49" i="21"/>
  <c r="BI49" i="21"/>
  <c r="BH49" i="21"/>
  <c r="BF49" i="21"/>
  <c r="BE49" i="21"/>
  <c r="BD49" i="21"/>
  <c r="BB49" i="21"/>
  <c r="BA49" i="21"/>
  <c r="AZ49" i="21"/>
  <c r="AX49" i="21"/>
  <c r="AW49" i="21"/>
  <c r="AV49" i="21"/>
  <c r="AT49" i="21"/>
  <c r="AS49" i="21"/>
  <c r="AR49" i="21"/>
  <c r="AP49" i="21"/>
  <c r="AO49" i="21"/>
  <c r="AN49" i="21"/>
  <c r="AL49" i="21"/>
  <c r="AK49" i="21"/>
  <c r="AJ49" i="21"/>
  <c r="AH49" i="21"/>
  <c r="AG49" i="21"/>
  <c r="AF49" i="21"/>
  <c r="AD49" i="21"/>
  <c r="AC49" i="21"/>
  <c r="AB49" i="21"/>
  <c r="Z49" i="21"/>
  <c r="Y49" i="21"/>
  <c r="X49" i="21"/>
  <c r="V49" i="21"/>
  <c r="U49" i="21"/>
  <c r="T49" i="21"/>
  <c r="R49" i="21"/>
  <c r="Q49" i="21"/>
  <c r="P49" i="21"/>
  <c r="N49" i="21"/>
  <c r="M49" i="21"/>
  <c r="L49" i="21"/>
  <c r="J49" i="21"/>
  <c r="I49" i="21"/>
  <c r="H49" i="21"/>
  <c r="F49" i="21"/>
  <c r="E49" i="21"/>
  <c r="D49" i="21"/>
  <c r="BJ48" i="21"/>
  <c r="BI48" i="21"/>
  <c r="BH48" i="21"/>
  <c r="BF48" i="21"/>
  <c r="BE48" i="21"/>
  <c r="BD48" i="21"/>
  <c r="BB48" i="21"/>
  <c r="BA48" i="21"/>
  <c r="AZ48" i="21"/>
  <c r="AX48" i="21"/>
  <c r="AW48" i="21"/>
  <c r="AV48" i="21"/>
  <c r="AT48" i="21"/>
  <c r="AS48" i="21"/>
  <c r="AR48" i="21"/>
  <c r="AP48" i="21"/>
  <c r="AO48" i="21"/>
  <c r="AN48" i="21"/>
  <c r="AL48" i="21"/>
  <c r="AK48" i="21"/>
  <c r="AJ48" i="21"/>
  <c r="AH48" i="21"/>
  <c r="AG48" i="21"/>
  <c r="AF48" i="21"/>
  <c r="AD48" i="21"/>
  <c r="AC48" i="21"/>
  <c r="AB48" i="21"/>
  <c r="Z48" i="21"/>
  <c r="Y48" i="21"/>
  <c r="X48" i="21"/>
  <c r="V48" i="21"/>
  <c r="U48" i="21"/>
  <c r="T48" i="21"/>
  <c r="R48" i="21"/>
  <c r="Q48" i="21"/>
  <c r="P48" i="21"/>
  <c r="N48" i="21"/>
  <c r="M48" i="21"/>
  <c r="L48" i="21"/>
  <c r="J48" i="21"/>
  <c r="I48" i="21"/>
  <c r="H48" i="21"/>
  <c r="F48" i="21"/>
  <c r="E48" i="21"/>
  <c r="D48" i="21"/>
  <c r="BJ47" i="21"/>
  <c r="BI47" i="21"/>
  <c r="BH47" i="21"/>
  <c r="BF47" i="21"/>
  <c r="BE47" i="21"/>
  <c r="BD47" i="21"/>
  <c r="BB47" i="21"/>
  <c r="BA47" i="21"/>
  <c r="AZ47" i="21"/>
  <c r="AX47" i="21"/>
  <c r="AW47" i="21"/>
  <c r="AV47" i="21"/>
  <c r="AT47" i="21"/>
  <c r="AS47" i="21"/>
  <c r="AR47" i="21"/>
  <c r="AP47" i="21"/>
  <c r="AO47" i="21"/>
  <c r="AN47" i="21"/>
  <c r="AL47" i="21"/>
  <c r="AK47" i="21"/>
  <c r="AJ47" i="21"/>
  <c r="AH47" i="21"/>
  <c r="AG47" i="21"/>
  <c r="AF47" i="21"/>
  <c r="AD47" i="21"/>
  <c r="AC47" i="21"/>
  <c r="AB47" i="21"/>
  <c r="Z47" i="21"/>
  <c r="Y47" i="21"/>
  <c r="X47" i="21"/>
  <c r="V47" i="21"/>
  <c r="U47" i="21"/>
  <c r="T47" i="21"/>
  <c r="R47" i="21"/>
  <c r="Q47" i="21"/>
  <c r="P47" i="21"/>
  <c r="N47" i="21"/>
  <c r="M47" i="21"/>
  <c r="L47" i="21"/>
  <c r="J47" i="21"/>
  <c r="I47" i="21"/>
  <c r="H47" i="21"/>
  <c r="F47" i="21"/>
  <c r="E47" i="21"/>
  <c r="D47" i="21"/>
  <c r="BJ46" i="21"/>
  <c r="BI46" i="21"/>
  <c r="BH46" i="21"/>
  <c r="BF46" i="21"/>
  <c r="BE46" i="21"/>
  <c r="BD46" i="21"/>
  <c r="BB46" i="21"/>
  <c r="BA46" i="21"/>
  <c r="AZ46" i="21"/>
  <c r="AX46" i="21"/>
  <c r="AW46" i="21"/>
  <c r="AV46" i="21"/>
  <c r="AT46" i="21"/>
  <c r="AS46" i="21"/>
  <c r="AR46" i="21"/>
  <c r="AP46" i="21"/>
  <c r="AO46" i="21"/>
  <c r="AN46" i="21"/>
  <c r="AL46" i="21"/>
  <c r="AK46" i="21"/>
  <c r="AJ46" i="21"/>
  <c r="AH46" i="21"/>
  <c r="AG46" i="21"/>
  <c r="AF46" i="21"/>
  <c r="AD46" i="21"/>
  <c r="AC46" i="21"/>
  <c r="AB46" i="21"/>
  <c r="Z46" i="21"/>
  <c r="Y46" i="21"/>
  <c r="X46" i="21"/>
  <c r="V46" i="21"/>
  <c r="U46" i="21"/>
  <c r="T46" i="21"/>
  <c r="R46" i="21"/>
  <c r="Q46" i="21"/>
  <c r="P46" i="21"/>
  <c r="N46" i="21"/>
  <c r="M46" i="21"/>
  <c r="L46" i="21"/>
  <c r="J46" i="21"/>
  <c r="I46" i="21"/>
  <c r="H46" i="21"/>
  <c r="F46" i="21"/>
  <c r="E46" i="21"/>
  <c r="D46" i="21"/>
  <c r="BJ45" i="21"/>
  <c r="BI45" i="21"/>
  <c r="BH45" i="21"/>
  <c r="BF45" i="21"/>
  <c r="BE45" i="21"/>
  <c r="BD45" i="21"/>
  <c r="BB45" i="21"/>
  <c r="BA45" i="21"/>
  <c r="AZ45" i="21"/>
  <c r="AX45" i="21"/>
  <c r="AW45" i="21"/>
  <c r="AV45" i="21"/>
  <c r="AT45" i="21"/>
  <c r="AS45" i="21"/>
  <c r="AR45" i="21"/>
  <c r="AP45" i="21"/>
  <c r="AO45" i="21"/>
  <c r="AN45" i="21"/>
  <c r="AL45" i="21"/>
  <c r="AK45" i="21"/>
  <c r="AJ45" i="21"/>
  <c r="AH45" i="21"/>
  <c r="AG45" i="21"/>
  <c r="AF45" i="21"/>
  <c r="AD45" i="21"/>
  <c r="AC45" i="21"/>
  <c r="AB45" i="21"/>
  <c r="Z45" i="21"/>
  <c r="Y45" i="21"/>
  <c r="X45" i="21"/>
  <c r="V45" i="21"/>
  <c r="U45" i="21"/>
  <c r="T45" i="21"/>
  <c r="R45" i="21"/>
  <c r="Q45" i="21"/>
  <c r="P45" i="21"/>
  <c r="N45" i="21"/>
  <c r="M45" i="21"/>
  <c r="L45" i="21"/>
  <c r="J45" i="21"/>
  <c r="I45" i="21"/>
  <c r="H45" i="21"/>
  <c r="F45" i="21"/>
  <c r="E45" i="21"/>
  <c r="D45" i="21"/>
  <c r="BJ44" i="21"/>
  <c r="BI44" i="21"/>
  <c r="BH44" i="21"/>
  <c r="BF44" i="21"/>
  <c r="BE44" i="21"/>
  <c r="BD44" i="21"/>
  <c r="BB44" i="21"/>
  <c r="BA44" i="21"/>
  <c r="AZ44" i="21"/>
  <c r="AX44" i="21"/>
  <c r="AW44" i="21"/>
  <c r="AV44" i="21"/>
  <c r="AT44" i="21"/>
  <c r="AS44" i="21"/>
  <c r="AR44" i="21"/>
  <c r="AP44" i="21"/>
  <c r="AO44" i="21"/>
  <c r="AN44" i="21"/>
  <c r="AL44" i="21"/>
  <c r="AK44" i="21"/>
  <c r="AJ44" i="21"/>
  <c r="AH44" i="21"/>
  <c r="AG44" i="21"/>
  <c r="AF44" i="21"/>
  <c r="AD44" i="21"/>
  <c r="AC44" i="21"/>
  <c r="AB44" i="21"/>
  <c r="Z44" i="21"/>
  <c r="Y44" i="21"/>
  <c r="X44" i="21"/>
  <c r="V44" i="21"/>
  <c r="U44" i="21"/>
  <c r="T44" i="21"/>
  <c r="R44" i="21"/>
  <c r="Q44" i="21"/>
  <c r="P44" i="21"/>
  <c r="N44" i="21"/>
  <c r="M44" i="21"/>
  <c r="L44" i="21"/>
  <c r="J44" i="21"/>
  <c r="I44" i="21"/>
  <c r="H44" i="21"/>
  <c r="F44" i="21"/>
  <c r="E44" i="21"/>
  <c r="D44" i="21"/>
  <c r="I83" i="12"/>
  <c r="AD82" i="6"/>
  <c r="I51" i="12"/>
  <c r="AD50" i="6"/>
  <c r="I53" i="12"/>
  <c r="AD52" i="6"/>
  <c r="I55" i="12"/>
  <c r="AD54" i="6"/>
  <c r="I57" i="12"/>
  <c r="AD56" i="6"/>
  <c r="I58" i="12"/>
  <c r="AD57" i="6"/>
  <c r="I59" i="12"/>
  <c r="AD58" i="6"/>
  <c r="I60" i="12"/>
  <c r="AD59" i="6"/>
  <c r="I61" i="12"/>
  <c r="AD60" i="6"/>
  <c r="I62" i="12"/>
  <c r="AD61" i="6"/>
  <c r="I63" i="12"/>
  <c r="AD62" i="6"/>
  <c r="I65" i="12"/>
  <c r="AD64" i="6"/>
  <c r="I66" i="12"/>
  <c r="AD65" i="6"/>
  <c r="I67" i="12"/>
  <c r="AD66" i="6"/>
  <c r="I69" i="12"/>
  <c r="AD68" i="6"/>
  <c r="I71" i="12"/>
  <c r="AD70" i="6"/>
  <c r="I73" i="12"/>
  <c r="AD72" i="6"/>
  <c r="I74" i="12"/>
  <c r="AD73" i="6"/>
  <c r="I75" i="12"/>
  <c r="AD74" i="6"/>
  <c r="I76" i="12"/>
  <c r="AD75" i="6"/>
  <c r="I77" i="12"/>
  <c r="AD76" i="6"/>
  <c r="I78" i="12"/>
  <c r="AD77" i="6"/>
  <c r="I79" i="12"/>
  <c r="AD78" i="6"/>
  <c r="I81" i="12"/>
  <c r="AD80" i="6"/>
  <c r="I82" i="12"/>
  <c r="AD81" i="6"/>
  <c r="W15" i="21"/>
  <c r="S15" i="21"/>
  <c r="AA59" i="6"/>
  <c r="S11" i="21"/>
  <c r="AC57" i="6"/>
  <c r="C22" i="21"/>
  <c r="F93" i="5"/>
  <c r="K34" i="21"/>
  <c r="J105" i="5"/>
  <c r="K35" i="21"/>
  <c r="J106" i="5"/>
  <c r="G30" i="21"/>
  <c r="H101" i="5"/>
  <c r="G27" i="21"/>
  <c r="H98" i="5"/>
  <c r="K26" i="21"/>
  <c r="J97" i="5"/>
  <c r="C18" i="21"/>
  <c r="F89" i="5"/>
  <c r="G35" i="21"/>
  <c r="H106" i="5"/>
  <c r="G33" i="21"/>
  <c r="H104" i="5"/>
  <c r="K33" i="21"/>
  <c r="J104" i="5"/>
  <c r="C32" i="21"/>
  <c r="F103" i="5"/>
  <c r="G31" i="21"/>
  <c r="H102" i="5"/>
  <c r="K29" i="21"/>
  <c r="J100" i="5"/>
  <c r="G29" i="21"/>
  <c r="H100" i="5"/>
  <c r="C28" i="21"/>
  <c r="F99" i="5"/>
  <c r="G25" i="21"/>
  <c r="H96" i="5"/>
  <c r="K25" i="21"/>
  <c r="J96" i="5"/>
  <c r="C24" i="21"/>
  <c r="F95" i="5"/>
  <c r="G23" i="21"/>
  <c r="H94" i="5"/>
  <c r="G22" i="21"/>
  <c r="H93" i="5"/>
  <c r="K22" i="21"/>
  <c r="J93" i="5"/>
  <c r="C35" i="21"/>
  <c r="F106" i="5"/>
  <c r="C34" i="21"/>
  <c r="F105" i="5"/>
  <c r="G34" i="21"/>
  <c r="H105" i="5"/>
  <c r="C33" i="21"/>
  <c r="F104" i="5"/>
  <c r="G32" i="21"/>
  <c r="H103" i="5"/>
  <c r="K32" i="21"/>
  <c r="J103" i="5"/>
  <c r="C31" i="21"/>
  <c r="F102" i="5"/>
  <c r="K31" i="21"/>
  <c r="J102" i="5"/>
  <c r="K30" i="21"/>
  <c r="J101" i="5"/>
  <c r="C29" i="21"/>
  <c r="F100" i="5"/>
  <c r="K28" i="21"/>
  <c r="J99" i="5"/>
  <c r="G28" i="21"/>
  <c r="H99" i="5"/>
  <c r="K27" i="21"/>
  <c r="J98" i="5"/>
  <c r="C26" i="21"/>
  <c r="F97" i="5"/>
  <c r="G26" i="21"/>
  <c r="H97" i="5"/>
  <c r="C25" i="21"/>
  <c r="F96" i="5"/>
  <c r="G24" i="21"/>
  <c r="H95" i="5"/>
  <c r="K24" i="21"/>
  <c r="J95" i="5"/>
  <c r="C23" i="21"/>
  <c r="F94" i="5"/>
  <c r="K23" i="21"/>
  <c r="J94" i="5"/>
  <c r="K21" i="21"/>
  <c r="J92" i="5"/>
  <c r="C21" i="21"/>
  <c r="F92" i="5"/>
  <c r="G21" i="21"/>
  <c r="H92" i="5"/>
  <c r="C20" i="21"/>
  <c r="F91" i="5"/>
  <c r="K20" i="21"/>
  <c r="J91" i="5"/>
  <c r="G20" i="21"/>
  <c r="H91" i="5"/>
  <c r="K19" i="21"/>
  <c r="J90" i="5"/>
  <c r="C19" i="21"/>
  <c r="F90" i="5"/>
  <c r="G19" i="21"/>
  <c r="H90" i="5"/>
  <c r="K18" i="21"/>
  <c r="J89" i="5"/>
  <c r="G18" i="21"/>
  <c r="H89" i="5"/>
  <c r="K17" i="21"/>
  <c r="J88" i="5"/>
  <c r="G17" i="21"/>
  <c r="H88" i="5"/>
  <c r="C27" i="21"/>
  <c r="F98" i="5"/>
  <c r="C17" i="21"/>
  <c r="F88" i="5"/>
  <c r="C4" i="21"/>
  <c r="F75" i="5"/>
  <c r="G5" i="21"/>
  <c r="H76" i="5"/>
  <c r="K6" i="21"/>
  <c r="J77" i="5"/>
  <c r="C8" i="21"/>
  <c r="F79" i="5"/>
  <c r="G9" i="21"/>
  <c r="H80" i="5"/>
  <c r="K10" i="21"/>
  <c r="J81" i="5"/>
  <c r="C12" i="21"/>
  <c r="F83" i="5"/>
  <c r="G13" i="21"/>
  <c r="H84" i="5"/>
  <c r="K14" i="21"/>
  <c r="J85" i="5"/>
  <c r="C16" i="21"/>
  <c r="F87" i="5"/>
  <c r="G6" i="21"/>
  <c r="H77" i="5"/>
  <c r="K7" i="21"/>
  <c r="J78" i="5"/>
  <c r="C9" i="21"/>
  <c r="F80" i="5"/>
  <c r="G10" i="21"/>
  <c r="H81" i="5"/>
  <c r="K11" i="21"/>
  <c r="J82" i="5"/>
  <c r="C13" i="21"/>
  <c r="F84" i="5"/>
  <c r="G14" i="21"/>
  <c r="H85" i="5"/>
  <c r="K15" i="21"/>
  <c r="J86" i="5"/>
  <c r="K4" i="21"/>
  <c r="J75" i="5"/>
  <c r="C6" i="21"/>
  <c r="F77" i="5"/>
  <c r="G7" i="21"/>
  <c r="H78" i="5"/>
  <c r="K8" i="21"/>
  <c r="J79" i="5"/>
  <c r="C10" i="21"/>
  <c r="F81" i="5"/>
  <c r="G11" i="21"/>
  <c r="H82" i="5"/>
  <c r="K12" i="21"/>
  <c r="J83" i="5"/>
  <c r="C14" i="21"/>
  <c r="F85" i="5"/>
  <c r="G15" i="21"/>
  <c r="H86" i="5"/>
  <c r="K16" i="21"/>
  <c r="J87" i="5"/>
  <c r="G4" i="21"/>
  <c r="H75" i="5"/>
  <c r="G8" i="21"/>
  <c r="H79" i="5"/>
  <c r="G12" i="21"/>
  <c r="H83" i="5"/>
  <c r="G16" i="21"/>
  <c r="H87" i="5"/>
  <c r="K5" i="21"/>
  <c r="J76" i="5"/>
  <c r="C7" i="21"/>
  <c r="F78" i="5"/>
  <c r="K9" i="21"/>
  <c r="J80" i="5"/>
  <c r="C11" i="21"/>
  <c r="F82" i="5"/>
  <c r="K13" i="21"/>
  <c r="J84" i="5"/>
  <c r="C15" i="21"/>
  <c r="F86" i="5"/>
  <c r="C5" i="21"/>
  <c r="F76" i="5"/>
  <c r="C3" i="21"/>
  <c r="F74" i="5"/>
  <c r="K3" i="21"/>
  <c r="J74" i="5"/>
  <c r="G3" i="21"/>
  <c r="H74" i="5"/>
  <c r="A14" i="14"/>
  <c r="V7" i="6"/>
  <c r="BJ78" i="14"/>
  <c r="BI78" i="14"/>
  <c r="BH78" i="14"/>
  <c r="BJ77" i="14"/>
  <c r="BI77" i="14"/>
  <c r="BH77" i="14"/>
  <c r="BJ76" i="14"/>
  <c r="BI76" i="14"/>
  <c r="BH76" i="14"/>
  <c r="BJ75" i="14"/>
  <c r="BI75" i="14"/>
  <c r="BH75" i="14"/>
  <c r="BJ74" i="14"/>
  <c r="BI74" i="14"/>
  <c r="BH74" i="14"/>
  <c r="BJ73" i="14"/>
  <c r="BI73" i="14"/>
  <c r="BH73" i="14"/>
  <c r="BJ72" i="14"/>
  <c r="BI72" i="14"/>
  <c r="BH72" i="14"/>
  <c r="BJ71" i="14"/>
  <c r="BI71" i="14"/>
  <c r="BH71" i="14"/>
  <c r="BJ70" i="14"/>
  <c r="BI70" i="14"/>
  <c r="BH70" i="14"/>
  <c r="BJ69" i="14"/>
  <c r="BI69" i="14"/>
  <c r="BH69" i="14"/>
  <c r="BJ68" i="14"/>
  <c r="BI68" i="14"/>
  <c r="BH68" i="14"/>
  <c r="BJ67" i="14"/>
  <c r="BI67" i="14"/>
  <c r="BH67" i="14"/>
  <c r="BJ66" i="14"/>
  <c r="BI66" i="14"/>
  <c r="BH66" i="14"/>
  <c r="BJ65" i="14"/>
  <c r="BI65" i="14"/>
  <c r="BH65" i="14"/>
  <c r="BJ64" i="14"/>
  <c r="BI64" i="14"/>
  <c r="BH64" i="14"/>
  <c r="BJ63" i="14"/>
  <c r="BI63" i="14"/>
  <c r="BH63" i="14"/>
  <c r="BJ62" i="14"/>
  <c r="BI62" i="14"/>
  <c r="BH62" i="14"/>
  <c r="BJ61" i="14"/>
  <c r="BI61" i="14"/>
  <c r="BH61" i="14"/>
  <c r="BJ60" i="14"/>
  <c r="BI60" i="14"/>
  <c r="BH60" i="14"/>
  <c r="BJ59" i="14"/>
  <c r="BI59" i="14"/>
  <c r="BH59" i="14"/>
  <c r="BJ58" i="14"/>
  <c r="BI58" i="14"/>
  <c r="BH58" i="14"/>
  <c r="BJ57" i="14"/>
  <c r="BI57" i="14"/>
  <c r="BH57" i="14"/>
  <c r="BJ56" i="14"/>
  <c r="BI56" i="14"/>
  <c r="BH56" i="14"/>
  <c r="BJ55" i="14"/>
  <c r="BI55" i="14"/>
  <c r="BH55" i="14"/>
  <c r="BJ54" i="14"/>
  <c r="BI54" i="14"/>
  <c r="BH54" i="14"/>
  <c r="BJ53" i="14"/>
  <c r="BI53" i="14"/>
  <c r="BH53" i="14"/>
  <c r="BJ52" i="14"/>
  <c r="BI52" i="14"/>
  <c r="BH52" i="14"/>
  <c r="BJ51" i="14"/>
  <c r="BI51" i="14"/>
  <c r="BH51" i="14"/>
  <c r="BJ50" i="14"/>
  <c r="BI50" i="14"/>
  <c r="BH50" i="14"/>
  <c r="BJ49" i="14"/>
  <c r="BI49" i="14"/>
  <c r="BH49" i="14"/>
  <c r="BJ48" i="14"/>
  <c r="BI48" i="14"/>
  <c r="BH48" i="14"/>
  <c r="BJ47" i="14"/>
  <c r="BI47" i="14"/>
  <c r="BH47" i="14"/>
  <c r="BJ46" i="14"/>
  <c r="BI46" i="14"/>
  <c r="BH46" i="14"/>
  <c r="BJ45" i="14"/>
  <c r="BI45" i="14"/>
  <c r="BH45" i="14"/>
  <c r="BJ44" i="14"/>
  <c r="BI44" i="14"/>
  <c r="BH44" i="14"/>
  <c r="BJ43" i="14"/>
  <c r="BI43" i="14"/>
  <c r="BH43" i="14"/>
  <c r="BJ42" i="14"/>
  <c r="BI42" i="14"/>
  <c r="BH42" i="14"/>
  <c r="BJ41" i="14"/>
  <c r="BI41" i="14"/>
  <c r="BH41" i="14"/>
  <c r="BJ40" i="14"/>
  <c r="BI40" i="14"/>
  <c r="BH40" i="14"/>
  <c r="BJ39" i="14"/>
  <c r="BI39" i="14"/>
  <c r="BH39" i="14"/>
  <c r="BJ38" i="14"/>
  <c r="BI38" i="14"/>
  <c r="BH38" i="14"/>
  <c r="BJ37" i="14"/>
  <c r="BI37" i="14"/>
  <c r="BH37" i="14"/>
  <c r="BJ36" i="14"/>
  <c r="BI36" i="14"/>
  <c r="BH36" i="14"/>
  <c r="BJ35" i="14"/>
  <c r="BI35" i="14"/>
  <c r="BH35" i="14"/>
  <c r="BJ34" i="14"/>
  <c r="BI34" i="14"/>
  <c r="BH34" i="14"/>
  <c r="BJ33" i="14"/>
  <c r="BI33" i="14"/>
  <c r="BH33" i="14"/>
  <c r="BJ32" i="14"/>
  <c r="BI32" i="14"/>
  <c r="BH32" i="14"/>
  <c r="BJ31" i="14"/>
  <c r="BI31" i="14"/>
  <c r="BH31" i="14"/>
  <c r="BJ30" i="14"/>
  <c r="BI30" i="14"/>
  <c r="BH30" i="14"/>
  <c r="BJ29" i="14"/>
  <c r="BI29" i="14"/>
  <c r="BH29" i="14"/>
  <c r="BJ28" i="14"/>
  <c r="BI28" i="14"/>
  <c r="BH28" i="14"/>
  <c r="BJ27" i="14"/>
  <c r="BI27" i="14"/>
  <c r="BH27" i="14"/>
  <c r="BJ26" i="14"/>
  <c r="BI26" i="14"/>
  <c r="BH26" i="14"/>
  <c r="BJ25" i="14"/>
  <c r="BI25" i="14"/>
  <c r="BH25" i="14"/>
  <c r="BJ24" i="14"/>
  <c r="BI24" i="14"/>
  <c r="BH24" i="14"/>
  <c r="BJ23" i="14"/>
  <c r="BI23" i="14"/>
  <c r="BH23" i="14"/>
  <c r="BJ22" i="14"/>
  <c r="BI22" i="14"/>
  <c r="BH22" i="14"/>
  <c r="BJ21" i="14"/>
  <c r="BI21" i="14"/>
  <c r="BH21" i="14"/>
  <c r="BJ20" i="14"/>
  <c r="BI20" i="14"/>
  <c r="BH20" i="14"/>
  <c r="C17" i="14"/>
  <c r="F53" i="5"/>
  <c r="W17" i="14"/>
  <c r="S17" i="14"/>
  <c r="O17" i="14"/>
  <c r="W16" i="14"/>
  <c r="S16" i="14"/>
  <c r="O16" i="14"/>
  <c r="W15" i="14"/>
  <c r="S15" i="14"/>
  <c r="O15" i="14"/>
  <c r="W14" i="14"/>
  <c r="S14" i="14"/>
  <c r="O14" i="14"/>
  <c r="W13" i="14"/>
  <c r="S13" i="14"/>
  <c r="O13" i="14"/>
  <c r="W12" i="14"/>
  <c r="S12" i="14"/>
  <c r="O12" i="14"/>
  <c r="W11" i="14"/>
  <c r="S11" i="14"/>
  <c r="O11" i="14"/>
  <c r="W10" i="14"/>
  <c r="S10" i="14"/>
  <c r="O10" i="14"/>
  <c r="W9" i="14"/>
  <c r="S9" i="14"/>
  <c r="O9" i="14"/>
  <c r="W8" i="14"/>
  <c r="S8" i="14"/>
  <c r="O8" i="14"/>
  <c r="W7" i="14"/>
  <c r="S7" i="14"/>
  <c r="O7" i="14"/>
  <c r="O6" i="14"/>
  <c r="W5" i="14"/>
  <c r="S5" i="14"/>
  <c r="O5" i="14"/>
  <c r="O4" i="14"/>
  <c r="W3" i="14"/>
  <c r="S3" i="14"/>
  <c r="O3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A17" i="14"/>
  <c r="BG19" i="14"/>
  <c r="A16" i="14"/>
  <c r="BC19" i="14"/>
  <c r="A15" i="14"/>
  <c r="AY19" i="14"/>
  <c r="A13" i="14"/>
  <c r="A12" i="14"/>
  <c r="A11" i="14"/>
  <c r="A10" i="14"/>
  <c r="A9" i="14"/>
  <c r="A8" i="14"/>
  <c r="A7" i="14"/>
  <c r="A6" i="14"/>
  <c r="A5" i="14"/>
  <c r="A4" i="14"/>
  <c r="A3" i="14"/>
  <c r="Y51" i="6"/>
  <c r="Y50" i="6"/>
  <c r="Y49" i="6"/>
  <c r="Y48" i="6"/>
  <c r="Y47" i="6"/>
  <c r="Y46" i="6"/>
  <c r="Y45" i="6"/>
  <c r="Y44" i="6"/>
  <c r="Y43" i="6"/>
  <c r="Y42" i="6"/>
  <c r="Y41" i="6"/>
  <c r="Y40" i="6"/>
  <c r="Y39" i="6"/>
  <c r="Y38" i="6"/>
  <c r="Y37" i="6"/>
  <c r="Y36" i="6"/>
  <c r="Y35" i="6"/>
  <c r="Y34" i="6"/>
  <c r="Y33" i="6"/>
  <c r="Y32" i="6"/>
  <c r="Y31" i="6"/>
  <c r="Y30" i="6"/>
  <c r="Y29" i="6"/>
  <c r="Y28" i="6"/>
  <c r="Y27" i="6"/>
  <c r="Y26" i="6"/>
  <c r="Y25" i="6"/>
  <c r="Y24" i="6"/>
  <c r="Y23" i="6"/>
  <c r="Y22" i="6"/>
  <c r="Y21" i="6"/>
  <c r="Y20" i="6"/>
  <c r="Y19" i="6"/>
  <c r="Y18" i="6"/>
  <c r="Y17" i="6"/>
  <c r="Y16" i="6"/>
  <c r="Y15" i="6"/>
  <c r="Y14" i="6"/>
  <c r="Y13" i="6"/>
  <c r="Y12" i="6"/>
  <c r="Y11" i="6"/>
  <c r="Y10" i="6"/>
  <c r="Y9" i="6"/>
  <c r="Y8" i="6"/>
  <c r="Y7" i="6"/>
  <c r="Y6" i="6"/>
  <c r="Y5" i="6"/>
  <c r="Y4" i="6"/>
  <c r="AX20" i="14"/>
  <c r="BF78" i="14"/>
  <c r="BE78" i="14"/>
  <c r="BD78" i="14"/>
  <c r="BF77" i="14"/>
  <c r="BE77" i="14"/>
  <c r="BD77" i="14"/>
  <c r="BF76" i="14"/>
  <c r="BE76" i="14"/>
  <c r="BD76" i="14"/>
  <c r="BF75" i="14"/>
  <c r="BE75" i="14"/>
  <c r="BD75" i="14"/>
  <c r="BF74" i="14"/>
  <c r="BE74" i="14"/>
  <c r="BD74" i="14"/>
  <c r="BF73" i="14"/>
  <c r="BE73" i="14"/>
  <c r="BD73" i="14"/>
  <c r="BF72" i="14"/>
  <c r="BE72" i="14"/>
  <c r="BD72" i="14"/>
  <c r="BF71" i="14"/>
  <c r="BE71" i="14"/>
  <c r="BD71" i="14"/>
  <c r="BF70" i="14"/>
  <c r="BE70" i="14"/>
  <c r="BD70" i="14"/>
  <c r="BF69" i="14"/>
  <c r="BE69" i="14"/>
  <c r="BD69" i="14"/>
  <c r="BF68" i="14"/>
  <c r="BE68" i="14"/>
  <c r="BD68" i="14"/>
  <c r="BF67" i="14"/>
  <c r="BE67" i="14"/>
  <c r="BD67" i="14"/>
  <c r="BF66" i="14"/>
  <c r="BE66" i="14"/>
  <c r="BD66" i="14"/>
  <c r="BF65" i="14"/>
  <c r="BE65" i="14"/>
  <c r="BD65" i="14"/>
  <c r="BF64" i="14"/>
  <c r="BE64" i="14"/>
  <c r="BD64" i="14"/>
  <c r="BF63" i="14"/>
  <c r="BE63" i="14"/>
  <c r="BD63" i="14"/>
  <c r="BF62" i="14"/>
  <c r="BE62" i="14"/>
  <c r="BD62" i="14"/>
  <c r="BF61" i="14"/>
  <c r="BE61" i="14"/>
  <c r="BD61" i="14"/>
  <c r="BF60" i="14"/>
  <c r="BE60" i="14"/>
  <c r="BD60" i="14"/>
  <c r="BF59" i="14"/>
  <c r="BE59" i="14"/>
  <c r="BD59" i="14"/>
  <c r="BF58" i="14"/>
  <c r="BE58" i="14"/>
  <c r="BD58" i="14"/>
  <c r="BF57" i="14"/>
  <c r="BE57" i="14"/>
  <c r="BD57" i="14"/>
  <c r="BF56" i="14"/>
  <c r="BE56" i="14"/>
  <c r="BD56" i="14"/>
  <c r="BF55" i="14"/>
  <c r="BE55" i="14"/>
  <c r="BD55" i="14"/>
  <c r="BF54" i="14"/>
  <c r="BE54" i="14"/>
  <c r="BD54" i="14"/>
  <c r="BF53" i="14"/>
  <c r="BE53" i="14"/>
  <c r="BD53" i="14"/>
  <c r="BF52" i="14"/>
  <c r="BE52" i="14"/>
  <c r="BD52" i="14"/>
  <c r="BF51" i="14"/>
  <c r="BE51" i="14"/>
  <c r="BD51" i="14"/>
  <c r="BF50" i="14"/>
  <c r="BE50" i="14"/>
  <c r="BD50" i="14"/>
  <c r="BF49" i="14"/>
  <c r="BE49" i="14"/>
  <c r="BD49" i="14"/>
  <c r="BF48" i="14"/>
  <c r="BE48" i="14"/>
  <c r="BD48" i="14"/>
  <c r="BF47" i="14"/>
  <c r="BE47" i="14"/>
  <c r="BD47" i="14"/>
  <c r="BF46" i="14"/>
  <c r="BE46" i="14"/>
  <c r="BD46" i="14"/>
  <c r="BF45" i="14"/>
  <c r="BE45" i="14"/>
  <c r="BD45" i="14"/>
  <c r="BF44" i="14"/>
  <c r="BE44" i="14"/>
  <c r="BD44" i="14"/>
  <c r="BF43" i="14"/>
  <c r="BE43" i="14"/>
  <c r="BD43" i="14"/>
  <c r="BF42" i="14"/>
  <c r="BE42" i="14"/>
  <c r="BD42" i="14"/>
  <c r="BF41" i="14"/>
  <c r="BE41" i="14"/>
  <c r="BD41" i="14"/>
  <c r="BF40" i="14"/>
  <c r="BE40" i="14"/>
  <c r="BD40" i="14"/>
  <c r="BF39" i="14"/>
  <c r="BE39" i="14"/>
  <c r="BD39" i="14"/>
  <c r="BF38" i="14"/>
  <c r="BE38" i="14"/>
  <c r="BD38" i="14"/>
  <c r="BF37" i="14"/>
  <c r="BE37" i="14"/>
  <c r="BD37" i="14"/>
  <c r="BF36" i="14"/>
  <c r="BE36" i="14"/>
  <c r="BD36" i="14"/>
  <c r="BF35" i="14"/>
  <c r="BE35" i="14"/>
  <c r="BD35" i="14"/>
  <c r="BF34" i="14"/>
  <c r="BE34" i="14"/>
  <c r="BD34" i="14"/>
  <c r="BF33" i="14"/>
  <c r="BE33" i="14"/>
  <c r="BD33" i="14"/>
  <c r="BF32" i="14"/>
  <c r="BE32" i="14"/>
  <c r="BD32" i="14"/>
  <c r="BF31" i="14"/>
  <c r="BE31" i="14"/>
  <c r="BD31" i="14"/>
  <c r="BF30" i="14"/>
  <c r="BE30" i="14"/>
  <c r="BD30" i="14"/>
  <c r="BF29" i="14"/>
  <c r="BE29" i="14"/>
  <c r="BD29" i="14"/>
  <c r="BF28" i="14"/>
  <c r="BE28" i="14"/>
  <c r="BD28" i="14"/>
  <c r="BF27" i="14"/>
  <c r="BE27" i="14"/>
  <c r="BD27" i="14"/>
  <c r="BF26" i="14"/>
  <c r="BE26" i="14"/>
  <c r="BD26" i="14"/>
  <c r="BF25" i="14"/>
  <c r="BE25" i="14"/>
  <c r="BD25" i="14"/>
  <c r="BF24" i="14"/>
  <c r="BE24" i="14"/>
  <c r="BD24" i="14"/>
  <c r="BF23" i="14"/>
  <c r="BE23" i="14"/>
  <c r="BD23" i="14"/>
  <c r="BF22" i="14"/>
  <c r="BE22" i="14"/>
  <c r="BD22" i="14"/>
  <c r="BF21" i="14"/>
  <c r="BE21" i="14"/>
  <c r="BD21" i="14"/>
  <c r="BF20" i="14"/>
  <c r="BE20" i="14"/>
  <c r="BD20" i="14"/>
  <c r="C16" i="14"/>
  <c r="F52" i="5"/>
  <c r="K16" i="14"/>
  <c r="J52" i="5"/>
  <c r="K17" i="14"/>
  <c r="J53" i="5"/>
  <c r="G16" i="14"/>
  <c r="H52" i="5"/>
  <c r="G17" i="14"/>
  <c r="H53" i="5"/>
  <c r="W8" i="15"/>
  <c r="S8" i="15"/>
  <c r="O8" i="15"/>
  <c r="W7" i="15"/>
  <c r="S7" i="15"/>
  <c r="O7" i="15"/>
  <c r="W6" i="15"/>
  <c r="S6" i="15"/>
  <c r="O6" i="15"/>
  <c r="W5" i="15"/>
  <c r="S5" i="15"/>
  <c r="O5" i="15"/>
  <c r="W4" i="15"/>
  <c r="S4" i="15"/>
  <c r="O4" i="15"/>
  <c r="W3" i="15"/>
  <c r="S3" i="15"/>
  <c r="O3" i="15"/>
  <c r="B3" i="15"/>
  <c r="B7" i="15"/>
  <c r="B6" i="15"/>
  <c r="B5" i="15"/>
  <c r="B4" i="15"/>
  <c r="A8" i="15"/>
  <c r="A7" i="15"/>
  <c r="A6" i="15"/>
  <c r="A5" i="15"/>
  <c r="A4" i="15"/>
  <c r="A3" i="15"/>
  <c r="W9" i="16"/>
  <c r="S9" i="16"/>
  <c r="O9" i="16"/>
  <c r="W8" i="16"/>
  <c r="S8" i="16"/>
  <c r="O8" i="16"/>
  <c r="W7" i="16"/>
  <c r="S7" i="16"/>
  <c r="O7" i="16"/>
  <c r="W6" i="16"/>
  <c r="S6" i="16"/>
  <c r="O6" i="16"/>
  <c r="W5" i="16"/>
  <c r="S5" i="16"/>
  <c r="O5" i="16"/>
  <c r="W4" i="16"/>
  <c r="S4" i="16"/>
  <c r="O4" i="16"/>
  <c r="W3" i="16"/>
  <c r="S3" i="16"/>
  <c r="O3" i="16"/>
  <c r="B9" i="16"/>
  <c r="B8" i="16"/>
  <c r="B7" i="16"/>
  <c r="B6" i="16"/>
  <c r="B5" i="16"/>
  <c r="B4" i="16"/>
  <c r="B3" i="16"/>
  <c r="A9" i="16"/>
  <c r="A8" i="16"/>
  <c r="W17" i="16"/>
  <c r="A7" i="16"/>
  <c r="A6" i="16"/>
  <c r="O17" i="16"/>
  <c r="A5" i="16"/>
  <c r="A4" i="16"/>
  <c r="G17" i="16"/>
  <c r="A3" i="16"/>
  <c r="W9" i="18"/>
  <c r="S9" i="18"/>
  <c r="O9" i="18"/>
  <c r="W8" i="18"/>
  <c r="S8" i="18"/>
  <c r="O8" i="18"/>
  <c r="W7" i="18"/>
  <c r="S7" i="18"/>
  <c r="O7" i="18"/>
  <c r="W6" i="18"/>
  <c r="S6" i="18"/>
  <c r="O6" i="18"/>
  <c r="W5" i="18"/>
  <c r="S5" i="18"/>
  <c r="O5" i="18"/>
  <c r="W4" i="18"/>
  <c r="S4" i="18"/>
  <c r="O4" i="18"/>
  <c r="W3" i="18"/>
  <c r="S3" i="18"/>
  <c r="O3" i="18"/>
  <c r="B9" i="18"/>
  <c r="B7" i="18"/>
  <c r="B6" i="18"/>
  <c r="B5" i="18"/>
  <c r="B4" i="18"/>
  <c r="B3" i="18"/>
  <c r="A9" i="18"/>
  <c r="AA17" i="18"/>
  <c r="A8" i="18"/>
  <c r="W17" i="18"/>
  <c r="A7" i="18"/>
  <c r="S17" i="18"/>
  <c r="A6" i="18"/>
  <c r="A5" i="18"/>
  <c r="A4" i="18"/>
  <c r="G17" i="18"/>
  <c r="A3" i="18"/>
  <c r="C17" i="18"/>
  <c r="BB76" i="18"/>
  <c r="BA76" i="18"/>
  <c r="AZ76" i="18"/>
  <c r="AX76" i="18"/>
  <c r="AW76" i="18"/>
  <c r="AV76" i="18"/>
  <c r="AT76" i="18"/>
  <c r="AS76" i="18"/>
  <c r="AR76" i="18"/>
  <c r="AP76" i="18"/>
  <c r="AO76" i="18"/>
  <c r="AN76" i="18"/>
  <c r="AL76" i="18"/>
  <c r="AK76" i="18"/>
  <c r="AJ76" i="18"/>
  <c r="AH76" i="18"/>
  <c r="AG76" i="18"/>
  <c r="AF76" i="18"/>
  <c r="AD76" i="18"/>
  <c r="AC76" i="18"/>
  <c r="AB76" i="18"/>
  <c r="Z76" i="18"/>
  <c r="Y76" i="18"/>
  <c r="X76" i="18"/>
  <c r="V76" i="18"/>
  <c r="U76" i="18"/>
  <c r="T76" i="18"/>
  <c r="R76" i="18"/>
  <c r="Q76" i="18"/>
  <c r="P76" i="18"/>
  <c r="N76" i="18"/>
  <c r="M76" i="18"/>
  <c r="L76" i="18"/>
  <c r="J76" i="18"/>
  <c r="I76" i="18"/>
  <c r="H76" i="18"/>
  <c r="F76" i="18"/>
  <c r="E76" i="18"/>
  <c r="D76" i="18"/>
  <c r="BB75" i="18"/>
  <c r="BA75" i="18"/>
  <c r="AZ75" i="18"/>
  <c r="AX75" i="18"/>
  <c r="AW75" i="18"/>
  <c r="AV75" i="18"/>
  <c r="AT75" i="18"/>
  <c r="AS75" i="18"/>
  <c r="AR75" i="18"/>
  <c r="AP75" i="18"/>
  <c r="AO75" i="18"/>
  <c r="AN75" i="18"/>
  <c r="AL75" i="18"/>
  <c r="AK75" i="18"/>
  <c r="AJ75" i="18"/>
  <c r="AH75" i="18"/>
  <c r="AG75" i="18"/>
  <c r="AF75" i="18"/>
  <c r="AD75" i="18"/>
  <c r="AC75" i="18"/>
  <c r="AB75" i="18"/>
  <c r="Z75" i="18"/>
  <c r="Y75" i="18"/>
  <c r="X75" i="18"/>
  <c r="V75" i="18"/>
  <c r="U75" i="18"/>
  <c r="T75" i="18"/>
  <c r="R75" i="18"/>
  <c r="Q75" i="18"/>
  <c r="P75" i="18"/>
  <c r="N75" i="18"/>
  <c r="M75" i="18"/>
  <c r="L75" i="18"/>
  <c r="J75" i="18"/>
  <c r="I75" i="18"/>
  <c r="H75" i="18"/>
  <c r="F75" i="18"/>
  <c r="E75" i="18"/>
  <c r="D75" i="18"/>
  <c r="BB74" i="18"/>
  <c r="BA74" i="18"/>
  <c r="AZ74" i="18"/>
  <c r="AX74" i="18"/>
  <c r="AW74" i="18"/>
  <c r="AV74" i="18"/>
  <c r="AT74" i="18"/>
  <c r="AS74" i="18"/>
  <c r="AR74" i="18"/>
  <c r="AP74" i="18"/>
  <c r="AO74" i="18"/>
  <c r="AN74" i="18"/>
  <c r="AL74" i="18"/>
  <c r="AK74" i="18"/>
  <c r="AJ74" i="18"/>
  <c r="AH74" i="18"/>
  <c r="AG74" i="18"/>
  <c r="AF74" i="18"/>
  <c r="AD74" i="18"/>
  <c r="AC74" i="18"/>
  <c r="AB74" i="18"/>
  <c r="Z74" i="18"/>
  <c r="Y74" i="18"/>
  <c r="X74" i="18"/>
  <c r="V74" i="18"/>
  <c r="U74" i="18"/>
  <c r="T74" i="18"/>
  <c r="R74" i="18"/>
  <c r="Q74" i="18"/>
  <c r="P74" i="18"/>
  <c r="N74" i="18"/>
  <c r="M74" i="18"/>
  <c r="L74" i="18"/>
  <c r="J74" i="18"/>
  <c r="I74" i="18"/>
  <c r="H74" i="18"/>
  <c r="F74" i="18"/>
  <c r="E74" i="18"/>
  <c r="D74" i="18"/>
  <c r="BB73" i="18"/>
  <c r="BA73" i="18"/>
  <c r="AZ73" i="18"/>
  <c r="AX73" i="18"/>
  <c r="AW73" i="18"/>
  <c r="AV73" i="18"/>
  <c r="AT73" i="18"/>
  <c r="AS73" i="18"/>
  <c r="AR73" i="18"/>
  <c r="AP73" i="18"/>
  <c r="AO73" i="18"/>
  <c r="AN73" i="18"/>
  <c r="AL73" i="18"/>
  <c r="AK73" i="18"/>
  <c r="AJ73" i="18"/>
  <c r="AH73" i="18"/>
  <c r="AG73" i="18"/>
  <c r="AF73" i="18"/>
  <c r="AD73" i="18"/>
  <c r="AC73" i="18"/>
  <c r="AB73" i="18"/>
  <c r="Z73" i="18"/>
  <c r="Y73" i="18"/>
  <c r="X73" i="18"/>
  <c r="V73" i="18"/>
  <c r="U73" i="18"/>
  <c r="T73" i="18"/>
  <c r="R73" i="18"/>
  <c r="Q73" i="18"/>
  <c r="P73" i="18"/>
  <c r="N73" i="18"/>
  <c r="M73" i="18"/>
  <c r="L73" i="18"/>
  <c r="J73" i="18"/>
  <c r="I73" i="18"/>
  <c r="H73" i="18"/>
  <c r="F73" i="18"/>
  <c r="E73" i="18"/>
  <c r="D73" i="18"/>
  <c r="BB72" i="18"/>
  <c r="BA72" i="18"/>
  <c r="AZ72" i="18"/>
  <c r="AX72" i="18"/>
  <c r="AW72" i="18"/>
  <c r="AV72" i="18"/>
  <c r="AT72" i="18"/>
  <c r="AS72" i="18"/>
  <c r="AR72" i="18"/>
  <c r="AP72" i="18"/>
  <c r="AO72" i="18"/>
  <c r="AN72" i="18"/>
  <c r="AL72" i="18"/>
  <c r="AK72" i="18"/>
  <c r="AJ72" i="18"/>
  <c r="AH72" i="18"/>
  <c r="AG72" i="18"/>
  <c r="AF72" i="18"/>
  <c r="AD72" i="18"/>
  <c r="AC72" i="18"/>
  <c r="AB72" i="18"/>
  <c r="Z72" i="18"/>
  <c r="Y72" i="18"/>
  <c r="X72" i="18"/>
  <c r="V72" i="18"/>
  <c r="U72" i="18"/>
  <c r="T72" i="18"/>
  <c r="R72" i="18"/>
  <c r="Q72" i="18"/>
  <c r="P72" i="18"/>
  <c r="N72" i="18"/>
  <c r="M72" i="18"/>
  <c r="L72" i="18"/>
  <c r="J72" i="18"/>
  <c r="I72" i="18"/>
  <c r="H72" i="18"/>
  <c r="F72" i="18"/>
  <c r="E72" i="18"/>
  <c r="D72" i="18"/>
  <c r="BB71" i="18"/>
  <c r="BA71" i="18"/>
  <c r="AZ71" i="18"/>
  <c r="AX71" i="18"/>
  <c r="AW71" i="18"/>
  <c r="AV71" i="18"/>
  <c r="AT71" i="18"/>
  <c r="AS71" i="18"/>
  <c r="AR71" i="18"/>
  <c r="AP71" i="18"/>
  <c r="AO71" i="18"/>
  <c r="AN71" i="18"/>
  <c r="AL71" i="18"/>
  <c r="AK71" i="18"/>
  <c r="AJ71" i="18"/>
  <c r="AH71" i="18"/>
  <c r="AG71" i="18"/>
  <c r="AF71" i="18"/>
  <c r="AD71" i="18"/>
  <c r="AC71" i="18"/>
  <c r="AB71" i="18"/>
  <c r="Z71" i="18"/>
  <c r="Y71" i="18"/>
  <c r="X71" i="18"/>
  <c r="V71" i="18"/>
  <c r="U71" i="18"/>
  <c r="T71" i="18"/>
  <c r="R71" i="18"/>
  <c r="Q71" i="18"/>
  <c r="P71" i="18"/>
  <c r="N71" i="18"/>
  <c r="M71" i="18"/>
  <c r="L71" i="18"/>
  <c r="J71" i="18"/>
  <c r="I71" i="18"/>
  <c r="H71" i="18"/>
  <c r="F71" i="18"/>
  <c r="E71" i="18"/>
  <c r="D71" i="18"/>
  <c r="BB70" i="18"/>
  <c r="BA70" i="18"/>
  <c r="AZ70" i="18"/>
  <c r="AX70" i="18"/>
  <c r="AW70" i="18"/>
  <c r="AV70" i="18"/>
  <c r="AT70" i="18"/>
  <c r="AS70" i="18"/>
  <c r="AR70" i="18"/>
  <c r="AP70" i="18"/>
  <c r="AO70" i="18"/>
  <c r="AN70" i="18"/>
  <c r="AL70" i="18"/>
  <c r="AK70" i="18"/>
  <c r="AJ70" i="18"/>
  <c r="AH70" i="18"/>
  <c r="AG70" i="18"/>
  <c r="AF70" i="18"/>
  <c r="AD70" i="18"/>
  <c r="AC70" i="18"/>
  <c r="AB70" i="18"/>
  <c r="Z70" i="18"/>
  <c r="Y70" i="18"/>
  <c r="X70" i="18"/>
  <c r="V70" i="18"/>
  <c r="U70" i="18"/>
  <c r="T70" i="18"/>
  <c r="R70" i="18"/>
  <c r="Q70" i="18"/>
  <c r="P70" i="18"/>
  <c r="N70" i="18"/>
  <c r="M70" i="18"/>
  <c r="L70" i="18"/>
  <c r="J70" i="18"/>
  <c r="I70" i="18"/>
  <c r="H70" i="18"/>
  <c r="F70" i="18"/>
  <c r="E70" i="18"/>
  <c r="D70" i="18"/>
  <c r="BB69" i="18"/>
  <c r="BA69" i="18"/>
  <c r="AZ69" i="18"/>
  <c r="AX69" i="18"/>
  <c r="AW69" i="18"/>
  <c r="AV69" i="18"/>
  <c r="AT69" i="18"/>
  <c r="AS69" i="18"/>
  <c r="AR69" i="18"/>
  <c r="AP69" i="18"/>
  <c r="AO69" i="18"/>
  <c r="AN69" i="18"/>
  <c r="AL69" i="18"/>
  <c r="AK69" i="18"/>
  <c r="AJ69" i="18"/>
  <c r="AH69" i="18"/>
  <c r="AG69" i="18"/>
  <c r="AF69" i="18"/>
  <c r="AD69" i="18"/>
  <c r="AC69" i="18"/>
  <c r="AB69" i="18"/>
  <c r="Z69" i="18"/>
  <c r="Y69" i="18"/>
  <c r="X69" i="18"/>
  <c r="V69" i="18"/>
  <c r="U69" i="18"/>
  <c r="T69" i="18"/>
  <c r="R69" i="18"/>
  <c r="Q69" i="18"/>
  <c r="P69" i="18"/>
  <c r="N69" i="18"/>
  <c r="M69" i="18"/>
  <c r="L69" i="18"/>
  <c r="J69" i="18"/>
  <c r="I69" i="18"/>
  <c r="H69" i="18"/>
  <c r="F69" i="18"/>
  <c r="E69" i="18"/>
  <c r="D69" i="18"/>
  <c r="BB68" i="18"/>
  <c r="BA68" i="18"/>
  <c r="AZ68" i="18"/>
  <c r="AX68" i="18"/>
  <c r="AW68" i="18"/>
  <c r="AV68" i="18"/>
  <c r="AT68" i="18"/>
  <c r="AS68" i="18"/>
  <c r="AR68" i="18"/>
  <c r="AP68" i="18"/>
  <c r="AO68" i="18"/>
  <c r="AN68" i="18"/>
  <c r="AL68" i="18"/>
  <c r="AK68" i="18"/>
  <c r="AJ68" i="18"/>
  <c r="AH68" i="18"/>
  <c r="AG68" i="18"/>
  <c r="AF68" i="18"/>
  <c r="AD68" i="18"/>
  <c r="AC68" i="18"/>
  <c r="AB68" i="18"/>
  <c r="Z68" i="18"/>
  <c r="Y68" i="18"/>
  <c r="X68" i="18"/>
  <c r="V68" i="18"/>
  <c r="U68" i="18"/>
  <c r="T68" i="18"/>
  <c r="R68" i="18"/>
  <c r="Q68" i="18"/>
  <c r="P68" i="18"/>
  <c r="N68" i="18"/>
  <c r="M68" i="18"/>
  <c r="L68" i="18"/>
  <c r="J68" i="18"/>
  <c r="I68" i="18"/>
  <c r="H68" i="18"/>
  <c r="F68" i="18"/>
  <c r="E68" i="18"/>
  <c r="D68" i="18"/>
  <c r="BB67" i="18"/>
  <c r="BA67" i="18"/>
  <c r="AZ67" i="18"/>
  <c r="AX67" i="18"/>
  <c r="AW67" i="18"/>
  <c r="AV67" i="18"/>
  <c r="AT67" i="18"/>
  <c r="AS67" i="18"/>
  <c r="AR67" i="18"/>
  <c r="AP67" i="18"/>
  <c r="AO67" i="18"/>
  <c r="AN67" i="18"/>
  <c r="AL67" i="18"/>
  <c r="AK67" i="18"/>
  <c r="AJ67" i="18"/>
  <c r="AH67" i="18"/>
  <c r="AG67" i="18"/>
  <c r="AF67" i="18"/>
  <c r="AD67" i="18"/>
  <c r="AC67" i="18"/>
  <c r="AB67" i="18"/>
  <c r="Z67" i="18"/>
  <c r="Y67" i="18"/>
  <c r="X67" i="18"/>
  <c r="V67" i="18"/>
  <c r="U67" i="18"/>
  <c r="T67" i="18"/>
  <c r="R67" i="18"/>
  <c r="Q67" i="18"/>
  <c r="P67" i="18"/>
  <c r="N67" i="18"/>
  <c r="M67" i="18"/>
  <c r="L67" i="18"/>
  <c r="J67" i="18"/>
  <c r="I67" i="18"/>
  <c r="H67" i="18"/>
  <c r="F67" i="18"/>
  <c r="E67" i="18"/>
  <c r="D67" i="18"/>
  <c r="BB66" i="18"/>
  <c r="BA66" i="18"/>
  <c r="AZ66" i="18"/>
  <c r="AX66" i="18"/>
  <c r="AW66" i="18"/>
  <c r="AV66" i="18"/>
  <c r="AT66" i="18"/>
  <c r="AS66" i="18"/>
  <c r="AR66" i="18"/>
  <c r="AP66" i="18"/>
  <c r="AO66" i="18"/>
  <c r="AN66" i="18"/>
  <c r="AL66" i="18"/>
  <c r="AK66" i="18"/>
  <c r="AJ66" i="18"/>
  <c r="AH66" i="18"/>
  <c r="AG66" i="18"/>
  <c r="AF66" i="18"/>
  <c r="AD66" i="18"/>
  <c r="AC66" i="18"/>
  <c r="AB66" i="18"/>
  <c r="Z66" i="18"/>
  <c r="Y66" i="18"/>
  <c r="X66" i="18"/>
  <c r="V66" i="18"/>
  <c r="U66" i="18"/>
  <c r="T66" i="18"/>
  <c r="R66" i="18"/>
  <c r="Q66" i="18"/>
  <c r="P66" i="18"/>
  <c r="N66" i="18"/>
  <c r="M66" i="18"/>
  <c r="L66" i="18"/>
  <c r="J66" i="18"/>
  <c r="I66" i="18"/>
  <c r="H66" i="18"/>
  <c r="F66" i="18"/>
  <c r="E66" i="18"/>
  <c r="D66" i="18"/>
  <c r="BB65" i="18"/>
  <c r="BA65" i="18"/>
  <c r="AZ65" i="18"/>
  <c r="AX65" i="18"/>
  <c r="AW65" i="18"/>
  <c r="AV65" i="18"/>
  <c r="AT65" i="18"/>
  <c r="AS65" i="18"/>
  <c r="AR65" i="18"/>
  <c r="AP65" i="18"/>
  <c r="AO65" i="18"/>
  <c r="AN65" i="18"/>
  <c r="AL65" i="18"/>
  <c r="AK65" i="18"/>
  <c r="AJ65" i="18"/>
  <c r="AH65" i="18"/>
  <c r="AG65" i="18"/>
  <c r="AF65" i="18"/>
  <c r="AD65" i="18"/>
  <c r="AC65" i="18"/>
  <c r="AB65" i="18"/>
  <c r="Z65" i="18"/>
  <c r="Y65" i="18"/>
  <c r="X65" i="18"/>
  <c r="V65" i="18"/>
  <c r="U65" i="18"/>
  <c r="T65" i="18"/>
  <c r="R65" i="18"/>
  <c r="Q65" i="18"/>
  <c r="P65" i="18"/>
  <c r="N65" i="18"/>
  <c r="M65" i="18"/>
  <c r="L65" i="18"/>
  <c r="J65" i="18"/>
  <c r="I65" i="18"/>
  <c r="H65" i="18"/>
  <c r="F65" i="18"/>
  <c r="E65" i="18"/>
  <c r="D65" i="18"/>
  <c r="BB64" i="18"/>
  <c r="BA64" i="18"/>
  <c r="AZ64" i="18"/>
  <c r="AX64" i="18"/>
  <c r="AW64" i="18"/>
  <c r="AV64" i="18"/>
  <c r="AT64" i="18"/>
  <c r="AS64" i="18"/>
  <c r="AR64" i="18"/>
  <c r="AP64" i="18"/>
  <c r="AO64" i="18"/>
  <c r="AN64" i="18"/>
  <c r="AL64" i="18"/>
  <c r="AK64" i="18"/>
  <c r="AJ64" i="18"/>
  <c r="AH64" i="18"/>
  <c r="AG64" i="18"/>
  <c r="AF64" i="18"/>
  <c r="AD64" i="18"/>
  <c r="AC64" i="18"/>
  <c r="AB64" i="18"/>
  <c r="Z64" i="18"/>
  <c r="Y64" i="18"/>
  <c r="X64" i="18"/>
  <c r="V64" i="18"/>
  <c r="U64" i="18"/>
  <c r="T64" i="18"/>
  <c r="R64" i="18"/>
  <c r="Q64" i="18"/>
  <c r="P64" i="18"/>
  <c r="N64" i="18"/>
  <c r="M64" i="18"/>
  <c r="L64" i="18"/>
  <c r="J64" i="18"/>
  <c r="I64" i="18"/>
  <c r="H64" i="18"/>
  <c r="F64" i="18"/>
  <c r="E64" i="18"/>
  <c r="D64" i="18"/>
  <c r="BB63" i="18"/>
  <c r="BA63" i="18"/>
  <c r="AZ63" i="18"/>
  <c r="AX63" i="18"/>
  <c r="AW63" i="18"/>
  <c r="AV63" i="18"/>
  <c r="AT63" i="18"/>
  <c r="AS63" i="18"/>
  <c r="AR63" i="18"/>
  <c r="AP63" i="18"/>
  <c r="AO63" i="18"/>
  <c r="AN63" i="18"/>
  <c r="AL63" i="18"/>
  <c r="AK63" i="18"/>
  <c r="AJ63" i="18"/>
  <c r="AH63" i="18"/>
  <c r="AG63" i="18"/>
  <c r="AF63" i="18"/>
  <c r="AD63" i="18"/>
  <c r="AC63" i="18"/>
  <c r="AB63" i="18"/>
  <c r="Z63" i="18"/>
  <c r="Y63" i="18"/>
  <c r="X63" i="18"/>
  <c r="V63" i="18"/>
  <c r="U63" i="18"/>
  <c r="T63" i="18"/>
  <c r="R63" i="18"/>
  <c r="Q63" i="18"/>
  <c r="P63" i="18"/>
  <c r="N63" i="18"/>
  <c r="M63" i="18"/>
  <c r="L63" i="18"/>
  <c r="J63" i="18"/>
  <c r="I63" i="18"/>
  <c r="H63" i="18"/>
  <c r="F63" i="18"/>
  <c r="E63" i="18"/>
  <c r="D63" i="18"/>
  <c r="BB62" i="18"/>
  <c r="BA62" i="18"/>
  <c r="AZ62" i="18"/>
  <c r="AX62" i="18"/>
  <c r="AW62" i="18"/>
  <c r="AV62" i="18"/>
  <c r="AT62" i="18"/>
  <c r="AS62" i="18"/>
  <c r="AR62" i="18"/>
  <c r="AP62" i="18"/>
  <c r="AO62" i="18"/>
  <c r="AN62" i="18"/>
  <c r="AL62" i="18"/>
  <c r="AK62" i="18"/>
  <c r="AJ62" i="18"/>
  <c r="AH62" i="18"/>
  <c r="AG62" i="18"/>
  <c r="AF62" i="18"/>
  <c r="AD62" i="18"/>
  <c r="AC62" i="18"/>
  <c r="AB62" i="18"/>
  <c r="Z62" i="18"/>
  <c r="Y62" i="18"/>
  <c r="X62" i="18"/>
  <c r="V62" i="18"/>
  <c r="U62" i="18"/>
  <c r="T62" i="18"/>
  <c r="R62" i="18"/>
  <c r="Q62" i="18"/>
  <c r="P62" i="18"/>
  <c r="N62" i="18"/>
  <c r="M62" i="18"/>
  <c r="L62" i="18"/>
  <c r="J62" i="18"/>
  <c r="I62" i="18"/>
  <c r="H62" i="18"/>
  <c r="F62" i="18"/>
  <c r="E62" i="18"/>
  <c r="D62" i="18"/>
  <c r="BB61" i="18"/>
  <c r="BA61" i="18"/>
  <c r="AZ61" i="18"/>
  <c r="AX61" i="18"/>
  <c r="AW61" i="18"/>
  <c r="AV61" i="18"/>
  <c r="AT61" i="18"/>
  <c r="AS61" i="18"/>
  <c r="AR61" i="18"/>
  <c r="AP61" i="18"/>
  <c r="AO61" i="18"/>
  <c r="AN61" i="18"/>
  <c r="AL61" i="18"/>
  <c r="AK61" i="18"/>
  <c r="AJ61" i="18"/>
  <c r="AH61" i="18"/>
  <c r="AG61" i="18"/>
  <c r="AF61" i="18"/>
  <c r="AD61" i="18"/>
  <c r="AC61" i="18"/>
  <c r="AB61" i="18"/>
  <c r="Z61" i="18"/>
  <c r="Y61" i="18"/>
  <c r="X61" i="18"/>
  <c r="V61" i="18"/>
  <c r="U61" i="18"/>
  <c r="T61" i="18"/>
  <c r="R61" i="18"/>
  <c r="Q61" i="18"/>
  <c r="P61" i="18"/>
  <c r="N61" i="18"/>
  <c r="M61" i="18"/>
  <c r="L61" i="18"/>
  <c r="J61" i="18"/>
  <c r="I61" i="18"/>
  <c r="H61" i="18"/>
  <c r="F61" i="18"/>
  <c r="E61" i="18"/>
  <c r="D61" i="18"/>
  <c r="BB60" i="18"/>
  <c r="BA60" i="18"/>
  <c r="AZ60" i="18"/>
  <c r="AX60" i="18"/>
  <c r="AW60" i="18"/>
  <c r="AV60" i="18"/>
  <c r="AT60" i="18"/>
  <c r="AS60" i="18"/>
  <c r="AR60" i="18"/>
  <c r="AP60" i="18"/>
  <c r="AO60" i="18"/>
  <c r="AN60" i="18"/>
  <c r="AL60" i="18"/>
  <c r="AK60" i="18"/>
  <c r="AJ60" i="18"/>
  <c r="AH60" i="18"/>
  <c r="AG60" i="18"/>
  <c r="AF60" i="18"/>
  <c r="AD60" i="18"/>
  <c r="AC60" i="18"/>
  <c r="AB60" i="18"/>
  <c r="Z60" i="18"/>
  <c r="Y60" i="18"/>
  <c r="X60" i="18"/>
  <c r="V60" i="18"/>
  <c r="U60" i="18"/>
  <c r="T60" i="18"/>
  <c r="R60" i="18"/>
  <c r="Q60" i="18"/>
  <c r="P60" i="18"/>
  <c r="N60" i="18"/>
  <c r="M60" i="18"/>
  <c r="L60" i="18"/>
  <c r="J60" i="18"/>
  <c r="I60" i="18"/>
  <c r="H60" i="18"/>
  <c r="F60" i="18"/>
  <c r="E60" i="18"/>
  <c r="D60" i="18"/>
  <c r="BB59" i="18"/>
  <c r="BA59" i="18"/>
  <c r="AZ59" i="18"/>
  <c r="AX59" i="18"/>
  <c r="AW59" i="18"/>
  <c r="AV59" i="18"/>
  <c r="AT59" i="18"/>
  <c r="AS59" i="18"/>
  <c r="AR59" i="18"/>
  <c r="AP59" i="18"/>
  <c r="AO59" i="18"/>
  <c r="AN59" i="18"/>
  <c r="AL59" i="18"/>
  <c r="AK59" i="18"/>
  <c r="AJ59" i="18"/>
  <c r="AH59" i="18"/>
  <c r="AG59" i="18"/>
  <c r="AF59" i="18"/>
  <c r="AD59" i="18"/>
  <c r="AC59" i="18"/>
  <c r="AB59" i="18"/>
  <c r="Z59" i="18"/>
  <c r="Y59" i="18"/>
  <c r="X59" i="18"/>
  <c r="V59" i="18"/>
  <c r="U59" i="18"/>
  <c r="T59" i="18"/>
  <c r="R59" i="18"/>
  <c r="Q59" i="18"/>
  <c r="P59" i="18"/>
  <c r="N59" i="18"/>
  <c r="M59" i="18"/>
  <c r="L59" i="18"/>
  <c r="J59" i="18"/>
  <c r="I59" i="18"/>
  <c r="H59" i="18"/>
  <c r="F59" i="18"/>
  <c r="E59" i="18"/>
  <c r="D59" i="18"/>
  <c r="BB58" i="18"/>
  <c r="BA58" i="18"/>
  <c r="AZ58" i="18"/>
  <c r="AX58" i="18"/>
  <c r="AW58" i="18"/>
  <c r="AV58" i="18"/>
  <c r="AT58" i="18"/>
  <c r="AS58" i="18"/>
  <c r="AR58" i="18"/>
  <c r="AP58" i="18"/>
  <c r="AO58" i="18"/>
  <c r="AN58" i="18"/>
  <c r="AL58" i="18"/>
  <c r="AK58" i="18"/>
  <c r="AJ58" i="18"/>
  <c r="AH58" i="18"/>
  <c r="AG58" i="18"/>
  <c r="AF58" i="18"/>
  <c r="AD58" i="18"/>
  <c r="AC58" i="18"/>
  <c r="AB58" i="18"/>
  <c r="Z58" i="18"/>
  <c r="Y58" i="18"/>
  <c r="X58" i="18"/>
  <c r="V58" i="18"/>
  <c r="U58" i="18"/>
  <c r="T58" i="18"/>
  <c r="R58" i="18"/>
  <c r="Q58" i="18"/>
  <c r="P58" i="18"/>
  <c r="N58" i="18"/>
  <c r="M58" i="18"/>
  <c r="L58" i="18"/>
  <c r="J58" i="18"/>
  <c r="I58" i="18"/>
  <c r="H58" i="18"/>
  <c r="F58" i="18"/>
  <c r="E58" i="18"/>
  <c r="D58" i="18"/>
  <c r="BB57" i="18"/>
  <c r="BA57" i="18"/>
  <c r="AZ57" i="18"/>
  <c r="AX57" i="18"/>
  <c r="AW57" i="18"/>
  <c r="AV57" i="18"/>
  <c r="AT57" i="18"/>
  <c r="AS57" i="18"/>
  <c r="AR57" i="18"/>
  <c r="AP57" i="18"/>
  <c r="AO57" i="18"/>
  <c r="AN57" i="18"/>
  <c r="AL57" i="18"/>
  <c r="AK57" i="18"/>
  <c r="AJ57" i="18"/>
  <c r="AH57" i="18"/>
  <c r="AG57" i="18"/>
  <c r="AF57" i="18"/>
  <c r="AD57" i="18"/>
  <c r="AC57" i="18"/>
  <c r="AB57" i="18"/>
  <c r="Z57" i="18"/>
  <c r="Y57" i="18"/>
  <c r="X57" i="18"/>
  <c r="V57" i="18"/>
  <c r="U57" i="18"/>
  <c r="T57" i="18"/>
  <c r="R57" i="18"/>
  <c r="Q57" i="18"/>
  <c r="P57" i="18"/>
  <c r="N57" i="18"/>
  <c r="M57" i="18"/>
  <c r="L57" i="18"/>
  <c r="J57" i="18"/>
  <c r="I57" i="18"/>
  <c r="H57" i="18"/>
  <c r="F57" i="18"/>
  <c r="E57" i="18"/>
  <c r="D57" i="18"/>
  <c r="BB56" i="18"/>
  <c r="BA56" i="18"/>
  <c r="AZ56" i="18"/>
  <c r="AX56" i="18"/>
  <c r="AW56" i="18"/>
  <c r="AV56" i="18"/>
  <c r="AT56" i="18"/>
  <c r="AS56" i="18"/>
  <c r="AR56" i="18"/>
  <c r="AP56" i="18"/>
  <c r="AO56" i="18"/>
  <c r="AN56" i="18"/>
  <c r="AL56" i="18"/>
  <c r="AK56" i="18"/>
  <c r="AJ56" i="18"/>
  <c r="AH56" i="18"/>
  <c r="AG56" i="18"/>
  <c r="AF56" i="18"/>
  <c r="AD56" i="18"/>
  <c r="AC56" i="18"/>
  <c r="AB56" i="18"/>
  <c r="Z56" i="18"/>
  <c r="Y56" i="18"/>
  <c r="X56" i="18"/>
  <c r="V56" i="18"/>
  <c r="U56" i="18"/>
  <c r="T56" i="18"/>
  <c r="R56" i="18"/>
  <c r="Q56" i="18"/>
  <c r="P56" i="18"/>
  <c r="N56" i="18"/>
  <c r="M56" i="18"/>
  <c r="L56" i="18"/>
  <c r="J56" i="18"/>
  <c r="I56" i="18"/>
  <c r="H56" i="18"/>
  <c r="F56" i="18"/>
  <c r="E56" i="18"/>
  <c r="D56" i="18"/>
  <c r="BB55" i="18"/>
  <c r="BA55" i="18"/>
  <c r="AZ55" i="18"/>
  <c r="AX55" i="18"/>
  <c r="AW55" i="18"/>
  <c r="AV55" i="18"/>
  <c r="AT55" i="18"/>
  <c r="AS55" i="18"/>
  <c r="AR55" i="18"/>
  <c r="AP55" i="18"/>
  <c r="AO55" i="18"/>
  <c r="AN55" i="18"/>
  <c r="AL55" i="18"/>
  <c r="AK55" i="18"/>
  <c r="AJ55" i="18"/>
  <c r="AH55" i="18"/>
  <c r="AG55" i="18"/>
  <c r="AF55" i="18"/>
  <c r="AD55" i="18"/>
  <c r="AC55" i="18"/>
  <c r="AB55" i="18"/>
  <c r="Z55" i="18"/>
  <c r="Y55" i="18"/>
  <c r="X55" i="18"/>
  <c r="V55" i="18"/>
  <c r="U55" i="18"/>
  <c r="T55" i="18"/>
  <c r="R55" i="18"/>
  <c r="Q55" i="18"/>
  <c r="P55" i="18"/>
  <c r="N55" i="18"/>
  <c r="M55" i="18"/>
  <c r="L55" i="18"/>
  <c r="J55" i="18"/>
  <c r="I55" i="18"/>
  <c r="H55" i="18"/>
  <c r="F55" i="18"/>
  <c r="E55" i="18"/>
  <c r="D55" i="18"/>
  <c r="BB54" i="18"/>
  <c r="BA54" i="18"/>
  <c r="AZ54" i="18"/>
  <c r="AX54" i="18"/>
  <c r="AW54" i="18"/>
  <c r="AV54" i="18"/>
  <c r="AT54" i="18"/>
  <c r="AS54" i="18"/>
  <c r="AR54" i="18"/>
  <c r="AP54" i="18"/>
  <c r="AO54" i="18"/>
  <c r="AN54" i="18"/>
  <c r="AL54" i="18"/>
  <c r="AK54" i="18"/>
  <c r="AJ54" i="18"/>
  <c r="AH54" i="18"/>
  <c r="AG54" i="18"/>
  <c r="AF54" i="18"/>
  <c r="AD54" i="18"/>
  <c r="AC54" i="18"/>
  <c r="AB54" i="18"/>
  <c r="Z54" i="18"/>
  <c r="Y54" i="18"/>
  <c r="X54" i="18"/>
  <c r="V54" i="18"/>
  <c r="U54" i="18"/>
  <c r="T54" i="18"/>
  <c r="R54" i="18"/>
  <c r="Q54" i="18"/>
  <c r="P54" i="18"/>
  <c r="N54" i="18"/>
  <c r="M54" i="18"/>
  <c r="L54" i="18"/>
  <c r="J54" i="18"/>
  <c r="I54" i="18"/>
  <c r="H54" i="18"/>
  <c r="F54" i="18"/>
  <c r="E54" i="18"/>
  <c r="D54" i="18"/>
  <c r="BB53" i="18"/>
  <c r="BA53" i="18"/>
  <c r="AZ53" i="18"/>
  <c r="AX53" i="18"/>
  <c r="AW53" i="18"/>
  <c r="AV53" i="18"/>
  <c r="AT53" i="18"/>
  <c r="AS53" i="18"/>
  <c r="AR53" i="18"/>
  <c r="AP53" i="18"/>
  <c r="AO53" i="18"/>
  <c r="AN53" i="18"/>
  <c r="AL53" i="18"/>
  <c r="AK53" i="18"/>
  <c r="AJ53" i="18"/>
  <c r="AH53" i="18"/>
  <c r="AG53" i="18"/>
  <c r="AF53" i="18"/>
  <c r="AD53" i="18"/>
  <c r="AC53" i="18"/>
  <c r="AB53" i="18"/>
  <c r="Z53" i="18"/>
  <c r="Y53" i="18"/>
  <c r="X53" i="18"/>
  <c r="V53" i="18"/>
  <c r="U53" i="18"/>
  <c r="T53" i="18"/>
  <c r="R53" i="18"/>
  <c r="Q53" i="18"/>
  <c r="P53" i="18"/>
  <c r="N53" i="18"/>
  <c r="M53" i="18"/>
  <c r="L53" i="18"/>
  <c r="J53" i="18"/>
  <c r="I53" i="18"/>
  <c r="H53" i="18"/>
  <c r="F53" i="18"/>
  <c r="E53" i="18"/>
  <c r="D53" i="18"/>
  <c r="BB52" i="18"/>
  <c r="BA52" i="18"/>
  <c r="AZ52" i="18"/>
  <c r="AX52" i="18"/>
  <c r="AW52" i="18"/>
  <c r="AV52" i="18"/>
  <c r="AT52" i="18"/>
  <c r="AS52" i="18"/>
  <c r="AR52" i="18"/>
  <c r="AP52" i="18"/>
  <c r="AO52" i="18"/>
  <c r="AN52" i="18"/>
  <c r="AL52" i="18"/>
  <c r="AK52" i="18"/>
  <c r="AJ52" i="18"/>
  <c r="AH52" i="18"/>
  <c r="AG52" i="18"/>
  <c r="AF52" i="18"/>
  <c r="AD52" i="18"/>
  <c r="AC52" i="18"/>
  <c r="AB52" i="18"/>
  <c r="Z52" i="18"/>
  <c r="Y52" i="18"/>
  <c r="X52" i="18"/>
  <c r="V52" i="18"/>
  <c r="U52" i="18"/>
  <c r="T52" i="18"/>
  <c r="R52" i="18"/>
  <c r="Q52" i="18"/>
  <c r="P52" i="18"/>
  <c r="N52" i="18"/>
  <c r="M52" i="18"/>
  <c r="L52" i="18"/>
  <c r="J52" i="18"/>
  <c r="I52" i="18"/>
  <c r="H52" i="18"/>
  <c r="F52" i="18"/>
  <c r="E52" i="18"/>
  <c r="D52" i="18"/>
  <c r="BB51" i="18"/>
  <c r="BA51" i="18"/>
  <c r="AZ51" i="18"/>
  <c r="AX51" i="18"/>
  <c r="AW51" i="18"/>
  <c r="AV51" i="18"/>
  <c r="AT51" i="18"/>
  <c r="AS51" i="18"/>
  <c r="AR51" i="18"/>
  <c r="AP51" i="18"/>
  <c r="AO51" i="18"/>
  <c r="AN51" i="18"/>
  <c r="AL51" i="18"/>
  <c r="AK51" i="18"/>
  <c r="AJ51" i="18"/>
  <c r="AH51" i="18"/>
  <c r="AG51" i="18"/>
  <c r="AF51" i="18"/>
  <c r="AD51" i="18"/>
  <c r="AC51" i="18"/>
  <c r="AB51" i="18"/>
  <c r="Z51" i="18"/>
  <c r="Y51" i="18"/>
  <c r="X51" i="18"/>
  <c r="V51" i="18"/>
  <c r="U51" i="18"/>
  <c r="T51" i="18"/>
  <c r="R51" i="18"/>
  <c r="Q51" i="18"/>
  <c r="P51" i="18"/>
  <c r="N51" i="18"/>
  <c r="M51" i="18"/>
  <c r="L51" i="18"/>
  <c r="J51" i="18"/>
  <c r="I51" i="18"/>
  <c r="H51" i="18"/>
  <c r="F51" i="18"/>
  <c r="E51" i="18"/>
  <c r="D51" i="18"/>
  <c r="BB50" i="18"/>
  <c r="BA50" i="18"/>
  <c r="AZ50" i="18"/>
  <c r="AX50" i="18"/>
  <c r="AW50" i="18"/>
  <c r="AV50" i="18"/>
  <c r="AT50" i="18"/>
  <c r="AS50" i="18"/>
  <c r="AR50" i="18"/>
  <c r="AP50" i="18"/>
  <c r="AO50" i="18"/>
  <c r="AN50" i="18"/>
  <c r="AL50" i="18"/>
  <c r="AK50" i="18"/>
  <c r="AJ50" i="18"/>
  <c r="AH50" i="18"/>
  <c r="AG50" i="18"/>
  <c r="AF50" i="18"/>
  <c r="AD50" i="18"/>
  <c r="AC50" i="18"/>
  <c r="AB50" i="18"/>
  <c r="Z50" i="18"/>
  <c r="Y50" i="18"/>
  <c r="X50" i="18"/>
  <c r="V50" i="18"/>
  <c r="U50" i="18"/>
  <c r="T50" i="18"/>
  <c r="R50" i="18"/>
  <c r="Q50" i="18"/>
  <c r="P50" i="18"/>
  <c r="N50" i="18"/>
  <c r="M50" i="18"/>
  <c r="L50" i="18"/>
  <c r="J50" i="18"/>
  <c r="I50" i="18"/>
  <c r="H50" i="18"/>
  <c r="F50" i="18"/>
  <c r="E50" i="18"/>
  <c r="D50" i="18"/>
  <c r="BB49" i="18"/>
  <c r="BA49" i="18"/>
  <c r="AZ49" i="18"/>
  <c r="AX49" i="18"/>
  <c r="AW49" i="18"/>
  <c r="AV49" i="18"/>
  <c r="AT49" i="18"/>
  <c r="AS49" i="18"/>
  <c r="AR49" i="18"/>
  <c r="AP49" i="18"/>
  <c r="AO49" i="18"/>
  <c r="AN49" i="18"/>
  <c r="AL49" i="18"/>
  <c r="AK49" i="18"/>
  <c r="AJ49" i="18"/>
  <c r="AH49" i="18"/>
  <c r="AG49" i="18"/>
  <c r="AF49" i="18"/>
  <c r="AD49" i="18"/>
  <c r="AC49" i="18"/>
  <c r="AB49" i="18"/>
  <c r="Z49" i="18"/>
  <c r="Y49" i="18"/>
  <c r="X49" i="18"/>
  <c r="V49" i="18"/>
  <c r="U49" i="18"/>
  <c r="T49" i="18"/>
  <c r="R49" i="18"/>
  <c r="Q49" i="18"/>
  <c r="P49" i="18"/>
  <c r="N49" i="18"/>
  <c r="M49" i="18"/>
  <c r="L49" i="18"/>
  <c r="J49" i="18"/>
  <c r="I49" i="18"/>
  <c r="H49" i="18"/>
  <c r="F49" i="18"/>
  <c r="E49" i="18"/>
  <c r="D49" i="18"/>
  <c r="BB48" i="18"/>
  <c r="BA48" i="18"/>
  <c r="AZ48" i="18"/>
  <c r="AX48" i="18"/>
  <c r="AW48" i="18"/>
  <c r="AV48" i="18"/>
  <c r="AT48" i="18"/>
  <c r="AS48" i="18"/>
  <c r="AR48" i="18"/>
  <c r="AP48" i="18"/>
  <c r="AO48" i="18"/>
  <c r="AN48" i="18"/>
  <c r="AL48" i="18"/>
  <c r="AK48" i="18"/>
  <c r="AJ48" i="18"/>
  <c r="AH48" i="18"/>
  <c r="AG48" i="18"/>
  <c r="AF48" i="18"/>
  <c r="AD48" i="18"/>
  <c r="AC48" i="18"/>
  <c r="AB48" i="18"/>
  <c r="Z48" i="18"/>
  <c r="Y48" i="18"/>
  <c r="X48" i="18"/>
  <c r="V48" i="18"/>
  <c r="U48" i="18"/>
  <c r="T48" i="18"/>
  <c r="R48" i="18"/>
  <c r="Q48" i="18"/>
  <c r="P48" i="18"/>
  <c r="N48" i="18"/>
  <c r="M48" i="18"/>
  <c r="L48" i="18"/>
  <c r="J48" i="18"/>
  <c r="I48" i="18"/>
  <c r="H48" i="18"/>
  <c r="F48" i="18"/>
  <c r="E48" i="18"/>
  <c r="D48" i="18"/>
  <c r="BB47" i="18"/>
  <c r="BA47" i="18"/>
  <c r="AZ47" i="18"/>
  <c r="AX47" i="18"/>
  <c r="AW47" i="18"/>
  <c r="AV47" i="18"/>
  <c r="AT47" i="18"/>
  <c r="AS47" i="18"/>
  <c r="AR47" i="18"/>
  <c r="AP47" i="18"/>
  <c r="AO47" i="18"/>
  <c r="AN47" i="18"/>
  <c r="AL47" i="18"/>
  <c r="AK47" i="18"/>
  <c r="AJ47" i="18"/>
  <c r="AH47" i="18"/>
  <c r="AG47" i="18"/>
  <c r="AF47" i="18"/>
  <c r="AD47" i="18"/>
  <c r="AC47" i="18"/>
  <c r="AB47" i="18"/>
  <c r="Z47" i="18"/>
  <c r="Y47" i="18"/>
  <c r="X47" i="18"/>
  <c r="V47" i="18"/>
  <c r="U47" i="18"/>
  <c r="T47" i="18"/>
  <c r="R47" i="18"/>
  <c r="Q47" i="18"/>
  <c r="P47" i="18"/>
  <c r="N47" i="18"/>
  <c r="M47" i="18"/>
  <c r="L47" i="18"/>
  <c r="J47" i="18"/>
  <c r="I47" i="18"/>
  <c r="H47" i="18"/>
  <c r="F47" i="18"/>
  <c r="E47" i="18"/>
  <c r="D47" i="18"/>
  <c r="BB46" i="18"/>
  <c r="BA46" i="18"/>
  <c r="AZ46" i="18"/>
  <c r="AX46" i="18"/>
  <c r="AW46" i="18"/>
  <c r="AV46" i="18"/>
  <c r="AT46" i="18"/>
  <c r="AS46" i="18"/>
  <c r="AR46" i="18"/>
  <c r="AP46" i="18"/>
  <c r="AO46" i="18"/>
  <c r="AN46" i="18"/>
  <c r="AL46" i="18"/>
  <c r="AK46" i="18"/>
  <c r="AJ46" i="18"/>
  <c r="AH46" i="18"/>
  <c r="AG46" i="18"/>
  <c r="AF46" i="18"/>
  <c r="AD46" i="18"/>
  <c r="AC46" i="18"/>
  <c r="AB46" i="18"/>
  <c r="Z46" i="18"/>
  <c r="Y46" i="18"/>
  <c r="X46" i="18"/>
  <c r="V46" i="18"/>
  <c r="U46" i="18"/>
  <c r="T46" i="18"/>
  <c r="R46" i="18"/>
  <c r="Q46" i="18"/>
  <c r="P46" i="18"/>
  <c r="N46" i="18"/>
  <c r="M46" i="18"/>
  <c r="L46" i="18"/>
  <c r="J46" i="18"/>
  <c r="I46" i="18"/>
  <c r="H46" i="18"/>
  <c r="F46" i="18"/>
  <c r="E46" i="18"/>
  <c r="D46" i="18"/>
  <c r="BB45" i="18"/>
  <c r="BA45" i="18"/>
  <c r="AZ45" i="18"/>
  <c r="AX45" i="18"/>
  <c r="AW45" i="18"/>
  <c r="AV45" i="18"/>
  <c r="AT45" i="18"/>
  <c r="AS45" i="18"/>
  <c r="AR45" i="18"/>
  <c r="AP45" i="18"/>
  <c r="AO45" i="18"/>
  <c r="AN45" i="18"/>
  <c r="AL45" i="18"/>
  <c r="AK45" i="18"/>
  <c r="AJ45" i="18"/>
  <c r="AH45" i="18"/>
  <c r="AG45" i="18"/>
  <c r="AF45" i="18"/>
  <c r="AD45" i="18"/>
  <c r="AC45" i="18"/>
  <c r="AB45" i="18"/>
  <c r="Z45" i="18"/>
  <c r="Y45" i="18"/>
  <c r="X45" i="18"/>
  <c r="V45" i="18"/>
  <c r="U45" i="18"/>
  <c r="T45" i="18"/>
  <c r="R45" i="18"/>
  <c r="Q45" i="18"/>
  <c r="P45" i="18"/>
  <c r="N45" i="18"/>
  <c r="M45" i="18"/>
  <c r="L45" i="18"/>
  <c r="J45" i="18"/>
  <c r="I45" i="18"/>
  <c r="H45" i="18"/>
  <c r="F45" i="18"/>
  <c r="E45" i="18"/>
  <c r="D45" i="18"/>
  <c r="BB44" i="18"/>
  <c r="BA44" i="18"/>
  <c r="AZ44" i="18"/>
  <c r="AX44" i="18"/>
  <c r="AW44" i="18"/>
  <c r="AV44" i="18"/>
  <c r="AT44" i="18"/>
  <c r="AS44" i="18"/>
  <c r="AR44" i="18"/>
  <c r="AP44" i="18"/>
  <c r="AO44" i="18"/>
  <c r="AN44" i="18"/>
  <c r="AL44" i="18"/>
  <c r="AK44" i="18"/>
  <c r="AJ44" i="18"/>
  <c r="AH44" i="18"/>
  <c r="AG44" i="18"/>
  <c r="AF44" i="18"/>
  <c r="AD44" i="18"/>
  <c r="AC44" i="18"/>
  <c r="AB44" i="18"/>
  <c r="Z44" i="18"/>
  <c r="Y44" i="18"/>
  <c r="X44" i="18"/>
  <c r="V44" i="18"/>
  <c r="U44" i="18"/>
  <c r="T44" i="18"/>
  <c r="R44" i="18"/>
  <c r="Q44" i="18"/>
  <c r="P44" i="18"/>
  <c r="N44" i="18"/>
  <c r="M44" i="18"/>
  <c r="L44" i="18"/>
  <c r="J44" i="18"/>
  <c r="I44" i="18"/>
  <c r="H44" i="18"/>
  <c r="F44" i="18"/>
  <c r="E44" i="18"/>
  <c r="D44" i="18"/>
  <c r="BB43" i="18"/>
  <c r="BA43" i="18"/>
  <c r="AZ43" i="18"/>
  <c r="AX43" i="18"/>
  <c r="AW43" i="18"/>
  <c r="AV43" i="18"/>
  <c r="AT43" i="18"/>
  <c r="AS43" i="18"/>
  <c r="AR43" i="18"/>
  <c r="AP43" i="18"/>
  <c r="AO43" i="18"/>
  <c r="AN43" i="18"/>
  <c r="AL43" i="18"/>
  <c r="AK43" i="18"/>
  <c r="AJ43" i="18"/>
  <c r="AH43" i="18"/>
  <c r="AG43" i="18"/>
  <c r="AF43" i="18"/>
  <c r="AD43" i="18"/>
  <c r="AC43" i="18"/>
  <c r="AB43" i="18"/>
  <c r="Z43" i="18"/>
  <c r="Y43" i="18"/>
  <c r="X43" i="18"/>
  <c r="V43" i="18"/>
  <c r="U43" i="18"/>
  <c r="T43" i="18"/>
  <c r="R43" i="18"/>
  <c r="Q43" i="18"/>
  <c r="P43" i="18"/>
  <c r="N43" i="18"/>
  <c r="M43" i="18"/>
  <c r="L43" i="18"/>
  <c r="J43" i="18"/>
  <c r="I43" i="18"/>
  <c r="H43" i="18"/>
  <c r="F43" i="18"/>
  <c r="E43" i="18"/>
  <c r="D43" i="18"/>
  <c r="BB42" i="18"/>
  <c r="BA42" i="18"/>
  <c r="AZ42" i="18"/>
  <c r="AX42" i="18"/>
  <c r="AW42" i="18"/>
  <c r="AV42" i="18"/>
  <c r="AT42" i="18"/>
  <c r="AS42" i="18"/>
  <c r="AR42" i="18"/>
  <c r="AP42" i="18"/>
  <c r="AO42" i="18"/>
  <c r="AN42" i="18"/>
  <c r="AL42" i="18"/>
  <c r="AK42" i="18"/>
  <c r="AJ42" i="18"/>
  <c r="AH42" i="18"/>
  <c r="AG42" i="18"/>
  <c r="AF42" i="18"/>
  <c r="AD42" i="18"/>
  <c r="AC42" i="18"/>
  <c r="AB42" i="18"/>
  <c r="Z42" i="18"/>
  <c r="Y42" i="18"/>
  <c r="X42" i="18"/>
  <c r="V42" i="18"/>
  <c r="U42" i="18"/>
  <c r="T42" i="18"/>
  <c r="R42" i="18"/>
  <c r="Q42" i="18"/>
  <c r="P42" i="18"/>
  <c r="N42" i="18"/>
  <c r="M42" i="18"/>
  <c r="L42" i="18"/>
  <c r="J42" i="18"/>
  <c r="I42" i="18"/>
  <c r="H42" i="18"/>
  <c r="F42" i="18"/>
  <c r="E42" i="18"/>
  <c r="D42" i="18"/>
  <c r="BB41" i="18"/>
  <c r="BA41" i="18"/>
  <c r="AZ41" i="18"/>
  <c r="AX41" i="18"/>
  <c r="AW41" i="18"/>
  <c r="AV41" i="18"/>
  <c r="AT41" i="18"/>
  <c r="AS41" i="18"/>
  <c r="AR41" i="18"/>
  <c r="AP41" i="18"/>
  <c r="AO41" i="18"/>
  <c r="AN41" i="18"/>
  <c r="AL41" i="18"/>
  <c r="AK41" i="18"/>
  <c r="AJ41" i="18"/>
  <c r="AH41" i="18"/>
  <c r="AG41" i="18"/>
  <c r="AF41" i="18"/>
  <c r="AD41" i="18"/>
  <c r="AC41" i="18"/>
  <c r="AB41" i="18"/>
  <c r="Z41" i="18"/>
  <c r="Y41" i="18"/>
  <c r="X41" i="18"/>
  <c r="V41" i="18"/>
  <c r="U41" i="18"/>
  <c r="T41" i="18"/>
  <c r="R41" i="18"/>
  <c r="Q41" i="18"/>
  <c r="P41" i="18"/>
  <c r="N41" i="18"/>
  <c r="M41" i="18"/>
  <c r="L41" i="18"/>
  <c r="J41" i="18"/>
  <c r="I41" i="18"/>
  <c r="H41" i="18"/>
  <c r="F41" i="18"/>
  <c r="E41" i="18"/>
  <c r="D41" i="18"/>
  <c r="BB40" i="18"/>
  <c r="BA40" i="18"/>
  <c r="AZ40" i="18"/>
  <c r="AX40" i="18"/>
  <c r="AW40" i="18"/>
  <c r="AV40" i="18"/>
  <c r="AT40" i="18"/>
  <c r="AS40" i="18"/>
  <c r="AR40" i="18"/>
  <c r="AP40" i="18"/>
  <c r="AO40" i="18"/>
  <c r="AN40" i="18"/>
  <c r="AL40" i="18"/>
  <c r="AK40" i="18"/>
  <c r="AJ40" i="18"/>
  <c r="AH40" i="18"/>
  <c r="AG40" i="18"/>
  <c r="AF40" i="18"/>
  <c r="AD40" i="18"/>
  <c r="AC40" i="18"/>
  <c r="AB40" i="18"/>
  <c r="Z40" i="18"/>
  <c r="Y40" i="18"/>
  <c r="X40" i="18"/>
  <c r="V40" i="18"/>
  <c r="U40" i="18"/>
  <c r="T40" i="18"/>
  <c r="R40" i="18"/>
  <c r="Q40" i="18"/>
  <c r="P40" i="18"/>
  <c r="N40" i="18"/>
  <c r="M40" i="18"/>
  <c r="L40" i="18"/>
  <c r="J40" i="18"/>
  <c r="I40" i="18"/>
  <c r="H40" i="18"/>
  <c r="F40" i="18"/>
  <c r="E40" i="18"/>
  <c r="D40" i="18"/>
  <c r="BB39" i="18"/>
  <c r="BA39" i="18"/>
  <c r="AZ39" i="18"/>
  <c r="AX39" i="18"/>
  <c r="AW39" i="18"/>
  <c r="AV39" i="18"/>
  <c r="AT39" i="18"/>
  <c r="AS39" i="18"/>
  <c r="AR39" i="18"/>
  <c r="AP39" i="18"/>
  <c r="AO39" i="18"/>
  <c r="AN39" i="18"/>
  <c r="AL39" i="18"/>
  <c r="AK39" i="18"/>
  <c r="AJ39" i="18"/>
  <c r="AH39" i="18"/>
  <c r="AG39" i="18"/>
  <c r="AF39" i="18"/>
  <c r="AD39" i="18"/>
  <c r="AC39" i="18"/>
  <c r="AB39" i="18"/>
  <c r="Z39" i="18"/>
  <c r="Y39" i="18"/>
  <c r="X39" i="18"/>
  <c r="V39" i="18"/>
  <c r="U39" i="18"/>
  <c r="T39" i="18"/>
  <c r="R39" i="18"/>
  <c r="Q39" i="18"/>
  <c r="P39" i="18"/>
  <c r="N39" i="18"/>
  <c r="M39" i="18"/>
  <c r="L39" i="18"/>
  <c r="J39" i="18"/>
  <c r="I39" i="18"/>
  <c r="H39" i="18"/>
  <c r="F39" i="18"/>
  <c r="E39" i="18"/>
  <c r="D39" i="18"/>
  <c r="BB38" i="18"/>
  <c r="BA38" i="18"/>
  <c r="AZ38" i="18"/>
  <c r="AX38" i="18"/>
  <c r="AW38" i="18"/>
  <c r="AV38" i="18"/>
  <c r="AT38" i="18"/>
  <c r="AS38" i="18"/>
  <c r="AR38" i="18"/>
  <c r="AP38" i="18"/>
  <c r="AO38" i="18"/>
  <c r="AN38" i="18"/>
  <c r="AL38" i="18"/>
  <c r="AK38" i="18"/>
  <c r="AJ38" i="18"/>
  <c r="AH38" i="18"/>
  <c r="AG38" i="18"/>
  <c r="AF38" i="18"/>
  <c r="AD38" i="18"/>
  <c r="AC38" i="18"/>
  <c r="AB38" i="18"/>
  <c r="Z38" i="18"/>
  <c r="Y38" i="18"/>
  <c r="X38" i="18"/>
  <c r="V38" i="18"/>
  <c r="U38" i="18"/>
  <c r="T38" i="18"/>
  <c r="R38" i="18"/>
  <c r="Q38" i="18"/>
  <c r="P38" i="18"/>
  <c r="N38" i="18"/>
  <c r="M38" i="18"/>
  <c r="L38" i="18"/>
  <c r="J38" i="18"/>
  <c r="I38" i="18"/>
  <c r="H38" i="18"/>
  <c r="F38" i="18"/>
  <c r="E38" i="18"/>
  <c r="D38" i="18"/>
  <c r="BB37" i="18"/>
  <c r="BA37" i="18"/>
  <c r="AZ37" i="18"/>
  <c r="AX37" i="18"/>
  <c r="AW37" i="18"/>
  <c r="AV37" i="18"/>
  <c r="AT37" i="18"/>
  <c r="AS37" i="18"/>
  <c r="AR37" i="18"/>
  <c r="AP37" i="18"/>
  <c r="AO37" i="18"/>
  <c r="AN37" i="18"/>
  <c r="AL37" i="18"/>
  <c r="AK37" i="18"/>
  <c r="AJ37" i="18"/>
  <c r="AH37" i="18"/>
  <c r="AG37" i="18"/>
  <c r="AF37" i="18"/>
  <c r="AD37" i="18"/>
  <c r="AC37" i="18"/>
  <c r="AB37" i="18"/>
  <c r="Z37" i="18"/>
  <c r="Y37" i="18"/>
  <c r="X37" i="18"/>
  <c r="V37" i="18"/>
  <c r="U37" i="18"/>
  <c r="T37" i="18"/>
  <c r="R37" i="18"/>
  <c r="Q37" i="18"/>
  <c r="P37" i="18"/>
  <c r="N37" i="18"/>
  <c r="M37" i="18"/>
  <c r="L37" i="18"/>
  <c r="J37" i="18"/>
  <c r="I37" i="18"/>
  <c r="H37" i="18"/>
  <c r="F37" i="18"/>
  <c r="E37" i="18"/>
  <c r="D37" i="18"/>
  <c r="BB36" i="18"/>
  <c r="BA36" i="18"/>
  <c r="AZ36" i="18"/>
  <c r="AX36" i="18"/>
  <c r="AW36" i="18"/>
  <c r="AV36" i="18"/>
  <c r="AT36" i="18"/>
  <c r="AS36" i="18"/>
  <c r="AR36" i="18"/>
  <c r="AP36" i="18"/>
  <c r="AO36" i="18"/>
  <c r="AN36" i="18"/>
  <c r="AL36" i="18"/>
  <c r="AK36" i="18"/>
  <c r="AJ36" i="18"/>
  <c r="AH36" i="18"/>
  <c r="AG36" i="18"/>
  <c r="AF36" i="18"/>
  <c r="AD36" i="18"/>
  <c r="AC36" i="18"/>
  <c r="AB36" i="18"/>
  <c r="Z36" i="18"/>
  <c r="Y36" i="18"/>
  <c r="X36" i="18"/>
  <c r="V36" i="18"/>
  <c r="U36" i="18"/>
  <c r="T36" i="18"/>
  <c r="R36" i="18"/>
  <c r="Q36" i="18"/>
  <c r="P36" i="18"/>
  <c r="N36" i="18"/>
  <c r="M36" i="18"/>
  <c r="L36" i="18"/>
  <c r="J36" i="18"/>
  <c r="I36" i="18"/>
  <c r="H36" i="18"/>
  <c r="F36" i="18"/>
  <c r="E36" i="18"/>
  <c r="D36" i="18"/>
  <c r="BB35" i="18"/>
  <c r="BA35" i="18"/>
  <c r="AZ35" i="18"/>
  <c r="AX35" i="18"/>
  <c r="AW35" i="18"/>
  <c r="AV35" i="18"/>
  <c r="AT35" i="18"/>
  <c r="AS35" i="18"/>
  <c r="AR35" i="18"/>
  <c r="AP35" i="18"/>
  <c r="AO35" i="18"/>
  <c r="AN35" i="18"/>
  <c r="AL35" i="18"/>
  <c r="AK35" i="18"/>
  <c r="AJ35" i="18"/>
  <c r="AH35" i="18"/>
  <c r="AG35" i="18"/>
  <c r="AF35" i="18"/>
  <c r="AD35" i="18"/>
  <c r="AC35" i="18"/>
  <c r="AB35" i="18"/>
  <c r="Z35" i="18"/>
  <c r="Y35" i="18"/>
  <c r="X35" i="18"/>
  <c r="V35" i="18"/>
  <c r="U35" i="18"/>
  <c r="T35" i="18"/>
  <c r="R35" i="18"/>
  <c r="Q35" i="18"/>
  <c r="P35" i="18"/>
  <c r="N35" i="18"/>
  <c r="M35" i="18"/>
  <c r="L35" i="18"/>
  <c r="J35" i="18"/>
  <c r="I35" i="18"/>
  <c r="H35" i="18"/>
  <c r="F35" i="18"/>
  <c r="E35" i="18"/>
  <c r="D35" i="18"/>
  <c r="BB34" i="18"/>
  <c r="BA34" i="18"/>
  <c r="AZ34" i="18"/>
  <c r="AX34" i="18"/>
  <c r="AW34" i="18"/>
  <c r="AV34" i="18"/>
  <c r="AT34" i="18"/>
  <c r="AS34" i="18"/>
  <c r="AR34" i="18"/>
  <c r="AP34" i="18"/>
  <c r="AO34" i="18"/>
  <c r="AN34" i="18"/>
  <c r="AL34" i="18"/>
  <c r="AK34" i="18"/>
  <c r="AJ34" i="18"/>
  <c r="AH34" i="18"/>
  <c r="AG34" i="18"/>
  <c r="AF34" i="18"/>
  <c r="AD34" i="18"/>
  <c r="AC34" i="18"/>
  <c r="AB34" i="18"/>
  <c r="Z34" i="18"/>
  <c r="Y34" i="18"/>
  <c r="X34" i="18"/>
  <c r="V34" i="18"/>
  <c r="U34" i="18"/>
  <c r="T34" i="18"/>
  <c r="R34" i="18"/>
  <c r="Q34" i="18"/>
  <c r="P34" i="18"/>
  <c r="N34" i="18"/>
  <c r="M34" i="18"/>
  <c r="L34" i="18"/>
  <c r="J34" i="18"/>
  <c r="I34" i="18"/>
  <c r="H34" i="18"/>
  <c r="F34" i="18"/>
  <c r="E34" i="18"/>
  <c r="D34" i="18"/>
  <c r="BB33" i="18"/>
  <c r="BA33" i="18"/>
  <c r="AZ33" i="18"/>
  <c r="AX33" i="18"/>
  <c r="AW33" i="18"/>
  <c r="AV33" i="18"/>
  <c r="AT33" i="18"/>
  <c r="AS33" i="18"/>
  <c r="AR33" i="18"/>
  <c r="AP33" i="18"/>
  <c r="AO33" i="18"/>
  <c r="AN33" i="18"/>
  <c r="AL33" i="18"/>
  <c r="AK33" i="18"/>
  <c r="AJ33" i="18"/>
  <c r="AH33" i="18"/>
  <c r="AG33" i="18"/>
  <c r="AF33" i="18"/>
  <c r="AD33" i="18"/>
  <c r="AC33" i="18"/>
  <c r="AB33" i="18"/>
  <c r="Z33" i="18"/>
  <c r="Y33" i="18"/>
  <c r="X33" i="18"/>
  <c r="V33" i="18"/>
  <c r="U33" i="18"/>
  <c r="T33" i="18"/>
  <c r="R33" i="18"/>
  <c r="Q33" i="18"/>
  <c r="P33" i="18"/>
  <c r="N33" i="18"/>
  <c r="M33" i="18"/>
  <c r="L33" i="18"/>
  <c r="J33" i="18"/>
  <c r="I33" i="18"/>
  <c r="H33" i="18"/>
  <c r="F33" i="18"/>
  <c r="E33" i="18"/>
  <c r="D33" i="18"/>
  <c r="BB32" i="18"/>
  <c r="BA32" i="18"/>
  <c r="AZ32" i="18"/>
  <c r="AX32" i="18"/>
  <c r="AW32" i="18"/>
  <c r="AV32" i="18"/>
  <c r="AT32" i="18"/>
  <c r="AS32" i="18"/>
  <c r="AR32" i="18"/>
  <c r="AP32" i="18"/>
  <c r="AO32" i="18"/>
  <c r="AN32" i="18"/>
  <c r="AL32" i="18"/>
  <c r="AK32" i="18"/>
  <c r="AJ32" i="18"/>
  <c r="AH32" i="18"/>
  <c r="AG32" i="18"/>
  <c r="AF32" i="18"/>
  <c r="AD32" i="18"/>
  <c r="AC32" i="18"/>
  <c r="AB32" i="18"/>
  <c r="Z32" i="18"/>
  <c r="Y32" i="18"/>
  <c r="X32" i="18"/>
  <c r="V32" i="18"/>
  <c r="U32" i="18"/>
  <c r="T32" i="18"/>
  <c r="R32" i="18"/>
  <c r="Q32" i="18"/>
  <c r="P32" i="18"/>
  <c r="N32" i="18"/>
  <c r="M32" i="18"/>
  <c r="L32" i="18"/>
  <c r="J32" i="18"/>
  <c r="I32" i="18"/>
  <c r="H32" i="18"/>
  <c r="F32" i="18"/>
  <c r="E32" i="18"/>
  <c r="D32" i="18"/>
  <c r="BB31" i="18"/>
  <c r="BA31" i="18"/>
  <c r="AZ31" i="18"/>
  <c r="AX31" i="18"/>
  <c r="AW31" i="18"/>
  <c r="AV31" i="18"/>
  <c r="AT31" i="18"/>
  <c r="AS31" i="18"/>
  <c r="AR31" i="18"/>
  <c r="AP31" i="18"/>
  <c r="AO31" i="18"/>
  <c r="AN31" i="18"/>
  <c r="AL31" i="18"/>
  <c r="AK31" i="18"/>
  <c r="AJ31" i="18"/>
  <c r="AH31" i="18"/>
  <c r="AG31" i="18"/>
  <c r="AF31" i="18"/>
  <c r="AD31" i="18"/>
  <c r="AC31" i="18"/>
  <c r="AB31" i="18"/>
  <c r="Z31" i="18"/>
  <c r="Y31" i="18"/>
  <c r="X31" i="18"/>
  <c r="V31" i="18"/>
  <c r="U31" i="18"/>
  <c r="T31" i="18"/>
  <c r="R31" i="18"/>
  <c r="Q31" i="18"/>
  <c r="P31" i="18"/>
  <c r="N31" i="18"/>
  <c r="M31" i="18"/>
  <c r="L31" i="18"/>
  <c r="J31" i="18"/>
  <c r="I31" i="18"/>
  <c r="H31" i="18"/>
  <c r="F31" i="18"/>
  <c r="E31" i="18"/>
  <c r="D31" i="18"/>
  <c r="BB30" i="18"/>
  <c r="BA30" i="18"/>
  <c r="AZ30" i="18"/>
  <c r="AX30" i="18"/>
  <c r="AW30" i="18"/>
  <c r="AV30" i="18"/>
  <c r="AT30" i="18"/>
  <c r="AS30" i="18"/>
  <c r="AR30" i="18"/>
  <c r="AP30" i="18"/>
  <c r="AO30" i="18"/>
  <c r="AN30" i="18"/>
  <c r="AL30" i="18"/>
  <c r="AK30" i="18"/>
  <c r="AJ30" i="18"/>
  <c r="AH30" i="18"/>
  <c r="AG30" i="18"/>
  <c r="AF30" i="18"/>
  <c r="AD30" i="18"/>
  <c r="AC30" i="18"/>
  <c r="AB30" i="18"/>
  <c r="Z30" i="18"/>
  <c r="Y30" i="18"/>
  <c r="X30" i="18"/>
  <c r="V30" i="18"/>
  <c r="U30" i="18"/>
  <c r="T30" i="18"/>
  <c r="R30" i="18"/>
  <c r="Q30" i="18"/>
  <c r="P30" i="18"/>
  <c r="N30" i="18"/>
  <c r="M30" i="18"/>
  <c r="L30" i="18"/>
  <c r="J30" i="18"/>
  <c r="I30" i="18"/>
  <c r="H30" i="18"/>
  <c r="F30" i="18"/>
  <c r="E30" i="18"/>
  <c r="D30" i="18"/>
  <c r="BB29" i="18"/>
  <c r="BA29" i="18"/>
  <c r="AZ29" i="18"/>
  <c r="AX29" i="18"/>
  <c r="AW29" i="18"/>
  <c r="AV29" i="18"/>
  <c r="AT29" i="18"/>
  <c r="AS29" i="18"/>
  <c r="AR29" i="18"/>
  <c r="AP29" i="18"/>
  <c r="AO29" i="18"/>
  <c r="AN29" i="18"/>
  <c r="AL29" i="18"/>
  <c r="AK29" i="18"/>
  <c r="AJ29" i="18"/>
  <c r="AH29" i="18"/>
  <c r="AG29" i="18"/>
  <c r="AF29" i="18"/>
  <c r="AD29" i="18"/>
  <c r="AC29" i="18"/>
  <c r="AB29" i="18"/>
  <c r="Z29" i="18"/>
  <c r="Y29" i="18"/>
  <c r="X29" i="18"/>
  <c r="V29" i="18"/>
  <c r="U29" i="18"/>
  <c r="T29" i="18"/>
  <c r="R29" i="18"/>
  <c r="Q29" i="18"/>
  <c r="P29" i="18"/>
  <c r="N29" i="18"/>
  <c r="M29" i="18"/>
  <c r="L29" i="18"/>
  <c r="J29" i="18"/>
  <c r="I29" i="18"/>
  <c r="H29" i="18"/>
  <c r="F29" i="18"/>
  <c r="E29" i="18"/>
  <c r="D29" i="18"/>
  <c r="BB28" i="18"/>
  <c r="BA28" i="18"/>
  <c r="AZ28" i="18"/>
  <c r="AX28" i="18"/>
  <c r="AW28" i="18"/>
  <c r="AV28" i="18"/>
  <c r="AT28" i="18"/>
  <c r="AS28" i="18"/>
  <c r="AR28" i="18"/>
  <c r="AP28" i="18"/>
  <c r="AO28" i="18"/>
  <c r="AN28" i="18"/>
  <c r="AL28" i="18"/>
  <c r="AK28" i="18"/>
  <c r="AJ28" i="18"/>
  <c r="AH28" i="18"/>
  <c r="AG28" i="18"/>
  <c r="AF28" i="18"/>
  <c r="AD28" i="18"/>
  <c r="AC28" i="18"/>
  <c r="AB28" i="18"/>
  <c r="Z28" i="18"/>
  <c r="Y28" i="18"/>
  <c r="X28" i="18"/>
  <c r="V28" i="18"/>
  <c r="U28" i="18"/>
  <c r="T28" i="18"/>
  <c r="R28" i="18"/>
  <c r="Q28" i="18"/>
  <c r="P28" i="18"/>
  <c r="N28" i="18"/>
  <c r="M28" i="18"/>
  <c r="L28" i="18"/>
  <c r="J28" i="18"/>
  <c r="I28" i="18"/>
  <c r="H28" i="18"/>
  <c r="F28" i="18"/>
  <c r="E28" i="18"/>
  <c r="D28" i="18"/>
  <c r="BB27" i="18"/>
  <c r="BA27" i="18"/>
  <c r="AZ27" i="18"/>
  <c r="AX27" i="18"/>
  <c r="AW27" i="18"/>
  <c r="AV27" i="18"/>
  <c r="AT27" i="18"/>
  <c r="AS27" i="18"/>
  <c r="AR27" i="18"/>
  <c r="AP27" i="18"/>
  <c r="AO27" i="18"/>
  <c r="AN27" i="18"/>
  <c r="AL27" i="18"/>
  <c r="AK27" i="18"/>
  <c r="AJ27" i="18"/>
  <c r="AH27" i="18"/>
  <c r="AG27" i="18"/>
  <c r="AF27" i="18"/>
  <c r="AD27" i="18"/>
  <c r="AC27" i="18"/>
  <c r="AB27" i="18"/>
  <c r="Z27" i="18"/>
  <c r="Y27" i="18"/>
  <c r="X27" i="18"/>
  <c r="V27" i="18"/>
  <c r="U27" i="18"/>
  <c r="T27" i="18"/>
  <c r="R27" i="18"/>
  <c r="Q27" i="18"/>
  <c r="P27" i="18"/>
  <c r="N27" i="18"/>
  <c r="M27" i="18"/>
  <c r="L27" i="18"/>
  <c r="J27" i="18"/>
  <c r="I27" i="18"/>
  <c r="H27" i="18"/>
  <c r="F27" i="18"/>
  <c r="E27" i="18"/>
  <c r="D27" i="18"/>
  <c r="BB26" i="18"/>
  <c r="BA26" i="18"/>
  <c r="AZ26" i="18"/>
  <c r="AX26" i="18"/>
  <c r="AW26" i="18"/>
  <c r="AV26" i="18"/>
  <c r="AT26" i="18"/>
  <c r="AS26" i="18"/>
  <c r="AR26" i="18"/>
  <c r="AP26" i="18"/>
  <c r="AO26" i="18"/>
  <c r="AN26" i="18"/>
  <c r="AL26" i="18"/>
  <c r="AK26" i="18"/>
  <c r="AJ26" i="18"/>
  <c r="AH26" i="18"/>
  <c r="AG26" i="18"/>
  <c r="AF26" i="18"/>
  <c r="AD26" i="18"/>
  <c r="AC26" i="18"/>
  <c r="AB26" i="18"/>
  <c r="Z26" i="18"/>
  <c r="Y26" i="18"/>
  <c r="X26" i="18"/>
  <c r="V26" i="18"/>
  <c r="U26" i="18"/>
  <c r="T26" i="18"/>
  <c r="R26" i="18"/>
  <c r="Q26" i="18"/>
  <c r="P26" i="18"/>
  <c r="N26" i="18"/>
  <c r="M26" i="18"/>
  <c r="L26" i="18"/>
  <c r="J26" i="18"/>
  <c r="I26" i="18"/>
  <c r="H26" i="18"/>
  <c r="F26" i="18"/>
  <c r="E26" i="18"/>
  <c r="D26" i="18"/>
  <c r="BB25" i="18"/>
  <c r="BA25" i="18"/>
  <c r="AZ25" i="18"/>
  <c r="AX25" i="18"/>
  <c r="AW25" i="18"/>
  <c r="AV25" i="18"/>
  <c r="AT25" i="18"/>
  <c r="AS25" i="18"/>
  <c r="AR25" i="18"/>
  <c r="AP25" i="18"/>
  <c r="AO25" i="18"/>
  <c r="AN25" i="18"/>
  <c r="AL25" i="18"/>
  <c r="AK25" i="18"/>
  <c r="AJ25" i="18"/>
  <c r="AH25" i="18"/>
  <c r="AG25" i="18"/>
  <c r="AF25" i="18"/>
  <c r="AD25" i="18"/>
  <c r="AC25" i="18"/>
  <c r="AB25" i="18"/>
  <c r="Z25" i="18"/>
  <c r="Y25" i="18"/>
  <c r="X25" i="18"/>
  <c r="V25" i="18"/>
  <c r="U25" i="18"/>
  <c r="T25" i="18"/>
  <c r="R25" i="18"/>
  <c r="Q25" i="18"/>
  <c r="P25" i="18"/>
  <c r="N25" i="18"/>
  <c r="M25" i="18"/>
  <c r="L25" i="18"/>
  <c r="J25" i="18"/>
  <c r="I25" i="18"/>
  <c r="H25" i="18"/>
  <c r="F25" i="18"/>
  <c r="E25" i="18"/>
  <c r="D25" i="18"/>
  <c r="BB24" i="18"/>
  <c r="BA24" i="18"/>
  <c r="AZ24" i="18"/>
  <c r="AX24" i="18"/>
  <c r="AW24" i="18"/>
  <c r="AV24" i="18"/>
  <c r="AT24" i="18"/>
  <c r="AS24" i="18"/>
  <c r="AR24" i="18"/>
  <c r="AP24" i="18"/>
  <c r="AO24" i="18"/>
  <c r="AN24" i="18"/>
  <c r="AL24" i="18"/>
  <c r="AK24" i="18"/>
  <c r="AJ24" i="18"/>
  <c r="AH24" i="18"/>
  <c r="AG24" i="18"/>
  <c r="AF24" i="18"/>
  <c r="AD24" i="18"/>
  <c r="AC24" i="18"/>
  <c r="AB24" i="18"/>
  <c r="Z24" i="18"/>
  <c r="Y24" i="18"/>
  <c r="X24" i="18"/>
  <c r="V24" i="18"/>
  <c r="U24" i="18"/>
  <c r="T24" i="18"/>
  <c r="R24" i="18"/>
  <c r="Q24" i="18"/>
  <c r="P24" i="18"/>
  <c r="N24" i="18"/>
  <c r="M24" i="18"/>
  <c r="L24" i="18"/>
  <c r="J24" i="18"/>
  <c r="I24" i="18"/>
  <c r="H24" i="18"/>
  <c r="F24" i="18"/>
  <c r="E24" i="18"/>
  <c r="D24" i="18"/>
  <c r="BB23" i="18"/>
  <c r="BA23" i="18"/>
  <c r="AZ23" i="18"/>
  <c r="AX23" i="18"/>
  <c r="AW23" i="18"/>
  <c r="AV23" i="18"/>
  <c r="AT23" i="18"/>
  <c r="AS23" i="18"/>
  <c r="AR23" i="18"/>
  <c r="AP23" i="18"/>
  <c r="AO23" i="18"/>
  <c r="AN23" i="18"/>
  <c r="AL23" i="18"/>
  <c r="AK23" i="18"/>
  <c r="AJ23" i="18"/>
  <c r="AH23" i="18"/>
  <c r="AG23" i="18"/>
  <c r="AF23" i="18"/>
  <c r="AD23" i="18"/>
  <c r="AC23" i="18"/>
  <c r="AB23" i="18"/>
  <c r="Z23" i="18"/>
  <c r="Y23" i="18"/>
  <c r="X23" i="18"/>
  <c r="V23" i="18"/>
  <c r="U23" i="18"/>
  <c r="T23" i="18"/>
  <c r="R23" i="18"/>
  <c r="Q23" i="18"/>
  <c r="P23" i="18"/>
  <c r="N23" i="18"/>
  <c r="M23" i="18"/>
  <c r="L23" i="18"/>
  <c r="J23" i="18"/>
  <c r="I23" i="18"/>
  <c r="H23" i="18"/>
  <c r="F23" i="18"/>
  <c r="E23" i="18"/>
  <c r="D23" i="18"/>
  <c r="BB22" i="18"/>
  <c r="BA22" i="18"/>
  <c r="AZ22" i="18"/>
  <c r="AX22" i="18"/>
  <c r="AW22" i="18"/>
  <c r="AV22" i="18"/>
  <c r="AT22" i="18"/>
  <c r="AS22" i="18"/>
  <c r="AR22" i="18"/>
  <c r="AP22" i="18"/>
  <c r="AO22" i="18"/>
  <c r="AN22" i="18"/>
  <c r="AL22" i="18"/>
  <c r="AK22" i="18"/>
  <c r="AJ22" i="18"/>
  <c r="AH22" i="18"/>
  <c r="AG22" i="18"/>
  <c r="AF22" i="18"/>
  <c r="AD22" i="18"/>
  <c r="AC22" i="18"/>
  <c r="AB22" i="18"/>
  <c r="Z22" i="18"/>
  <c r="Y22" i="18"/>
  <c r="X22" i="18"/>
  <c r="V22" i="18"/>
  <c r="U22" i="18"/>
  <c r="T22" i="18"/>
  <c r="R22" i="18"/>
  <c r="Q22" i="18"/>
  <c r="P22" i="18"/>
  <c r="N22" i="18"/>
  <c r="M22" i="18"/>
  <c r="L22" i="18"/>
  <c r="J22" i="18"/>
  <c r="I22" i="18"/>
  <c r="H22" i="18"/>
  <c r="F22" i="18"/>
  <c r="E22" i="18"/>
  <c r="D22" i="18"/>
  <c r="BB21" i="18"/>
  <c r="BA21" i="18"/>
  <c r="AZ21" i="18"/>
  <c r="AX21" i="18"/>
  <c r="AW21" i="18"/>
  <c r="AV21" i="18"/>
  <c r="AT21" i="18"/>
  <c r="AS21" i="18"/>
  <c r="AR21" i="18"/>
  <c r="AP21" i="18"/>
  <c r="AO21" i="18"/>
  <c r="AN21" i="18"/>
  <c r="AL21" i="18"/>
  <c r="AK21" i="18"/>
  <c r="AJ21" i="18"/>
  <c r="AH21" i="18"/>
  <c r="AG21" i="18"/>
  <c r="AF21" i="18"/>
  <c r="AD21" i="18"/>
  <c r="AC21" i="18"/>
  <c r="AB21" i="18"/>
  <c r="Z21" i="18"/>
  <c r="Y21" i="18"/>
  <c r="X21" i="18"/>
  <c r="V21" i="18"/>
  <c r="U21" i="18"/>
  <c r="T21" i="18"/>
  <c r="R21" i="18"/>
  <c r="Q21" i="18"/>
  <c r="P21" i="18"/>
  <c r="N21" i="18"/>
  <c r="M21" i="18"/>
  <c r="L21" i="18"/>
  <c r="J21" i="18"/>
  <c r="I21" i="18"/>
  <c r="H21" i="18"/>
  <c r="F21" i="18"/>
  <c r="E21" i="18"/>
  <c r="D21" i="18"/>
  <c r="BB20" i="18"/>
  <c r="BA20" i="18"/>
  <c r="AZ20" i="18"/>
  <c r="AX20" i="18"/>
  <c r="AW20" i="18"/>
  <c r="AV20" i="18"/>
  <c r="AT20" i="18"/>
  <c r="AS20" i="18"/>
  <c r="AR20" i="18"/>
  <c r="AP20" i="18"/>
  <c r="AO20" i="18"/>
  <c r="AN20" i="18"/>
  <c r="AL20" i="18"/>
  <c r="AK20" i="18"/>
  <c r="AJ20" i="18"/>
  <c r="AH20" i="18"/>
  <c r="AG20" i="18"/>
  <c r="AF20" i="18"/>
  <c r="AD20" i="18"/>
  <c r="AC20" i="18"/>
  <c r="AB20" i="18"/>
  <c r="Z20" i="18"/>
  <c r="Y20" i="18"/>
  <c r="X20" i="18"/>
  <c r="V20" i="18"/>
  <c r="U20" i="18"/>
  <c r="T20" i="18"/>
  <c r="R20" i="18"/>
  <c r="Q20" i="18"/>
  <c r="P20" i="18"/>
  <c r="N20" i="18"/>
  <c r="M20" i="18"/>
  <c r="L20" i="18"/>
  <c r="J20" i="18"/>
  <c r="I20" i="18"/>
  <c r="H20" i="18"/>
  <c r="F20" i="18"/>
  <c r="E20" i="18"/>
  <c r="D20" i="18"/>
  <c r="BB19" i="18"/>
  <c r="BA19" i="18"/>
  <c r="AZ19" i="18"/>
  <c r="AX19" i="18"/>
  <c r="AW19" i="18"/>
  <c r="AV19" i="18"/>
  <c r="AT19" i="18"/>
  <c r="AS19" i="18"/>
  <c r="AR19" i="18"/>
  <c r="AP19" i="18"/>
  <c r="AO19" i="18"/>
  <c r="AN19" i="18"/>
  <c r="AL19" i="18"/>
  <c r="AK19" i="18"/>
  <c r="AJ19" i="18"/>
  <c r="AH19" i="18"/>
  <c r="AG19" i="18"/>
  <c r="AF19" i="18"/>
  <c r="AD19" i="18"/>
  <c r="AC19" i="18"/>
  <c r="AB19" i="18"/>
  <c r="Z19" i="18"/>
  <c r="Y19" i="18"/>
  <c r="X19" i="18"/>
  <c r="V19" i="18"/>
  <c r="U19" i="18"/>
  <c r="T19" i="18"/>
  <c r="R19" i="18"/>
  <c r="Q19" i="18"/>
  <c r="P19" i="18"/>
  <c r="N19" i="18"/>
  <c r="M19" i="18"/>
  <c r="L19" i="18"/>
  <c r="J19" i="18"/>
  <c r="I19" i="18"/>
  <c r="H19" i="18"/>
  <c r="F19" i="18"/>
  <c r="E19" i="18"/>
  <c r="D19" i="18"/>
  <c r="BB18" i="18"/>
  <c r="BA18" i="18"/>
  <c r="AZ18" i="18"/>
  <c r="AX18" i="18"/>
  <c r="AW18" i="18"/>
  <c r="AV18" i="18"/>
  <c r="AT18" i="18"/>
  <c r="AS18" i="18"/>
  <c r="AR18" i="18"/>
  <c r="AP18" i="18"/>
  <c r="AO18" i="18"/>
  <c r="AN18" i="18"/>
  <c r="AL18" i="18"/>
  <c r="AK18" i="18"/>
  <c r="AJ18" i="18"/>
  <c r="AH18" i="18"/>
  <c r="AG18" i="18"/>
  <c r="AF18" i="18"/>
  <c r="AD18" i="18"/>
  <c r="AC18" i="18"/>
  <c r="G9" i="18"/>
  <c r="AB18" i="18"/>
  <c r="Z18" i="18"/>
  <c r="Y18" i="18"/>
  <c r="X18" i="18"/>
  <c r="V18" i="18"/>
  <c r="U18" i="18"/>
  <c r="T18" i="18"/>
  <c r="R18" i="18"/>
  <c r="Q18" i="18"/>
  <c r="P18" i="18"/>
  <c r="N18" i="18"/>
  <c r="M18" i="18"/>
  <c r="L18" i="18"/>
  <c r="J18" i="18"/>
  <c r="I18" i="18"/>
  <c r="H18" i="18"/>
  <c r="F18" i="18"/>
  <c r="E18" i="18"/>
  <c r="D18" i="18"/>
  <c r="AY17" i="18"/>
  <c r="AU17" i="18"/>
  <c r="AQ17" i="18"/>
  <c r="AM17" i="18"/>
  <c r="AI17" i="18"/>
  <c r="AE17" i="18"/>
  <c r="O17" i="18"/>
  <c r="K17" i="18"/>
  <c r="U9" i="6"/>
  <c r="V11" i="6"/>
  <c r="V10" i="6"/>
  <c r="V9" i="6"/>
  <c r="V8" i="6"/>
  <c r="U7" i="6"/>
  <c r="V4" i="6"/>
  <c r="V3" i="6"/>
  <c r="V6" i="6"/>
  <c r="V5" i="6"/>
  <c r="R30" i="6"/>
  <c r="Q30" i="6"/>
  <c r="P30" i="6"/>
  <c r="O30" i="6"/>
  <c r="N30" i="6"/>
  <c r="M30" i="6"/>
  <c r="J37" i="6"/>
  <c r="I37" i="6"/>
  <c r="H37" i="6"/>
  <c r="G37" i="6"/>
  <c r="V48" i="6"/>
  <c r="I50" i="12"/>
  <c r="AD49" i="6"/>
  <c r="I49" i="12"/>
  <c r="AD48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W5" i="6"/>
  <c r="W4" i="6"/>
  <c r="W3" i="6"/>
  <c r="V47" i="6"/>
  <c r="V46" i="6"/>
  <c r="V45" i="6"/>
  <c r="V44" i="6"/>
  <c r="I48" i="12"/>
  <c r="AD47" i="6"/>
  <c r="I47" i="12"/>
  <c r="AD46" i="6"/>
  <c r="I46" i="12"/>
  <c r="AD45" i="6"/>
  <c r="I44" i="12"/>
  <c r="AD43" i="6"/>
  <c r="I43" i="12"/>
  <c r="AD42" i="6"/>
  <c r="I42" i="12"/>
  <c r="AD41" i="6"/>
  <c r="I41" i="12"/>
  <c r="AD40" i="6"/>
  <c r="I40" i="12"/>
  <c r="AD39" i="6"/>
  <c r="I39" i="12"/>
  <c r="AD38" i="6"/>
  <c r="I38" i="12"/>
  <c r="AD37" i="6"/>
  <c r="I37" i="12"/>
  <c r="AD36" i="6"/>
  <c r="I36" i="12"/>
  <c r="AD35" i="6"/>
  <c r="I35" i="12"/>
  <c r="AD34" i="6"/>
  <c r="I34" i="12"/>
  <c r="AD33" i="6"/>
  <c r="I33" i="12"/>
  <c r="AD32" i="6"/>
  <c r="I32" i="12"/>
  <c r="AD31" i="6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W6" i="14"/>
  <c r="S6" i="14"/>
  <c r="I18" i="12"/>
  <c r="I17" i="12"/>
  <c r="AD16" i="6"/>
  <c r="H17" i="12"/>
  <c r="W4" i="14"/>
  <c r="G17" i="12"/>
  <c r="I16" i="12"/>
  <c r="AD15" i="6"/>
  <c r="U43" i="6"/>
  <c r="U42" i="6"/>
  <c r="U41" i="6"/>
  <c r="U40" i="6"/>
  <c r="U39" i="6"/>
  <c r="U38" i="6"/>
  <c r="T37" i="6"/>
  <c r="S37" i="6"/>
  <c r="T36" i="6"/>
  <c r="S36" i="6"/>
  <c r="J36" i="6"/>
  <c r="I36" i="6"/>
  <c r="H36" i="6"/>
  <c r="G36" i="6"/>
  <c r="T35" i="6"/>
  <c r="S35" i="6"/>
  <c r="J35" i="6"/>
  <c r="I35" i="6"/>
  <c r="H35" i="6"/>
  <c r="G35" i="6"/>
  <c r="T34" i="6"/>
  <c r="S34" i="6"/>
  <c r="J34" i="6"/>
  <c r="I34" i="6"/>
  <c r="H34" i="6"/>
  <c r="G34" i="6"/>
  <c r="T33" i="6"/>
  <c r="S33" i="6"/>
  <c r="J33" i="6"/>
  <c r="I33" i="6"/>
  <c r="H33" i="6"/>
  <c r="G33" i="6"/>
  <c r="T32" i="6"/>
  <c r="S32" i="6"/>
  <c r="J32" i="6"/>
  <c r="I32" i="6"/>
  <c r="H32" i="6"/>
  <c r="G32" i="6"/>
  <c r="T31" i="6"/>
  <c r="S31" i="6"/>
  <c r="J31" i="6"/>
  <c r="I31" i="6"/>
  <c r="H31" i="6"/>
  <c r="G31" i="6"/>
  <c r="T30" i="6"/>
  <c r="S30" i="6"/>
  <c r="T29" i="6"/>
  <c r="S29" i="6"/>
  <c r="R29" i="6"/>
  <c r="Q29" i="6"/>
  <c r="P29" i="6"/>
  <c r="O29" i="6"/>
  <c r="N29" i="6"/>
  <c r="M29" i="6"/>
  <c r="T28" i="6"/>
  <c r="S28" i="6"/>
  <c r="R28" i="6"/>
  <c r="Q28" i="6"/>
  <c r="P28" i="6"/>
  <c r="O28" i="6"/>
  <c r="N28" i="6"/>
  <c r="M28" i="6"/>
  <c r="T27" i="6"/>
  <c r="S27" i="6"/>
  <c r="R27" i="6"/>
  <c r="Q27" i="6"/>
  <c r="P27" i="6"/>
  <c r="O27" i="6"/>
  <c r="N27" i="6"/>
  <c r="M27" i="6"/>
  <c r="T26" i="6"/>
  <c r="S26" i="6"/>
  <c r="R26" i="6"/>
  <c r="Q26" i="6"/>
  <c r="P26" i="6"/>
  <c r="O26" i="6"/>
  <c r="N26" i="6"/>
  <c r="M26" i="6"/>
  <c r="T25" i="6"/>
  <c r="S25" i="6"/>
  <c r="R25" i="6"/>
  <c r="Q25" i="6"/>
  <c r="P25" i="6"/>
  <c r="O25" i="6"/>
  <c r="N25" i="6"/>
  <c r="M25" i="6"/>
  <c r="T24" i="6"/>
  <c r="S24" i="6"/>
  <c r="R24" i="6"/>
  <c r="Q24" i="6"/>
  <c r="P24" i="6"/>
  <c r="O24" i="6"/>
  <c r="N24" i="6"/>
  <c r="M24" i="6"/>
  <c r="T23" i="6"/>
  <c r="S23" i="6"/>
  <c r="R23" i="6"/>
  <c r="Q23" i="6"/>
  <c r="P23" i="6"/>
  <c r="O23" i="6"/>
  <c r="N23" i="6"/>
  <c r="M23" i="6"/>
  <c r="T22" i="6"/>
  <c r="S22" i="6"/>
  <c r="R22" i="6"/>
  <c r="Q22" i="6"/>
  <c r="P22" i="6"/>
  <c r="O22" i="6"/>
  <c r="N22" i="6"/>
  <c r="M22" i="6"/>
  <c r="T21" i="6"/>
  <c r="S21" i="6"/>
  <c r="R21" i="6"/>
  <c r="Q21" i="6"/>
  <c r="P21" i="6"/>
  <c r="O21" i="6"/>
  <c r="N21" i="6"/>
  <c r="M21" i="6"/>
  <c r="T20" i="6"/>
  <c r="S20" i="6"/>
  <c r="R20" i="6"/>
  <c r="Q20" i="6"/>
  <c r="P20" i="6"/>
  <c r="O20" i="6"/>
  <c r="N20" i="6"/>
  <c r="M20" i="6"/>
  <c r="T19" i="6"/>
  <c r="S19" i="6"/>
  <c r="R19" i="6"/>
  <c r="Q19" i="6"/>
  <c r="P19" i="6"/>
  <c r="O19" i="6"/>
  <c r="N19" i="6"/>
  <c r="M19" i="6"/>
  <c r="T18" i="6"/>
  <c r="S18" i="6"/>
  <c r="R18" i="6"/>
  <c r="Q18" i="6"/>
  <c r="P18" i="6"/>
  <c r="O18" i="6"/>
  <c r="N18" i="6"/>
  <c r="M18" i="6"/>
  <c r="T17" i="6"/>
  <c r="S17" i="6"/>
  <c r="R17" i="6"/>
  <c r="Q17" i="6"/>
  <c r="P17" i="6"/>
  <c r="O17" i="6"/>
  <c r="N17" i="6"/>
  <c r="M17" i="6"/>
  <c r="T16" i="6"/>
  <c r="S16" i="6"/>
  <c r="R16" i="6"/>
  <c r="Q16" i="6"/>
  <c r="P16" i="6"/>
  <c r="O16" i="6"/>
  <c r="N16" i="6"/>
  <c r="M16" i="6"/>
  <c r="T15" i="6"/>
  <c r="S15" i="6"/>
  <c r="R15" i="6"/>
  <c r="Q15" i="6"/>
  <c r="P15" i="6"/>
  <c r="O15" i="6"/>
  <c r="N15" i="6"/>
  <c r="M15" i="6"/>
  <c r="X15" i="6"/>
  <c r="Z15" i="6"/>
  <c r="AA15" i="6"/>
  <c r="AB15" i="6"/>
  <c r="AC15" i="6"/>
  <c r="X16" i="6"/>
  <c r="Z16" i="6"/>
  <c r="AA16" i="6"/>
  <c r="Z46" i="6"/>
  <c r="AA46" i="6"/>
  <c r="AB46" i="6"/>
  <c r="AC46" i="6"/>
  <c r="AC47" i="6"/>
  <c r="AB47" i="6"/>
  <c r="AA47" i="6"/>
  <c r="Z47" i="6"/>
  <c r="AC45" i="6"/>
  <c r="AB45" i="6"/>
  <c r="AA45" i="6"/>
  <c r="Z45" i="6"/>
  <c r="AC44" i="6"/>
  <c r="AB44" i="6"/>
  <c r="AA44" i="6"/>
  <c r="Z44" i="6"/>
  <c r="X44" i="6"/>
  <c r="AC43" i="6"/>
  <c r="AB43" i="6"/>
  <c r="AA43" i="6"/>
  <c r="Z43" i="6"/>
  <c r="X43" i="6"/>
  <c r="AC42" i="6"/>
  <c r="AB42" i="6"/>
  <c r="AA42" i="6"/>
  <c r="Z42" i="6"/>
  <c r="X42" i="6"/>
  <c r="AC41" i="6"/>
  <c r="AB41" i="6"/>
  <c r="AA41" i="6"/>
  <c r="Z41" i="6"/>
  <c r="X41" i="6"/>
  <c r="AC40" i="6"/>
  <c r="AB40" i="6"/>
  <c r="AA40" i="6"/>
  <c r="Z40" i="6"/>
  <c r="X40" i="6"/>
  <c r="AC39" i="6"/>
  <c r="AB39" i="6"/>
  <c r="AA39" i="6"/>
  <c r="Z39" i="6"/>
  <c r="X39" i="6"/>
  <c r="AC38" i="6"/>
  <c r="AB38" i="6"/>
  <c r="AA38" i="6"/>
  <c r="Z38" i="6"/>
  <c r="X38" i="6"/>
  <c r="AC37" i="6"/>
  <c r="AB37" i="6"/>
  <c r="AA37" i="6"/>
  <c r="Z37" i="6"/>
  <c r="X37" i="6"/>
  <c r="AC36" i="6"/>
  <c r="AB36" i="6"/>
  <c r="AA36" i="6"/>
  <c r="Z36" i="6"/>
  <c r="X36" i="6"/>
  <c r="AC35" i="6"/>
  <c r="AB35" i="6"/>
  <c r="AA35" i="6"/>
  <c r="Z35" i="6"/>
  <c r="X35" i="6"/>
  <c r="AC34" i="6"/>
  <c r="AB34" i="6"/>
  <c r="AA34" i="6"/>
  <c r="Z34" i="6"/>
  <c r="X34" i="6"/>
  <c r="AC33" i="6"/>
  <c r="AB33" i="6"/>
  <c r="AA33" i="6"/>
  <c r="Z33" i="6"/>
  <c r="X33" i="6"/>
  <c r="AC32" i="6"/>
  <c r="AB32" i="6"/>
  <c r="AA32" i="6"/>
  <c r="Z32" i="6"/>
  <c r="X32" i="6"/>
  <c r="AC31" i="6"/>
  <c r="AB31" i="6"/>
  <c r="AA31" i="6"/>
  <c r="Z31" i="6"/>
  <c r="X31" i="6"/>
  <c r="T14" i="6"/>
  <c r="S14" i="6"/>
  <c r="T11" i="6"/>
  <c r="S11" i="6"/>
  <c r="T10" i="6"/>
  <c r="S10" i="6"/>
  <c r="T9" i="6"/>
  <c r="S9" i="6"/>
  <c r="S8" i="6"/>
  <c r="T7" i="6"/>
  <c r="S7" i="6"/>
  <c r="T6" i="6"/>
  <c r="S6" i="6"/>
  <c r="T5" i="6"/>
  <c r="S5" i="6"/>
  <c r="T4" i="6"/>
  <c r="S4" i="6"/>
  <c r="T3" i="6"/>
  <c r="S3" i="6"/>
  <c r="AC30" i="6"/>
  <c r="AB30" i="6"/>
  <c r="AA30" i="6"/>
  <c r="Z30" i="6"/>
  <c r="X30" i="6"/>
  <c r="AC29" i="6"/>
  <c r="AB29" i="6"/>
  <c r="AA29" i="6"/>
  <c r="Z29" i="6"/>
  <c r="X29" i="6"/>
  <c r="AC28" i="6"/>
  <c r="AB28" i="6"/>
  <c r="AA28" i="6"/>
  <c r="Z28" i="6"/>
  <c r="X28" i="6"/>
  <c r="AC27" i="6"/>
  <c r="AB27" i="6"/>
  <c r="AA27" i="6"/>
  <c r="Z27" i="6"/>
  <c r="X27" i="6"/>
  <c r="AC26" i="6"/>
  <c r="AB26" i="6"/>
  <c r="AA26" i="6"/>
  <c r="Z26" i="6"/>
  <c r="X26" i="6"/>
  <c r="AC25" i="6"/>
  <c r="AB25" i="6"/>
  <c r="AA25" i="6"/>
  <c r="Z25" i="6"/>
  <c r="X25" i="6"/>
  <c r="AC24" i="6"/>
  <c r="AB24" i="6"/>
  <c r="AA24" i="6"/>
  <c r="Z24" i="6"/>
  <c r="X24" i="6"/>
  <c r="AC23" i="6"/>
  <c r="AB23" i="6"/>
  <c r="AA23" i="6"/>
  <c r="Z23" i="6"/>
  <c r="X23" i="6"/>
  <c r="AC22" i="6"/>
  <c r="AB22" i="6"/>
  <c r="AA22" i="6"/>
  <c r="Z22" i="6"/>
  <c r="X22" i="6"/>
  <c r="AC21" i="6"/>
  <c r="AB21" i="6"/>
  <c r="AA21" i="6"/>
  <c r="Z21" i="6"/>
  <c r="X21" i="6"/>
  <c r="AC20" i="6"/>
  <c r="AB20" i="6"/>
  <c r="AA20" i="6"/>
  <c r="Z20" i="6"/>
  <c r="X20" i="6"/>
  <c r="AC19" i="6"/>
  <c r="AB19" i="6"/>
  <c r="AA19" i="6"/>
  <c r="Z19" i="6"/>
  <c r="X19" i="6"/>
  <c r="AC18" i="6"/>
  <c r="AB18" i="6"/>
  <c r="AA18" i="6"/>
  <c r="Z18" i="6"/>
  <c r="X18" i="6"/>
  <c r="AC17" i="6"/>
  <c r="AB17" i="6"/>
  <c r="AA17" i="6"/>
  <c r="Z17" i="6"/>
  <c r="X17" i="6"/>
  <c r="AC14" i="6"/>
  <c r="AB14" i="6"/>
  <c r="AA14" i="6"/>
  <c r="Z14" i="6"/>
  <c r="X14" i="6"/>
  <c r="AC13" i="6"/>
  <c r="AB13" i="6"/>
  <c r="AA13" i="6"/>
  <c r="Z13" i="6"/>
  <c r="X13" i="6"/>
  <c r="AC12" i="6"/>
  <c r="AB12" i="6"/>
  <c r="AA12" i="6"/>
  <c r="Z12" i="6"/>
  <c r="X12" i="6"/>
  <c r="AC11" i="6"/>
  <c r="AB11" i="6"/>
  <c r="AA11" i="6"/>
  <c r="Z11" i="6"/>
  <c r="X11" i="6"/>
  <c r="AC10" i="6"/>
  <c r="AB10" i="6"/>
  <c r="AA10" i="6"/>
  <c r="Z10" i="6"/>
  <c r="X10" i="6"/>
  <c r="AC9" i="6"/>
  <c r="AB9" i="6"/>
  <c r="AA9" i="6"/>
  <c r="Z9" i="6"/>
  <c r="X9" i="6"/>
  <c r="AC8" i="6"/>
  <c r="AB8" i="6"/>
  <c r="AA8" i="6"/>
  <c r="Z8" i="6"/>
  <c r="X8" i="6"/>
  <c r="AC7" i="6"/>
  <c r="AB7" i="6"/>
  <c r="AA7" i="6"/>
  <c r="Z7" i="6"/>
  <c r="X7" i="6"/>
  <c r="AC6" i="6"/>
  <c r="AB6" i="6"/>
  <c r="AA6" i="6"/>
  <c r="Z6" i="6"/>
  <c r="X6" i="6"/>
  <c r="AC5" i="6"/>
  <c r="AB5" i="6"/>
  <c r="AA5" i="6"/>
  <c r="Z5" i="6"/>
  <c r="X5" i="6"/>
  <c r="AC4" i="6"/>
  <c r="AB4" i="6"/>
  <c r="AA4" i="6"/>
  <c r="Z4" i="6"/>
  <c r="X4" i="6"/>
  <c r="AC3" i="6"/>
  <c r="AB3" i="6"/>
  <c r="AA3" i="6"/>
  <c r="AI17" i="16"/>
  <c r="AM17" i="16"/>
  <c r="AU17" i="16"/>
  <c r="AE17" i="16"/>
  <c r="AA17" i="16"/>
  <c r="S17" i="16"/>
  <c r="K17" i="16"/>
  <c r="BB76" i="16"/>
  <c r="BA76" i="16"/>
  <c r="AZ76" i="16"/>
  <c r="AX76" i="16"/>
  <c r="AW76" i="16"/>
  <c r="AV76" i="16"/>
  <c r="AT76" i="16"/>
  <c r="AS76" i="16"/>
  <c r="AR76" i="16"/>
  <c r="AP76" i="16"/>
  <c r="AO76" i="16"/>
  <c r="AN76" i="16"/>
  <c r="AL76" i="16"/>
  <c r="AK76" i="16"/>
  <c r="AJ76" i="16"/>
  <c r="AH76" i="16"/>
  <c r="AG76" i="16"/>
  <c r="AF76" i="16"/>
  <c r="AD76" i="16"/>
  <c r="AC76" i="16"/>
  <c r="AB76" i="16"/>
  <c r="Z76" i="16"/>
  <c r="Y76" i="16"/>
  <c r="X76" i="16"/>
  <c r="V76" i="16"/>
  <c r="U76" i="16"/>
  <c r="T76" i="16"/>
  <c r="R76" i="16"/>
  <c r="Q76" i="16"/>
  <c r="P76" i="16"/>
  <c r="N76" i="16"/>
  <c r="M76" i="16"/>
  <c r="L76" i="16"/>
  <c r="J76" i="16"/>
  <c r="I76" i="16"/>
  <c r="H76" i="16"/>
  <c r="F76" i="16"/>
  <c r="E76" i="16"/>
  <c r="D76" i="16"/>
  <c r="BB75" i="16"/>
  <c r="BA75" i="16"/>
  <c r="AZ75" i="16"/>
  <c r="AX75" i="16"/>
  <c r="AW75" i="16"/>
  <c r="AV75" i="16"/>
  <c r="AT75" i="16"/>
  <c r="AS75" i="16"/>
  <c r="AR75" i="16"/>
  <c r="AP75" i="16"/>
  <c r="AO75" i="16"/>
  <c r="AN75" i="16"/>
  <c r="AL75" i="16"/>
  <c r="AK75" i="16"/>
  <c r="AJ75" i="16"/>
  <c r="AH75" i="16"/>
  <c r="AG75" i="16"/>
  <c r="AF75" i="16"/>
  <c r="AD75" i="16"/>
  <c r="AC75" i="16"/>
  <c r="AB75" i="16"/>
  <c r="Z75" i="16"/>
  <c r="Y75" i="16"/>
  <c r="X75" i="16"/>
  <c r="V75" i="16"/>
  <c r="U75" i="16"/>
  <c r="T75" i="16"/>
  <c r="R75" i="16"/>
  <c r="Q75" i="16"/>
  <c r="P75" i="16"/>
  <c r="N75" i="16"/>
  <c r="M75" i="16"/>
  <c r="L75" i="16"/>
  <c r="J75" i="16"/>
  <c r="I75" i="16"/>
  <c r="H75" i="16"/>
  <c r="F75" i="16"/>
  <c r="E75" i="16"/>
  <c r="D75" i="16"/>
  <c r="BB74" i="16"/>
  <c r="BA74" i="16"/>
  <c r="AZ74" i="16"/>
  <c r="AX74" i="16"/>
  <c r="AW74" i="16"/>
  <c r="AV74" i="16"/>
  <c r="AT74" i="16"/>
  <c r="AS74" i="16"/>
  <c r="AR74" i="16"/>
  <c r="AP74" i="16"/>
  <c r="AO74" i="16"/>
  <c r="AN74" i="16"/>
  <c r="AL74" i="16"/>
  <c r="AK74" i="16"/>
  <c r="AJ74" i="16"/>
  <c r="AH74" i="16"/>
  <c r="AG74" i="16"/>
  <c r="AF74" i="16"/>
  <c r="AD74" i="16"/>
  <c r="AC74" i="16"/>
  <c r="AB74" i="16"/>
  <c r="Z74" i="16"/>
  <c r="Y74" i="16"/>
  <c r="X74" i="16"/>
  <c r="V74" i="16"/>
  <c r="U74" i="16"/>
  <c r="T74" i="16"/>
  <c r="R74" i="16"/>
  <c r="Q74" i="16"/>
  <c r="P74" i="16"/>
  <c r="N74" i="16"/>
  <c r="M74" i="16"/>
  <c r="L74" i="16"/>
  <c r="J74" i="16"/>
  <c r="I74" i="16"/>
  <c r="H74" i="16"/>
  <c r="F74" i="16"/>
  <c r="E74" i="16"/>
  <c r="D74" i="16"/>
  <c r="BB73" i="16"/>
  <c r="BA73" i="16"/>
  <c r="AZ73" i="16"/>
  <c r="AX73" i="16"/>
  <c r="AW73" i="16"/>
  <c r="AV73" i="16"/>
  <c r="AT73" i="16"/>
  <c r="AS73" i="16"/>
  <c r="AR73" i="16"/>
  <c r="AP73" i="16"/>
  <c r="AO73" i="16"/>
  <c r="AN73" i="16"/>
  <c r="AL73" i="16"/>
  <c r="AK73" i="16"/>
  <c r="AJ73" i="16"/>
  <c r="AH73" i="16"/>
  <c r="AG73" i="16"/>
  <c r="AF73" i="16"/>
  <c r="AD73" i="16"/>
  <c r="AC73" i="16"/>
  <c r="AB73" i="16"/>
  <c r="Z73" i="16"/>
  <c r="Y73" i="16"/>
  <c r="X73" i="16"/>
  <c r="V73" i="16"/>
  <c r="U73" i="16"/>
  <c r="T73" i="16"/>
  <c r="R73" i="16"/>
  <c r="Q73" i="16"/>
  <c r="P73" i="16"/>
  <c r="N73" i="16"/>
  <c r="M73" i="16"/>
  <c r="L73" i="16"/>
  <c r="J73" i="16"/>
  <c r="I73" i="16"/>
  <c r="H73" i="16"/>
  <c r="F73" i="16"/>
  <c r="E73" i="16"/>
  <c r="D73" i="16"/>
  <c r="BB72" i="16"/>
  <c r="BA72" i="16"/>
  <c r="AZ72" i="16"/>
  <c r="AX72" i="16"/>
  <c r="AW72" i="16"/>
  <c r="AV72" i="16"/>
  <c r="AT72" i="16"/>
  <c r="AS72" i="16"/>
  <c r="AR72" i="16"/>
  <c r="AP72" i="16"/>
  <c r="AO72" i="16"/>
  <c r="AN72" i="16"/>
  <c r="AL72" i="16"/>
  <c r="AK72" i="16"/>
  <c r="AJ72" i="16"/>
  <c r="AH72" i="16"/>
  <c r="AG72" i="16"/>
  <c r="AF72" i="16"/>
  <c r="AD72" i="16"/>
  <c r="AC72" i="16"/>
  <c r="AB72" i="16"/>
  <c r="Z72" i="16"/>
  <c r="Y72" i="16"/>
  <c r="X72" i="16"/>
  <c r="V72" i="16"/>
  <c r="U72" i="16"/>
  <c r="T72" i="16"/>
  <c r="R72" i="16"/>
  <c r="Q72" i="16"/>
  <c r="P72" i="16"/>
  <c r="N72" i="16"/>
  <c r="M72" i="16"/>
  <c r="L72" i="16"/>
  <c r="J72" i="16"/>
  <c r="I72" i="16"/>
  <c r="H72" i="16"/>
  <c r="F72" i="16"/>
  <c r="E72" i="16"/>
  <c r="D72" i="16"/>
  <c r="BB71" i="16"/>
  <c r="BA71" i="16"/>
  <c r="AZ71" i="16"/>
  <c r="AX71" i="16"/>
  <c r="AW71" i="16"/>
  <c r="AV71" i="16"/>
  <c r="AT71" i="16"/>
  <c r="AS71" i="16"/>
  <c r="AR71" i="16"/>
  <c r="AP71" i="16"/>
  <c r="AO71" i="16"/>
  <c r="AN71" i="16"/>
  <c r="AL71" i="16"/>
  <c r="AK71" i="16"/>
  <c r="AJ71" i="16"/>
  <c r="AH71" i="16"/>
  <c r="AG71" i="16"/>
  <c r="AF71" i="16"/>
  <c r="AD71" i="16"/>
  <c r="AC71" i="16"/>
  <c r="AB71" i="16"/>
  <c r="Z71" i="16"/>
  <c r="Y71" i="16"/>
  <c r="X71" i="16"/>
  <c r="V71" i="16"/>
  <c r="U71" i="16"/>
  <c r="T71" i="16"/>
  <c r="R71" i="16"/>
  <c r="Q71" i="16"/>
  <c r="P71" i="16"/>
  <c r="N71" i="16"/>
  <c r="M71" i="16"/>
  <c r="L71" i="16"/>
  <c r="J71" i="16"/>
  <c r="I71" i="16"/>
  <c r="H71" i="16"/>
  <c r="F71" i="16"/>
  <c r="E71" i="16"/>
  <c r="D71" i="16"/>
  <c r="BB70" i="16"/>
  <c r="BA70" i="16"/>
  <c r="AZ70" i="16"/>
  <c r="AX70" i="16"/>
  <c r="AW70" i="16"/>
  <c r="AV70" i="16"/>
  <c r="AT70" i="16"/>
  <c r="AS70" i="16"/>
  <c r="AR70" i="16"/>
  <c r="AP70" i="16"/>
  <c r="AO70" i="16"/>
  <c r="AN70" i="16"/>
  <c r="AL70" i="16"/>
  <c r="AK70" i="16"/>
  <c r="AJ70" i="16"/>
  <c r="AH70" i="16"/>
  <c r="AG70" i="16"/>
  <c r="AF70" i="16"/>
  <c r="AD70" i="16"/>
  <c r="AC70" i="16"/>
  <c r="AB70" i="16"/>
  <c r="Z70" i="16"/>
  <c r="Y70" i="16"/>
  <c r="X70" i="16"/>
  <c r="V70" i="16"/>
  <c r="U70" i="16"/>
  <c r="T70" i="16"/>
  <c r="R70" i="16"/>
  <c r="Q70" i="16"/>
  <c r="P70" i="16"/>
  <c r="N70" i="16"/>
  <c r="M70" i="16"/>
  <c r="L70" i="16"/>
  <c r="J70" i="16"/>
  <c r="I70" i="16"/>
  <c r="H70" i="16"/>
  <c r="F70" i="16"/>
  <c r="E70" i="16"/>
  <c r="D70" i="16"/>
  <c r="BB69" i="16"/>
  <c r="BA69" i="16"/>
  <c r="AZ69" i="16"/>
  <c r="AX69" i="16"/>
  <c r="AW69" i="16"/>
  <c r="AV69" i="16"/>
  <c r="AT69" i="16"/>
  <c r="AS69" i="16"/>
  <c r="AR69" i="16"/>
  <c r="AP69" i="16"/>
  <c r="AO69" i="16"/>
  <c r="AN69" i="16"/>
  <c r="AL69" i="16"/>
  <c r="AK69" i="16"/>
  <c r="AJ69" i="16"/>
  <c r="AH69" i="16"/>
  <c r="AG69" i="16"/>
  <c r="AF69" i="16"/>
  <c r="AD69" i="16"/>
  <c r="AC69" i="16"/>
  <c r="AB69" i="16"/>
  <c r="Z69" i="16"/>
  <c r="Y69" i="16"/>
  <c r="X69" i="16"/>
  <c r="V69" i="16"/>
  <c r="U69" i="16"/>
  <c r="T69" i="16"/>
  <c r="R69" i="16"/>
  <c r="Q69" i="16"/>
  <c r="P69" i="16"/>
  <c r="N69" i="16"/>
  <c r="M69" i="16"/>
  <c r="L69" i="16"/>
  <c r="J69" i="16"/>
  <c r="I69" i="16"/>
  <c r="H69" i="16"/>
  <c r="F69" i="16"/>
  <c r="E69" i="16"/>
  <c r="D69" i="16"/>
  <c r="BB68" i="16"/>
  <c r="BA68" i="16"/>
  <c r="AZ68" i="16"/>
  <c r="AX68" i="16"/>
  <c r="AW68" i="16"/>
  <c r="AV68" i="16"/>
  <c r="AT68" i="16"/>
  <c r="AS68" i="16"/>
  <c r="AR68" i="16"/>
  <c r="AP68" i="16"/>
  <c r="AO68" i="16"/>
  <c r="AN68" i="16"/>
  <c r="AL68" i="16"/>
  <c r="AK68" i="16"/>
  <c r="AJ68" i="16"/>
  <c r="AH68" i="16"/>
  <c r="AG68" i="16"/>
  <c r="AF68" i="16"/>
  <c r="AD68" i="16"/>
  <c r="AC68" i="16"/>
  <c r="AB68" i="16"/>
  <c r="Z68" i="16"/>
  <c r="Y68" i="16"/>
  <c r="X68" i="16"/>
  <c r="V68" i="16"/>
  <c r="U68" i="16"/>
  <c r="T68" i="16"/>
  <c r="R68" i="16"/>
  <c r="Q68" i="16"/>
  <c r="P68" i="16"/>
  <c r="N68" i="16"/>
  <c r="M68" i="16"/>
  <c r="L68" i="16"/>
  <c r="J68" i="16"/>
  <c r="I68" i="16"/>
  <c r="H68" i="16"/>
  <c r="F68" i="16"/>
  <c r="E68" i="16"/>
  <c r="D68" i="16"/>
  <c r="BB67" i="16"/>
  <c r="BA67" i="16"/>
  <c r="AZ67" i="16"/>
  <c r="AX67" i="16"/>
  <c r="AW67" i="16"/>
  <c r="AV67" i="16"/>
  <c r="AT67" i="16"/>
  <c r="AS67" i="16"/>
  <c r="AR67" i="16"/>
  <c r="AP67" i="16"/>
  <c r="AO67" i="16"/>
  <c r="AN67" i="16"/>
  <c r="AL67" i="16"/>
  <c r="AK67" i="16"/>
  <c r="AJ67" i="16"/>
  <c r="AH67" i="16"/>
  <c r="AG67" i="16"/>
  <c r="AF67" i="16"/>
  <c r="AD67" i="16"/>
  <c r="AC67" i="16"/>
  <c r="AB67" i="16"/>
  <c r="Z67" i="16"/>
  <c r="Y67" i="16"/>
  <c r="X67" i="16"/>
  <c r="V67" i="16"/>
  <c r="U67" i="16"/>
  <c r="T67" i="16"/>
  <c r="R67" i="16"/>
  <c r="Q67" i="16"/>
  <c r="P67" i="16"/>
  <c r="N67" i="16"/>
  <c r="M67" i="16"/>
  <c r="L67" i="16"/>
  <c r="J67" i="16"/>
  <c r="I67" i="16"/>
  <c r="H67" i="16"/>
  <c r="F67" i="16"/>
  <c r="E67" i="16"/>
  <c r="D67" i="16"/>
  <c r="BB66" i="16"/>
  <c r="BA66" i="16"/>
  <c r="AZ66" i="16"/>
  <c r="AX66" i="16"/>
  <c r="AW66" i="16"/>
  <c r="AV66" i="16"/>
  <c r="AT66" i="16"/>
  <c r="AS66" i="16"/>
  <c r="AR66" i="16"/>
  <c r="AP66" i="16"/>
  <c r="AO66" i="16"/>
  <c r="AN66" i="16"/>
  <c r="AL66" i="16"/>
  <c r="AK66" i="16"/>
  <c r="AJ66" i="16"/>
  <c r="AH66" i="16"/>
  <c r="AG66" i="16"/>
  <c r="AF66" i="16"/>
  <c r="AD66" i="16"/>
  <c r="AC66" i="16"/>
  <c r="AB66" i="16"/>
  <c r="Z66" i="16"/>
  <c r="Y66" i="16"/>
  <c r="X66" i="16"/>
  <c r="V66" i="16"/>
  <c r="U66" i="16"/>
  <c r="T66" i="16"/>
  <c r="R66" i="16"/>
  <c r="Q66" i="16"/>
  <c r="P66" i="16"/>
  <c r="N66" i="16"/>
  <c r="M66" i="16"/>
  <c r="L66" i="16"/>
  <c r="J66" i="16"/>
  <c r="I66" i="16"/>
  <c r="H66" i="16"/>
  <c r="F66" i="16"/>
  <c r="E66" i="16"/>
  <c r="D66" i="16"/>
  <c r="BB65" i="16"/>
  <c r="BA65" i="16"/>
  <c r="AZ65" i="16"/>
  <c r="AX65" i="16"/>
  <c r="AW65" i="16"/>
  <c r="AV65" i="16"/>
  <c r="AT65" i="16"/>
  <c r="AS65" i="16"/>
  <c r="AR65" i="16"/>
  <c r="AP65" i="16"/>
  <c r="AO65" i="16"/>
  <c r="AN65" i="16"/>
  <c r="AL65" i="16"/>
  <c r="AK65" i="16"/>
  <c r="AJ65" i="16"/>
  <c r="AH65" i="16"/>
  <c r="AG65" i="16"/>
  <c r="AF65" i="16"/>
  <c r="AD65" i="16"/>
  <c r="AC65" i="16"/>
  <c r="AB65" i="16"/>
  <c r="Z65" i="16"/>
  <c r="Y65" i="16"/>
  <c r="X65" i="16"/>
  <c r="V65" i="16"/>
  <c r="U65" i="16"/>
  <c r="T65" i="16"/>
  <c r="R65" i="16"/>
  <c r="Q65" i="16"/>
  <c r="P65" i="16"/>
  <c r="N65" i="16"/>
  <c r="M65" i="16"/>
  <c r="L65" i="16"/>
  <c r="J65" i="16"/>
  <c r="I65" i="16"/>
  <c r="H65" i="16"/>
  <c r="F65" i="16"/>
  <c r="E65" i="16"/>
  <c r="D65" i="16"/>
  <c r="BB64" i="16"/>
  <c r="BA64" i="16"/>
  <c r="AZ64" i="16"/>
  <c r="AX64" i="16"/>
  <c r="AW64" i="16"/>
  <c r="AV64" i="16"/>
  <c r="AT64" i="16"/>
  <c r="AS64" i="16"/>
  <c r="AR64" i="16"/>
  <c r="AP64" i="16"/>
  <c r="AO64" i="16"/>
  <c r="AN64" i="16"/>
  <c r="AL64" i="16"/>
  <c r="AK64" i="16"/>
  <c r="AJ64" i="16"/>
  <c r="AH64" i="16"/>
  <c r="AG64" i="16"/>
  <c r="AF64" i="16"/>
  <c r="AD64" i="16"/>
  <c r="AC64" i="16"/>
  <c r="AB64" i="16"/>
  <c r="Z64" i="16"/>
  <c r="Y64" i="16"/>
  <c r="X64" i="16"/>
  <c r="V64" i="16"/>
  <c r="U64" i="16"/>
  <c r="T64" i="16"/>
  <c r="R64" i="16"/>
  <c r="Q64" i="16"/>
  <c r="P64" i="16"/>
  <c r="N64" i="16"/>
  <c r="M64" i="16"/>
  <c r="L64" i="16"/>
  <c r="J64" i="16"/>
  <c r="I64" i="16"/>
  <c r="H64" i="16"/>
  <c r="F64" i="16"/>
  <c r="E64" i="16"/>
  <c r="D64" i="16"/>
  <c r="BB63" i="16"/>
  <c r="BA63" i="16"/>
  <c r="AZ63" i="16"/>
  <c r="AX63" i="16"/>
  <c r="AW63" i="16"/>
  <c r="AV63" i="16"/>
  <c r="AT63" i="16"/>
  <c r="AS63" i="16"/>
  <c r="AR63" i="16"/>
  <c r="AP63" i="16"/>
  <c r="AO63" i="16"/>
  <c r="AN63" i="16"/>
  <c r="AL63" i="16"/>
  <c r="AK63" i="16"/>
  <c r="AJ63" i="16"/>
  <c r="AH63" i="16"/>
  <c r="AG63" i="16"/>
  <c r="AF63" i="16"/>
  <c r="AD63" i="16"/>
  <c r="AC63" i="16"/>
  <c r="AB63" i="16"/>
  <c r="Z63" i="16"/>
  <c r="Y63" i="16"/>
  <c r="X63" i="16"/>
  <c r="V63" i="16"/>
  <c r="U63" i="16"/>
  <c r="T63" i="16"/>
  <c r="R63" i="16"/>
  <c r="Q63" i="16"/>
  <c r="P63" i="16"/>
  <c r="N63" i="16"/>
  <c r="M63" i="16"/>
  <c r="L63" i="16"/>
  <c r="J63" i="16"/>
  <c r="I63" i="16"/>
  <c r="H63" i="16"/>
  <c r="F63" i="16"/>
  <c r="E63" i="16"/>
  <c r="D63" i="16"/>
  <c r="BB62" i="16"/>
  <c r="BA62" i="16"/>
  <c r="AZ62" i="16"/>
  <c r="AX62" i="16"/>
  <c r="AW62" i="16"/>
  <c r="AV62" i="16"/>
  <c r="AT62" i="16"/>
  <c r="AS62" i="16"/>
  <c r="AR62" i="16"/>
  <c r="AP62" i="16"/>
  <c r="AO62" i="16"/>
  <c r="AN62" i="16"/>
  <c r="AL62" i="16"/>
  <c r="AK62" i="16"/>
  <c r="AJ62" i="16"/>
  <c r="AH62" i="16"/>
  <c r="AG62" i="16"/>
  <c r="AF62" i="16"/>
  <c r="AD62" i="16"/>
  <c r="AC62" i="16"/>
  <c r="AB62" i="16"/>
  <c r="Z62" i="16"/>
  <c r="Y62" i="16"/>
  <c r="X62" i="16"/>
  <c r="V62" i="16"/>
  <c r="U62" i="16"/>
  <c r="T62" i="16"/>
  <c r="R62" i="16"/>
  <c r="Q62" i="16"/>
  <c r="P62" i="16"/>
  <c r="N62" i="16"/>
  <c r="M62" i="16"/>
  <c r="L62" i="16"/>
  <c r="J62" i="16"/>
  <c r="I62" i="16"/>
  <c r="H62" i="16"/>
  <c r="F62" i="16"/>
  <c r="E62" i="16"/>
  <c r="D62" i="16"/>
  <c r="BB61" i="16"/>
  <c r="BA61" i="16"/>
  <c r="AZ61" i="16"/>
  <c r="AX61" i="16"/>
  <c r="AW61" i="16"/>
  <c r="AV61" i="16"/>
  <c r="AT61" i="16"/>
  <c r="AS61" i="16"/>
  <c r="AR61" i="16"/>
  <c r="AP61" i="16"/>
  <c r="AO61" i="16"/>
  <c r="AN61" i="16"/>
  <c r="AL61" i="16"/>
  <c r="AK61" i="16"/>
  <c r="AJ61" i="16"/>
  <c r="AH61" i="16"/>
  <c r="AG61" i="16"/>
  <c r="AF61" i="16"/>
  <c r="AD61" i="16"/>
  <c r="AC61" i="16"/>
  <c r="AB61" i="16"/>
  <c r="Z61" i="16"/>
  <c r="Y61" i="16"/>
  <c r="X61" i="16"/>
  <c r="V61" i="16"/>
  <c r="U61" i="16"/>
  <c r="T61" i="16"/>
  <c r="R61" i="16"/>
  <c r="Q61" i="16"/>
  <c r="P61" i="16"/>
  <c r="N61" i="16"/>
  <c r="M61" i="16"/>
  <c r="L61" i="16"/>
  <c r="J61" i="16"/>
  <c r="I61" i="16"/>
  <c r="H61" i="16"/>
  <c r="F61" i="16"/>
  <c r="E61" i="16"/>
  <c r="D61" i="16"/>
  <c r="BB60" i="16"/>
  <c r="BA60" i="16"/>
  <c r="AZ60" i="16"/>
  <c r="AX60" i="16"/>
  <c r="AW60" i="16"/>
  <c r="AV60" i="16"/>
  <c r="AT60" i="16"/>
  <c r="AS60" i="16"/>
  <c r="AR60" i="16"/>
  <c r="AP60" i="16"/>
  <c r="AO60" i="16"/>
  <c r="AN60" i="16"/>
  <c r="AL60" i="16"/>
  <c r="AK60" i="16"/>
  <c r="AJ60" i="16"/>
  <c r="AH60" i="16"/>
  <c r="AG60" i="16"/>
  <c r="AF60" i="16"/>
  <c r="AD60" i="16"/>
  <c r="AC60" i="16"/>
  <c r="AB60" i="16"/>
  <c r="Z60" i="16"/>
  <c r="Y60" i="16"/>
  <c r="X60" i="16"/>
  <c r="V60" i="16"/>
  <c r="U60" i="16"/>
  <c r="T60" i="16"/>
  <c r="R60" i="16"/>
  <c r="Q60" i="16"/>
  <c r="P60" i="16"/>
  <c r="N60" i="16"/>
  <c r="M60" i="16"/>
  <c r="L60" i="16"/>
  <c r="J60" i="16"/>
  <c r="I60" i="16"/>
  <c r="H60" i="16"/>
  <c r="F60" i="16"/>
  <c r="E60" i="16"/>
  <c r="D60" i="16"/>
  <c r="BB59" i="16"/>
  <c r="BA59" i="16"/>
  <c r="AZ59" i="16"/>
  <c r="AX59" i="16"/>
  <c r="AW59" i="16"/>
  <c r="AV59" i="16"/>
  <c r="AT59" i="16"/>
  <c r="AS59" i="16"/>
  <c r="AR59" i="16"/>
  <c r="AP59" i="16"/>
  <c r="AO59" i="16"/>
  <c r="AN59" i="16"/>
  <c r="AL59" i="16"/>
  <c r="AK59" i="16"/>
  <c r="AJ59" i="16"/>
  <c r="AH59" i="16"/>
  <c r="AG59" i="16"/>
  <c r="AF59" i="16"/>
  <c r="AD59" i="16"/>
  <c r="AC59" i="16"/>
  <c r="AB59" i="16"/>
  <c r="Z59" i="16"/>
  <c r="Y59" i="16"/>
  <c r="X59" i="16"/>
  <c r="V59" i="16"/>
  <c r="U59" i="16"/>
  <c r="T59" i="16"/>
  <c r="R59" i="16"/>
  <c r="Q59" i="16"/>
  <c r="P59" i="16"/>
  <c r="N59" i="16"/>
  <c r="M59" i="16"/>
  <c r="L59" i="16"/>
  <c r="J59" i="16"/>
  <c r="I59" i="16"/>
  <c r="H59" i="16"/>
  <c r="F59" i="16"/>
  <c r="E59" i="16"/>
  <c r="D59" i="16"/>
  <c r="BB58" i="16"/>
  <c r="BA58" i="16"/>
  <c r="AZ58" i="16"/>
  <c r="AX58" i="16"/>
  <c r="AW58" i="16"/>
  <c r="AV58" i="16"/>
  <c r="AT58" i="16"/>
  <c r="AS58" i="16"/>
  <c r="AR58" i="16"/>
  <c r="AP58" i="16"/>
  <c r="AO58" i="16"/>
  <c r="AN58" i="16"/>
  <c r="AL58" i="16"/>
  <c r="AK58" i="16"/>
  <c r="AJ58" i="16"/>
  <c r="AH58" i="16"/>
  <c r="AG58" i="16"/>
  <c r="AF58" i="16"/>
  <c r="AD58" i="16"/>
  <c r="AC58" i="16"/>
  <c r="AB58" i="16"/>
  <c r="Z58" i="16"/>
  <c r="Y58" i="16"/>
  <c r="X58" i="16"/>
  <c r="V58" i="16"/>
  <c r="U58" i="16"/>
  <c r="T58" i="16"/>
  <c r="R58" i="16"/>
  <c r="Q58" i="16"/>
  <c r="P58" i="16"/>
  <c r="N58" i="16"/>
  <c r="M58" i="16"/>
  <c r="L58" i="16"/>
  <c r="J58" i="16"/>
  <c r="I58" i="16"/>
  <c r="H58" i="16"/>
  <c r="F58" i="16"/>
  <c r="E58" i="16"/>
  <c r="D58" i="16"/>
  <c r="BB57" i="16"/>
  <c r="BA57" i="16"/>
  <c r="AZ57" i="16"/>
  <c r="AX57" i="16"/>
  <c r="AW57" i="16"/>
  <c r="AV57" i="16"/>
  <c r="AT57" i="16"/>
  <c r="AS57" i="16"/>
  <c r="AR57" i="16"/>
  <c r="AP57" i="16"/>
  <c r="AO57" i="16"/>
  <c r="AN57" i="16"/>
  <c r="AL57" i="16"/>
  <c r="AK57" i="16"/>
  <c r="AJ57" i="16"/>
  <c r="AH57" i="16"/>
  <c r="AG57" i="16"/>
  <c r="AF57" i="16"/>
  <c r="AD57" i="16"/>
  <c r="AC57" i="16"/>
  <c r="AB57" i="16"/>
  <c r="Z57" i="16"/>
  <c r="Y57" i="16"/>
  <c r="X57" i="16"/>
  <c r="V57" i="16"/>
  <c r="U57" i="16"/>
  <c r="T57" i="16"/>
  <c r="R57" i="16"/>
  <c r="Q57" i="16"/>
  <c r="P57" i="16"/>
  <c r="N57" i="16"/>
  <c r="M57" i="16"/>
  <c r="L57" i="16"/>
  <c r="J57" i="16"/>
  <c r="I57" i="16"/>
  <c r="H57" i="16"/>
  <c r="F57" i="16"/>
  <c r="E57" i="16"/>
  <c r="D57" i="16"/>
  <c r="BB56" i="16"/>
  <c r="BA56" i="16"/>
  <c r="AZ56" i="16"/>
  <c r="AX56" i="16"/>
  <c r="AW56" i="16"/>
  <c r="AV56" i="16"/>
  <c r="AT56" i="16"/>
  <c r="AS56" i="16"/>
  <c r="AR56" i="16"/>
  <c r="AP56" i="16"/>
  <c r="AO56" i="16"/>
  <c r="AN56" i="16"/>
  <c r="AL56" i="16"/>
  <c r="AK56" i="16"/>
  <c r="AJ56" i="16"/>
  <c r="AH56" i="16"/>
  <c r="AG56" i="16"/>
  <c r="AF56" i="16"/>
  <c r="AD56" i="16"/>
  <c r="AC56" i="16"/>
  <c r="AB56" i="16"/>
  <c r="Z56" i="16"/>
  <c r="Y56" i="16"/>
  <c r="X56" i="16"/>
  <c r="V56" i="16"/>
  <c r="U56" i="16"/>
  <c r="T56" i="16"/>
  <c r="R56" i="16"/>
  <c r="Q56" i="16"/>
  <c r="P56" i="16"/>
  <c r="N56" i="16"/>
  <c r="M56" i="16"/>
  <c r="L56" i="16"/>
  <c r="J56" i="16"/>
  <c r="I56" i="16"/>
  <c r="H56" i="16"/>
  <c r="F56" i="16"/>
  <c r="E56" i="16"/>
  <c r="D56" i="16"/>
  <c r="BB55" i="16"/>
  <c r="BA55" i="16"/>
  <c r="AZ55" i="16"/>
  <c r="AX55" i="16"/>
  <c r="AW55" i="16"/>
  <c r="AV55" i="16"/>
  <c r="AT55" i="16"/>
  <c r="AS55" i="16"/>
  <c r="AR55" i="16"/>
  <c r="AP55" i="16"/>
  <c r="AO55" i="16"/>
  <c r="AN55" i="16"/>
  <c r="AL55" i="16"/>
  <c r="AK55" i="16"/>
  <c r="AJ55" i="16"/>
  <c r="AH55" i="16"/>
  <c r="AG55" i="16"/>
  <c r="AF55" i="16"/>
  <c r="AD55" i="16"/>
  <c r="AC55" i="16"/>
  <c r="AB55" i="16"/>
  <c r="Z55" i="16"/>
  <c r="Y55" i="16"/>
  <c r="X55" i="16"/>
  <c r="V55" i="16"/>
  <c r="U55" i="16"/>
  <c r="T55" i="16"/>
  <c r="R55" i="16"/>
  <c r="Q55" i="16"/>
  <c r="P55" i="16"/>
  <c r="N55" i="16"/>
  <c r="M55" i="16"/>
  <c r="L55" i="16"/>
  <c r="J55" i="16"/>
  <c r="I55" i="16"/>
  <c r="H55" i="16"/>
  <c r="F55" i="16"/>
  <c r="E55" i="16"/>
  <c r="D55" i="16"/>
  <c r="BB54" i="16"/>
  <c r="BA54" i="16"/>
  <c r="AZ54" i="16"/>
  <c r="AX54" i="16"/>
  <c r="AW54" i="16"/>
  <c r="AV54" i="16"/>
  <c r="AT54" i="16"/>
  <c r="AS54" i="16"/>
  <c r="AR54" i="16"/>
  <c r="AP54" i="16"/>
  <c r="AO54" i="16"/>
  <c r="AN54" i="16"/>
  <c r="AL54" i="16"/>
  <c r="AK54" i="16"/>
  <c r="AJ54" i="16"/>
  <c r="AH54" i="16"/>
  <c r="AG54" i="16"/>
  <c r="AF54" i="16"/>
  <c r="AD54" i="16"/>
  <c r="AC54" i="16"/>
  <c r="AB54" i="16"/>
  <c r="Z54" i="16"/>
  <c r="Y54" i="16"/>
  <c r="X54" i="16"/>
  <c r="V54" i="16"/>
  <c r="U54" i="16"/>
  <c r="T54" i="16"/>
  <c r="R54" i="16"/>
  <c r="Q54" i="16"/>
  <c r="P54" i="16"/>
  <c r="N54" i="16"/>
  <c r="M54" i="16"/>
  <c r="L54" i="16"/>
  <c r="J54" i="16"/>
  <c r="I54" i="16"/>
  <c r="H54" i="16"/>
  <c r="F54" i="16"/>
  <c r="E54" i="16"/>
  <c r="D54" i="16"/>
  <c r="BB53" i="16"/>
  <c r="BA53" i="16"/>
  <c r="AZ53" i="16"/>
  <c r="AX53" i="16"/>
  <c r="AW53" i="16"/>
  <c r="AV53" i="16"/>
  <c r="AT53" i="16"/>
  <c r="AS53" i="16"/>
  <c r="AR53" i="16"/>
  <c r="AP53" i="16"/>
  <c r="AO53" i="16"/>
  <c r="AN53" i="16"/>
  <c r="AL53" i="16"/>
  <c r="AK53" i="16"/>
  <c r="AJ53" i="16"/>
  <c r="AH53" i="16"/>
  <c r="AG53" i="16"/>
  <c r="AF53" i="16"/>
  <c r="AD53" i="16"/>
  <c r="AC53" i="16"/>
  <c r="AB53" i="16"/>
  <c r="Z53" i="16"/>
  <c r="Y53" i="16"/>
  <c r="X53" i="16"/>
  <c r="V53" i="16"/>
  <c r="U53" i="16"/>
  <c r="T53" i="16"/>
  <c r="R53" i="16"/>
  <c r="Q53" i="16"/>
  <c r="P53" i="16"/>
  <c r="N53" i="16"/>
  <c r="M53" i="16"/>
  <c r="L53" i="16"/>
  <c r="J53" i="16"/>
  <c r="I53" i="16"/>
  <c r="H53" i="16"/>
  <c r="F53" i="16"/>
  <c r="E53" i="16"/>
  <c r="D53" i="16"/>
  <c r="BB52" i="16"/>
  <c r="BA52" i="16"/>
  <c r="AZ52" i="16"/>
  <c r="AX52" i="16"/>
  <c r="AW52" i="16"/>
  <c r="AV52" i="16"/>
  <c r="AT52" i="16"/>
  <c r="AS52" i="16"/>
  <c r="AR52" i="16"/>
  <c r="AP52" i="16"/>
  <c r="AO52" i="16"/>
  <c r="AN52" i="16"/>
  <c r="AL52" i="16"/>
  <c r="AK52" i="16"/>
  <c r="AJ52" i="16"/>
  <c r="AH52" i="16"/>
  <c r="AG52" i="16"/>
  <c r="AF52" i="16"/>
  <c r="AD52" i="16"/>
  <c r="AC52" i="16"/>
  <c r="AB52" i="16"/>
  <c r="Z52" i="16"/>
  <c r="Y52" i="16"/>
  <c r="X52" i="16"/>
  <c r="V52" i="16"/>
  <c r="U52" i="16"/>
  <c r="T52" i="16"/>
  <c r="R52" i="16"/>
  <c r="Q52" i="16"/>
  <c r="P52" i="16"/>
  <c r="N52" i="16"/>
  <c r="M52" i="16"/>
  <c r="L52" i="16"/>
  <c r="J52" i="16"/>
  <c r="I52" i="16"/>
  <c r="H52" i="16"/>
  <c r="F52" i="16"/>
  <c r="E52" i="16"/>
  <c r="D52" i="16"/>
  <c r="BB51" i="16"/>
  <c r="BA51" i="16"/>
  <c r="AZ51" i="16"/>
  <c r="AX51" i="16"/>
  <c r="AW51" i="16"/>
  <c r="AV51" i="16"/>
  <c r="AT51" i="16"/>
  <c r="AS51" i="16"/>
  <c r="AR51" i="16"/>
  <c r="AP51" i="16"/>
  <c r="AO51" i="16"/>
  <c r="AN51" i="16"/>
  <c r="AL51" i="16"/>
  <c r="AK51" i="16"/>
  <c r="AJ51" i="16"/>
  <c r="AH51" i="16"/>
  <c r="AG51" i="16"/>
  <c r="AF51" i="16"/>
  <c r="AD51" i="16"/>
  <c r="AC51" i="16"/>
  <c r="AB51" i="16"/>
  <c r="Z51" i="16"/>
  <c r="Y51" i="16"/>
  <c r="X51" i="16"/>
  <c r="V51" i="16"/>
  <c r="U51" i="16"/>
  <c r="T51" i="16"/>
  <c r="R51" i="16"/>
  <c r="Q51" i="16"/>
  <c r="P51" i="16"/>
  <c r="N51" i="16"/>
  <c r="M51" i="16"/>
  <c r="L51" i="16"/>
  <c r="J51" i="16"/>
  <c r="I51" i="16"/>
  <c r="H51" i="16"/>
  <c r="F51" i="16"/>
  <c r="E51" i="16"/>
  <c r="D51" i="16"/>
  <c r="BB50" i="16"/>
  <c r="BA50" i="16"/>
  <c r="AZ50" i="16"/>
  <c r="AX50" i="16"/>
  <c r="AW50" i="16"/>
  <c r="AV50" i="16"/>
  <c r="AT50" i="16"/>
  <c r="AS50" i="16"/>
  <c r="AR50" i="16"/>
  <c r="AP50" i="16"/>
  <c r="AO50" i="16"/>
  <c r="AN50" i="16"/>
  <c r="AL50" i="16"/>
  <c r="AK50" i="16"/>
  <c r="AJ50" i="16"/>
  <c r="AH50" i="16"/>
  <c r="AG50" i="16"/>
  <c r="AF50" i="16"/>
  <c r="AD50" i="16"/>
  <c r="AC50" i="16"/>
  <c r="AB50" i="16"/>
  <c r="Z50" i="16"/>
  <c r="Y50" i="16"/>
  <c r="X50" i="16"/>
  <c r="V50" i="16"/>
  <c r="U50" i="16"/>
  <c r="T50" i="16"/>
  <c r="R50" i="16"/>
  <c r="Q50" i="16"/>
  <c r="P50" i="16"/>
  <c r="N50" i="16"/>
  <c r="M50" i="16"/>
  <c r="L50" i="16"/>
  <c r="J50" i="16"/>
  <c r="I50" i="16"/>
  <c r="H50" i="16"/>
  <c r="F50" i="16"/>
  <c r="E50" i="16"/>
  <c r="D50" i="16"/>
  <c r="BB49" i="16"/>
  <c r="BA49" i="16"/>
  <c r="AZ49" i="16"/>
  <c r="AX49" i="16"/>
  <c r="AW49" i="16"/>
  <c r="AV49" i="16"/>
  <c r="AT49" i="16"/>
  <c r="AS49" i="16"/>
  <c r="AR49" i="16"/>
  <c r="AP49" i="16"/>
  <c r="AO49" i="16"/>
  <c r="AN49" i="16"/>
  <c r="AL49" i="16"/>
  <c r="AK49" i="16"/>
  <c r="AJ49" i="16"/>
  <c r="AH49" i="16"/>
  <c r="AG49" i="16"/>
  <c r="AF49" i="16"/>
  <c r="AD49" i="16"/>
  <c r="AC49" i="16"/>
  <c r="AB49" i="16"/>
  <c r="Z49" i="16"/>
  <c r="Y49" i="16"/>
  <c r="X49" i="16"/>
  <c r="V49" i="16"/>
  <c r="U49" i="16"/>
  <c r="T49" i="16"/>
  <c r="R49" i="16"/>
  <c r="Q49" i="16"/>
  <c r="P49" i="16"/>
  <c r="N49" i="16"/>
  <c r="M49" i="16"/>
  <c r="L49" i="16"/>
  <c r="J49" i="16"/>
  <c r="I49" i="16"/>
  <c r="H49" i="16"/>
  <c r="F49" i="16"/>
  <c r="E49" i="16"/>
  <c r="D49" i="16"/>
  <c r="BB48" i="16"/>
  <c r="BA48" i="16"/>
  <c r="AZ48" i="16"/>
  <c r="AX48" i="16"/>
  <c r="AW48" i="16"/>
  <c r="AV48" i="16"/>
  <c r="AT48" i="16"/>
  <c r="AS48" i="16"/>
  <c r="AR48" i="16"/>
  <c r="AP48" i="16"/>
  <c r="AO48" i="16"/>
  <c r="AN48" i="16"/>
  <c r="AL48" i="16"/>
  <c r="AK48" i="16"/>
  <c r="AJ48" i="16"/>
  <c r="AH48" i="16"/>
  <c r="AG48" i="16"/>
  <c r="AF48" i="16"/>
  <c r="AD48" i="16"/>
  <c r="AC48" i="16"/>
  <c r="AB48" i="16"/>
  <c r="Z48" i="16"/>
  <c r="Y48" i="16"/>
  <c r="X48" i="16"/>
  <c r="V48" i="16"/>
  <c r="U48" i="16"/>
  <c r="T48" i="16"/>
  <c r="R48" i="16"/>
  <c r="Q48" i="16"/>
  <c r="P48" i="16"/>
  <c r="N48" i="16"/>
  <c r="M48" i="16"/>
  <c r="L48" i="16"/>
  <c r="J48" i="16"/>
  <c r="I48" i="16"/>
  <c r="H48" i="16"/>
  <c r="F48" i="16"/>
  <c r="E48" i="16"/>
  <c r="D48" i="16"/>
  <c r="BB47" i="16"/>
  <c r="BA47" i="16"/>
  <c r="AZ47" i="16"/>
  <c r="AX47" i="16"/>
  <c r="AW47" i="16"/>
  <c r="AV47" i="16"/>
  <c r="AT47" i="16"/>
  <c r="AS47" i="16"/>
  <c r="AR47" i="16"/>
  <c r="AP47" i="16"/>
  <c r="AO47" i="16"/>
  <c r="AN47" i="16"/>
  <c r="AL47" i="16"/>
  <c r="AK47" i="16"/>
  <c r="AJ47" i="16"/>
  <c r="AH47" i="16"/>
  <c r="AG47" i="16"/>
  <c r="AF47" i="16"/>
  <c r="AD47" i="16"/>
  <c r="AC47" i="16"/>
  <c r="AB47" i="16"/>
  <c r="Z47" i="16"/>
  <c r="Y47" i="16"/>
  <c r="X47" i="16"/>
  <c r="V47" i="16"/>
  <c r="U47" i="16"/>
  <c r="T47" i="16"/>
  <c r="R47" i="16"/>
  <c r="Q47" i="16"/>
  <c r="P47" i="16"/>
  <c r="N47" i="16"/>
  <c r="M47" i="16"/>
  <c r="L47" i="16"/>
  <c r="J47" i="16"/>
  <c r="I47" i="16"/>
  <c r="H47" i="16"/>
  <c r="F47" i="16"/>
  <c r="E47" i="16"/>
  <c r="D47" i="16"/>
  <c r="BB46" i="16"/>
  <c r="BA46" i="16"/>
  <c r="AZ46" i="16"/>
  <c r="AX46" i="16"/>
  <c r="AW46" i="16"/>
  <c r="AV46" i="16"/>
  <c r="AT46" i="16"/>
  <c r="AS46" i="16"/>
  <c r="AR46" i="16"/>
  <c r="AP46" i="16"/>
  <c r="AO46" i="16"/>
  <c r="AN46" i="16"/>
  <c r="AL46" i="16"/>
  <c r="AK46" i="16"/>
  <c r="AJ46" i="16"/>
  <c r="AH46" i="16"/>
  <c r="AG46" i="16"/>
  <c r="AF46" i="16"/>
  <c r="AD46" i="16"/>
  <c r="AC46" i="16"/>
  <c r="AB46" i="16"/>
  <c r="Z46" i="16"/>
  <c r="Y46" i="16"/>
  <c r="X46" i="16"/>
  <c r="V46" i="16"/>
  <c r="U46" i="16"/>
  <c r="T46" i="16"/>
  <c r="R46" i="16"/>
  <c r="Q46" i="16"/>
  <c r="P46" i="16"/>
  <c r="N46" i="16"/>
  <c r="M46" i="16"/>
  <c r="L46" i="16"/>
  <c r="J46" i="16"/>
  <c r="I46" i="16"/>
  <c r="H46" i="16"/>
  <c r="F46" i="16"/>
  <c r="E46" i="16"/>
  <c r="D46" i="16"/>
  <c r="BB45" i="16"/>
  <c r="BA45" i="16"/>
  <c r="AZ45" i="16"/>
  <c r="AX45" i="16"/>
  <c r="AW45" i="16"/>
  <c r="AV45" i="16"/>
  <c r="AT45" i="16"/>
  <c r="AS45" i="16"/>
  <c r="AR45" i="16"/>
  <c r="AP45" i="16"/>
  <c r="AO45" i="16"/>
  <c r="AN45" i="16"/>
  <c r="AL45" i="16"/>
  <c r="AK45" i="16"/>
  <c r="AJ45" i="16"/>
  <c r="AH45" i="16"/>
  <c r="AG45" i="16"/>
  <c r="AF45" i="16"/>
  <c r="AD45" i="16"/>
  <c r="AC45" i="16"/>
  <c r="AB45" i="16"/>
  <c r="Z45" i="16"/>
  <c r="Y45" i="16"/>
  <c r="X45" i="16"/>
  <c r="V45" i="16"/>
  <c r="U45" i="16"/>
  <c r="T45" i="16"/>
  <c r="R45" i="16"/>
  <c r="Q45" i="16"/>
  <c r="P45" i="16"/>
  <c r="N45" i="16"/>
  <c r="M45" i="16"/>
  <c r="L45" i="16"/>
  <c r="J45" i="16"/>
  <c r="I45" i="16"/>
  <c r="H45" i="16"/>
  <c r="F45" i="16"/>
  <c r="E45" i="16"/>
  <c r="D45" i="16"/>
  <c r="BB44" i="16"/>
  <c r="BA44" i="16"/>
  <c r="AZ44" i="16"/>
  <c r="AX44" i="16"/>
  <c r="AW44" i="16"/>
  <c r="AV44" i="16"/>
  <c r="AT44" i="16"/>
  <c r="AS44" i="16"/>
  <c r="AR44" i="16"/>
  <c r="AP44" i="16"/>
  <c r="AO44" i="16"/>
  <c r="AN44" i="16"/>
  <c r="AL44" i="16"/>
  <c r="AK44" i="16"/>
  <c r="AJ44" i="16"/>
  <c r="AH44" i="16"/>
  <c r="AG44" i="16"/>
  <c r="AF44" i="16"/>
  <c r="AD44" i="16"/>
  <c r="AC44" i="16"/>
  <c r="AB44" i="16"/>
  <c r="Z44" i="16"/>
  <c r="Y44" i="16"/>
  <c r="X44" i="16"/>
  <c r="V44" i="16"/>
  <c r="U44" i="16"/>
  <c r="T44" i="16"/>
  <c r="R44" i="16"/>
  <c r="Q44" i="16"/>
  <c r="P44" i="16"/>
  <c r="N44" i="16"/>
  <c r="M44" i="16"/>
  <c r="L44" i="16"/>
  <c r="J44" i="16"/>
  <c r="I44" i="16"/>
  <c r="H44" i="16"/>
  <c r="F44" i="16"/>
  <c r="E44" i="16"/>
  <c r="D44" i="16"/>
  <c r="BB43" i="16"/>
  <c r="BA43" i="16"/>
  <c r="AZ43" i="16"/>
  <c r="AX43" i="16"/>
  <c r="AW43" i="16"/>
  <c r="AV43" i="16"/>
  <c r="AT43" i="16"/>
  <c r="AS43" i="16"/>
  <c r="AR43" i="16"/>
  <c r="AP43" i="16"/>
  <c r="AO43" i="16"/>
  <c r="AN43" i="16"/>
  <c r="AL43" i="16"/>
  <c r="AK43" i="16"/>
  <c r="AJ43" i="16"/>
  <c r="AH43" i="16"/>
  <c r="AG43" i="16"/>
  <c r="AF43" i="16"/>
  <c r="AD43" i="16"/>
  <c r="AC43" i="16"/>
  <c r="AB43" i="16"/>
  <c r="Z43" i="16"/>
  <c r="Y43" i="16"/>
  <c r="X43" i="16"/>
  <c r="V43" i="16"/>
  <c r="U43" i="16"/>
  <c r="T43" i="16"/>
  <c r="R43" i="16"/>
  <c r="Q43" i="16"/>
  <c r="P43" i="16"/>
  <c r="N43" i="16"/>
  <c r="M43" i="16"/>
  <c r="L43" i="16"/>
  <c r="J43" i="16"/>
  <c r="I43" i="16"/>
  <c r="H43" i="16"/>
  <c r="F43" i="16"/>
  <c r="E43" i="16"/>
  <c r="D43" i="16"/>
  <c r="BB42" i="16"/>
  <c r="BA42" i="16"/>
  <c r="AZ42" i="16"/>
  <c r="AX42" i="16"/>
  <c r="AW42" i="16"/>
  <c r="AV42" i="16"/>
  <c r="AT42" i="16"/>
  <c r="AS42" i="16"/>
  <c r="AR42" i="16"/>
  <c r="AP42" i="16"/>
  <c r="AO42" i="16"/>
  <c r="AN42" i="16"/>
  <c r="AL42" i="16"/>
  <c r="AK42" i="16"/>
  <c r="AJ42" i="16"/>
  <c r="AH42" i="16"/>
  <c r="AG42" i="16"/>
  <c r="AF42" i="16"/>
  <c r="AD42" i="16"/>
  <c r="AC42" i="16"/>
  <c r="AB42" i="16"/>
  <c r="Z42" i="16"/>
  <c r="Y42" i="16"/>
  <c r="X42" i="16"/>
  <c r="V42" i="16"/>
  <c r="U42" i="16"/>
  <c r="T42" i="16"/>
  <c r="R42" i="16"/>
  <c r="Q42" i="16"/>
  <c r="P42" i="16"/>
  <c r="N42" i="16"/>
  <c r="M42" i="16"/>
  <c r="L42" i="16"/>
  <c r="J42" i="16"/>
  <c r="I42" i="16"/>
  <c r="H42" i="16"/>
  <c r="F42" i="16"/>
  <c r="E42" i="16"/>
  <c r="D42" i="16"/>
  <c r="BB41" i="16"/>
  <c r="BA41" i="16"/>
  <c r="AZ41" i="16"/>
  <c r="AX41" i="16"/>
  <c r="AW41" i="16"/>
  <c r="AV41" i="16"/>
  <c r="AT41" i="16"/>
  <c r="AS41" i="16"/>
  <c r="AR41" i="16"/>
  <c r="AP41" i="16"/>
  <c r="AO41" i="16"/>
  <c r="AN41" i="16"/>
  <c r="AL41" i="16"/>
  <c r="AK41" i="16"/>
  <c r="AJ41" i="16"/>
  <c r="AH41" i="16"/>
  <c r="AG41" i="16"/>
  <c r="AF41" i="16"/>
  <c r="AD41" i="16"/>
  <c r="AC41" i="16"/>
  <c r="AB41" i="16"/>
  <c r="Z41" i="16"/>
  <c r="Y41" i="16"/>
  <c r="X41" i="16"/>
  <c r="V41" i="16"/>
  <c r="U41" i="16"/>
  <c r="T41" i="16"/>
  <c r="R41" i="16"/>
  <c r="Q41" i="16"/>
  <c r="P41" i="16"/>
  <c r="N41" i="16"/>
  <c r="M41" i="16"/>
  <c r="L41" i="16"/>
  <c r="J41" i="16"/>
  <c r="I41" i="16"/>
  <c r="H41" i="16"/>
  <c r="F41" i="16"/>
  <c r="E41" i="16"/>
  <c r="D41" i="16"/>
  <c r="BB40" i="16"/>
  <c r="BA40" i="16"/>
  <c r="AZ40" i="16"/>
  <c r="AX40" i="16"/>
  <c r="AW40" i="16"/>
  <c r="AV40" i="16"/>
  <c r="AT40" i="16"/>
  <c r="AS40" i="16"/>
  <c r="AR40" i="16"/>
  <c r="AP40" i="16"/>
  <c r="AO40" i="16"/>
  <c r="AN40" i="16"/>
  <c r="AL40" i="16"/>
  <c r="AK40" i="16"/>
  <c r="AJ40" i="16"/>
  <c r="AH40" i="16"/>
  <c r="AG40" i="16"/>
  <c r="AF40" i="16"/>
  <c r="AD40" i="16"/>
  <c r="AC40" i="16"/>
  <c r="AB40" i="16"/>
  <c r="Z40" i="16"/>
  <c r="Y40" i="16"/>
  <c r="X40" i="16"/>
  <c r="V40" i="16"/>
  <c r="U40" i="16"/>
  <c r="T40" i="16"/>
  <c r="R40" i="16"/>
  <c r="Q40" i="16"/>
  <c r="P40" i="16"/>
  <c r="N40" i="16"/>
  <c r="M40" i="16"/>
  <c r="L40" i="16"/>
  <c r="J40" i="16"/>
  <c r="I40" i="16"/>
  <c r="H40" i="16"/>
  <c r="F40" i="16"/>
  <c r="E40" i="16"/>
  <c r="D40" i="16"/>
  <c r="BB39" i="16"/>
  <c r="BA39" i="16"/>
  <c r="AZ39" i="16"/>
  <c r="AX39" i="16"/>
  <c r="AW39" i="16"/>
  <c r="AV39" i="16"/>
  <c r="AT39" i="16"/>
  <c r="AS39" i="16"/>
  <c r="AR39" i="16"/>
  <c r="AP39" i="16"/>
  <c r="AO39" i="16"/>
  <c r="AN39" i="16"/>
  <c r="AL39" i="16"/>
  <c r="AK39" i="16"/>
  <c r="AJ39" i="16"/>
  <c r="AH39" i="16"/>
  <c r="AG39" i="16"/>
  <c r="AF39" i="16"/>
  <c r="AD39" i="16"/>
  <c r="AC39" i="16"/>
  <c r="AB39" i="16"/>
  <c r="Z39" i="16"/>
  <c r="Y39" i="16"/>
  <c r="X39" i="16"/>
  <c r="V39" i="16"/>
  <c r="U39" i="16"/>
  <c r="T39" i="16"/>
  <c r="R39" i="16"/>
  <c r="Q39" i="16"/>
  <c r="P39" i="16"/>
  <c r="N39" i="16"/>
  <c r="M39" i="16"/>
  <c r="L39" i="16"/>
  <c r="J39" i="16"/>
  <c r="I39" i="16"/>
  <c r="H39" i="16"/>
  <c r="F39" i="16"/>
  <c r="E39" i="16"/>
  <c r="D39" i="16"/>
  <c r="BB38" i="16"/>
  <c r="BA38" i="16"/>
  <c r="AZ38" i="16"/>
  <c r="AX38" i="16"/>
  <c r="AW38" i="16"/>
  <c r="AV38" i="16"/>
  <c r="AT38" i="16"/>
  <c r="AS38" i="16"/>
  <c r="AR38" i="16"/>
  <c r="AP38" i="16"/>
  <c r="AO38" i="16"/>
  <c r="AN38" i="16"/>
  <c r="AL38" i="16"/>
  <c r="AK38" i="16"/>
  <c r="AJ38" i="16"/>
  <c r="AH38" i="16"/>
  <c r="AG38" i="16"/>
  <c r="AF38" i="16"/>
  <c r="AD38" i="16"/>
  <c r="AC38" i="16"/>
  <c r="AB38" i="16"/>
  <c r="Z38" i="16"/>
  <c r="Y38" i="16"/>
  <c r="X38" i="16"/>
  <c r="V38" i="16"/>
  <c r="U38" i="16"/>
  <c r="T38" i="16"/>
  <c r="R38" i="16"/>
  <c r="Q38" i="16"/>
  <c r="P38" i="16"/>
  <c r="N38" i="16"/>
  <c r="M38" i="16"/>
  <c r="L38" i="16"/>
  <c r="J38" i="16"/>
  <c r="I38" i="16"/>
  <c r="H38" i="16"/>
  <c r="F38" i="16"/>
  <c r="E38" i="16"/>
  <c r="D38" i="16"/>
  <c r="BB37" i="16"/>
  <c r="BA37" i="16"/>
  <c r="AZ37" i="16"/>
  <c r="AX37" i="16"/>
  <c r="AW37" i="16"/>
  <c r="AV37" i="16"/>
  <c r="AT37" i="16"/>
  <c r="AS37" i="16"/>
  <c r="AR37" i="16"/>
  <c r="AP37" i="16"/>
  <c r="AO37" i="16"/>
  <c r="AN37" i="16"/>
  <c r="AL37" i="16"/>
  <c r="AK37" i="16"/>
  <c r="AJ37" i="16"/>
  <c r="AH37" i="16"/>
  <c r="AG37" i="16"/>
  <c r="AF37" i="16"/>
  <c r="AD37" i="16"/>
  <c r="AC37" i="16"/>
  <c r="AB37" i="16"/>
  <c r="Z37" i="16"/>
  <c r="Y37" i="16"/>
  <c r="X37" i="16"/>
  <c r="V37" i="16"/>
  <c r="U37" i="16"/>
  <c r="T37" i="16"/>
  <c r="R37" i="16"/>
  <c r="Q37" i="16"/>
  <c r="P37" i="16"/>
  <c r="N37" i="16"/>
  <c r="M37" i="16"/>
  <c r="L37" i="16"/>
  <c r="J37" i="16"/>
  <c r="I37" i="16"/>
  <c r="H37" i="16"/>
  <c r="F37" i="16"/>
  <c r="E37" i="16"/>
  <c r="D37" i="16"/>
  <c r="BB36" i="16"/>
  <c r="BA36" i="16"/>
  <c r="AZ36" i="16"/>
  <c r="AX36" i="16"/>
  <c r="AW36" i="16"/>
  <c r="AV36" i="16"/>
  <c r="AT36" i="16"/>
  <c r="AS36" i="16"/>
  <c r="AR36" i="16"/>
  <c r="AP36" i="16"/>
  <c r="AO36" i="16"/>
  <c r="AN36" i="16"/>
  <c r="AL36" i="16"/>
  <c r="AK36" i="16"/>
  <c r="AJ36" i="16"/>
  <c r="AH36" i="16"/>
  <c r="AG36" i="16"/>
  <c r="AF36" i="16"/>
  <c r="AD36" i="16"/>
  <c r="AC36" i="16"/>
  <c r="AB36" i="16"/>
  <c r="Z36" i="16"/>
  <c r="Y36" i="16"/>
  <c r="X36" i="16"/>
  <c r="V36" i="16"/>
  <c r="U36" i="16"/>
  <c r="T36" i="16"/>
  <c r="R36" i="16"/>
  <c r="Q36" i="16"/>
  <c r="P36" i="16"/>
  <c r="N36" i="16"/>
  <c r="M36" i="16"/>
  <c r="L36" i="16"/>
  <c r="J36" i="16"/>
  <c r="I36" i="16"/>
  <c r="H36" i="16"/>
  <c r="F36" i="16"/>
  <c r="E36" i="16"/>
  <c r="D36" i="16"/>
  <c r="BB35" i="16"/>
  <c r="BA35" i="16"/>
  <c r="AZ35" i="16"/>
  <c r="AX35" i="16"/>
  <c r="AW35" i="16"/>
  <c r="AV35" i="16"/>
  <c r="AT35" i="16"/>
  <c r="AS35" i="16"/>
  <c r="AR35" i="16"/>
  <c r="AP35" i="16"/>
  <c r="AO35" i="16"/>
  <c r="AN35" i="16"/>
  <c r="AL35" i="16"/>
  <c r="AK35" i="16"/>
  <c r="AJ35" i="16"/>
  <c r="AH35" i="16"/>
  <c r="AG35" i="16"/>
  <c r="AF35" i="16"/>
  <c r="AD35" i="16"/>
  <c r="AC35" i="16"/>
  <c r="AB35" i="16"/>
  <c r="Z35" i="16"/>
  <c r="Y35" i="16"/>
  <c r="X35" i="16"/>
  <c r="V35" i="16"/>
  <c r="U35" i="16"/>
  <c r="T35" i="16"/>
  <c r="R35" i="16"/>
  <c r="Q35" i="16"/>
  <c r="P35" i="16"/>
  <c r="N35" i="16"/>
  <c r="M35" i="16"/>
  <c r="L35" i="16"/>
  <c r="J35" i="16"/>
  <c r="I35" i="16"/>
  <c r="H35" i="16"/>
  <c r="F35" i="16"/>
  <c r="E35" i="16"/>
  <c r="D35" i="16"/>
  <c r="BB34" i="16"/>
  <c r="BA34" i="16"/>
  <c r="AZ34" i="16"/>
  <c r="AX34" i="16"/>
  <c r="AW34" i="16"/>
  <c r="AV34" i="16"/>
  <c r="AT34" i="16"/>
  <c r="AS34" i="16"/>
  <c r="AR34" i="16"/>
  <c r="AP34" i="16"/>
  <c r="AO34" i="16"/>
  <c r="AN34" i="16"/>
  <c r="AL34" i="16"/>
  <c r="AK34" i="16"/>
  <c r="AJ34" i="16"/>
  <c r="AH34" i="16"/>
  <c r="AG34" i="16"/>
  <c r="AF34" i="16"/>
  <c r="AD34" i="16"/>
  <c r="AC34" i="16"/>
  <c r="AB34" i="16"/>
  <c r="Z34" i="16"/>
  <c r="Y34" i="16"/>
  <c r="X34" i="16"/>
  <c r="V34" i="16"/>
  <c r="U34" i="16"/>
  <c r="T34" i="16"/>
  <c r="R34" i="16"/>
  <c r="Q34" i="16"/>
  <c r="P34" i="16"/>
  <c r="N34" i="16"/>
  <c r="M34" i="16"/>
  <c r="L34" i="16"/>
  <c r="J34" i="16"/>
  <c r="I34" i="16"/>
  <c r="H34" i="16"/>
  <c r="F34" i="16"/>
  <c r="E34" i="16"/>
  <c r="D34" i="16"/>
  <c r="BB33" i="16"/>
  <c r="BA33" i="16"/>
  <c r="AZ33" i="16"/>
  <c r="AX33" i="16"/>
  <c r="AW33" i="16"/>
  <c r="AV33" i="16"/>
  <c r="AT33" i="16"/>
  <c r="AS33" i="16"/>
  <c r="AR33" i="16"/>
  <c r="AP33" i="16"/>
  <c r="AO33" i="16"/>
  <c r="AN33" i="16"/>
  <c r="AL33" i="16"/>
  <c r="AK33" i="16"/>
  <c r="AJ33" i="16"/>
  <c r="AH33" i="16"/>
  <c r="AG33" i="16"/>
  <c r="AF33" i="16"/>
  <c r="AD33" i="16"/>
  <c r="AC33" i="16"/>
  <c r="AB33" i="16"/>
  <c r="Z33" i="16"/>
  <c r="Y33" i="16"/>
  <c r="X33" i="16"/>
  <c r="V33" i="16"/>
  <c r="U33" i="16"/>
  <c r="T33" i="16"/>
  <c r="R33" i="16"/>
  <c r="Q33" i="16"/>
  <c r="P33" i="16"/>
  <c r="N33" i="16"/>
  <c r="M33" i="16"/>
  <c r="L33" i="16"/>
  <c r="J33" i="16"/>
  <c r="I33" i="16"/>
  <c r="H33" i="16"/>
  <c r="F33" i="16"/>
  <c r="E33" i="16"/>
  <c r="D33" i="16"/>
  <c r="BB32" i="16"/>
  <c r="BA32" i="16"/>
  <c r="AZ32" i="16"/>
  <c r="AX32" i="16"/>
  <c r="AW32" i="16"/>
  <c r="AV32" i="16"/>
  <c r="AT32" i="16"/>
  <c r="AS32" i="16"/>
  <c r="AR32" i="16"/>
  <c r="AP32" i="16"/>
  <c r="AO32" i="16"/>
  <c r="AN32" i="16"/>
  <c r="AL32" i="16"/>
  <c r="AK32" i="16"/>
  <c r="AJ32" i="16"/>
  <c r="AH32" i="16"/>
  <c r="AG32" i="16"/>
  <c r="AF32" i="16"/>
  <c r="AD32" i="16"/>
  <c r="AC32" i="16"/>
  <c r="AB32" i="16"/>
  <c r="Z32" i="16"/>
  <c r="Y32" i="16"/>
  <c r="X32" i="16"/>
  <c r="V32" i="16"/>
  <c r="U32" i="16"/>
  <c r="T32" i="16"/>
  <c r="R32" i="16"/>
  <c r="Q32" i="16"/>
  <c r="P32" i="16"/>
  <c r="N32" i="16"/>
  <c r="M32" i="16"/>
  <c r="L32" i="16"/>
  <c r="J32" i="16"/>
  <c r="I32" i="16"/>
  <c r="H32" i="16"/>
  <c r="F32" i="16"/>
  <c r="E32" i="16"/>
  <c r="D32" i="16"/>
  <c r="BB31" i="16"/>
  <c r="BA31" i="16"/>
  <c r="AZ31" i="16"/>
  <c r="AX31" i="16"/>
  <c r="AW31" i="16"/>
  <c r="AV31" i="16"/>
  <c r="AT31" i="16"/>
  <c r="AS31" i="16"/>
  <c r="AR31" i="16"/>
  <c r="AP31" i="16"/>
  <c r="AO31" i="16"/>
  <c r="AN31" i="16"/>
  <c r="AL31" i="16"/>
  <c r="AK31" i="16"/>
  <c r="AJ31" i="16"/>
  <c r="AH31" i="16"/>
  <c r="AG31" i="16"/>
  <c r="AF31" i="16"/>
  <c r="AD31" i="16"/>
  <c r="AC31" i="16"/>
  <c r="AB31" i="16"/>
  <c r="Z31" i="16"/>
  <c r="Y31" i="16"/>
  <c r="X31" i="16"/>
  <c r="V31" i="16"/>
  <c r="U31" i="16"/>
  <c r="T31" i="16"/>
  <c r="R31" i="16"/>
  <c r="Q31" i="16"/>
  <c r="P31" i="16"/>
  <c r="N31" i="16"/>
  <c r="M31" i="16"/>
  <c r="L31" i="16"/>
  <c r="J31" i="16"/>
  <c r="I31" i="16"/>
  <c r="H31" i="16"/>
  <c r="F31" i="16"/>
  <c r="E31" i="16"/>
  <c r="D31" i="16"/>
  <c r="BB30" i="16"/>
  <c r="BA30" i="16"/>
  <c r="AZ30" i="16"/>
  <c r="AX30" i="16"/>
  <c r="AW30" i="16"/>
  <c r="AV30" i="16"/>
  <c r="AT30" i="16"/>
  <c r="AS30" i="16"/>
  <c r="AR30" i="16"/>
  <c r="AP30" i="16"/>
  <c r="AO30" i="16"/>
  <c r="AN30" i="16"/>
  <c r="AL30" i="16"/>
  <c r="AK30" i="16"/>
  <c r="AJ30" i="16"/>
  <c r="AH30" i="16"/>
  <c r="AG30" i="16"/>
  <c r="AF30" i="16"/>
  <c r="AD30" i="16"/>
  <c r="AC30" i="16"/>
  <c r="AB30" i="16"/>
  <c r="Z30" i="16"/>
  <c r="Y30" i="16"/>
  <c r="X30" i="16"/>
  <c r="V30" i="16"/>
  <c r="U30" i="16"/>
  <c r="T30" i="16"/>
  <c r="R30" i="16"/>
  <c r="Q30" i="16"/>
  <c r="P30" i="16"/>
  <c r="N30" i="16"/>
  <c r="M30" i="16"/>
  <c r="L30" i="16"/>
  <c r="J30" i="16"/>
  <c r="I30" i="16"/>
  <c r="H30" i="16"/>
  <c r="F30" i="16"/>
  <c r="E30" i="16"/>
  <c r="D30" i="16"/>
  <c r="BB29" i="16"/>
  <c r="BA29" i="16"/>
  <c r="AZ29" i="16"/>
  <c r="AX29" i="16"/>
  <c r="AW29" i="16"/>
  <c r="AV29" i="16"/>
  <c r="AT29" i="16"/>
  <c r="AS29" i="16"/>
  <c r="AR29" i="16"/>
  <c r="AP29" i="16"/>
  <c r="AO29" i="16"/>
  <c r="AN29" i="16"/>
  <c r="AL29" i="16"/>
  <c r="AK29" i="16"/>
  <c r="AJ29" i="16"/>
  <c r="AH29" i="16"/>
  <c r="AG29" i="16"/>
  <c r="AF29" i="16"/>
  <c r="AD29" i="16"/>
  <c r="AC29" i="16"/>
  <c r="AB29" i="16"/>
  <c r="Z29" i="16"/>
  <c r="Y29" i="16"/>
  <c r="X29" i="16"/>
  <c r="V29" i="16"/>
  <c r="U29" i="16"/>
  <c r="T29" i="16"/>
  <c r="R29" i="16"/>
  <c r="Q29" i="16"/>
  <c r="P29" i="16"/>
  <c r="N29" i="16"/>
  <c r="M29" i="16"/>
  <c r="L29" i="16"/>
  <c r="J29" i="16"/>
  <c r="I29" i="16"/>
  <c r="H29" i="16"/>
  <c r="F29" i="16"/>
  <c r="E29" i="16"/>
  <c r="D29" i="16"/>
  <c r="BB28" i="16"/>
  <c r="BA28" i="16"/>
  <c r="AZ28" i="16"/>
  <c r="AX28" i="16"/>
  <c r="AW28" i="16"/>
  <c r="AV28" i="16"/>
  <c r="AT28" i="16"/>
  <c r="AS28" i="16"/>
  <c r="AR28" i="16"/>
  <c r="AP28" i="16"/>
  <c r="AO28" i="16"/>
  <c r="AN28" i="16"/>
  <c r="AL28" i="16"/>
  <c r="AK28" i="16"/>
  <c r="AJ28" i="16"/>
  <c r="AH28" i="16"/>
  <c r="AG28" i="16"/>
  <c r="AF28" i="16"/>
  <c r="AD28" i="16"/>
  <c r="AC28" i="16"/>
  <c r="AB28" i="16"/>
  <c r="Z28" i="16"/>
  <c r="Y28" i="16"/>
  <c r="X28" i="16"/>
  <c r="V28" i="16"/>
  <c r="U28" i="16"/>
  <c r="T28" i="16"/>
  <c r="R28" i="16"/>
  <c r="Q28" i="16"/>
  <c r="P28" i="16"/>
  <c r="N28" i="16"/>
  <c r="M28" i="16"/>
  <c r="L28" i="16"/>
  <c r="J28" i="16"/>
  <c r="I28" i="16"/>
  <c r="H28" i="16"/>
  <c r="F28" i="16"/>
  <c r="E28" i="16"/>
  <c r="D28" i="16"/>
  <c r="BB27" i="16"/>
  <c r="BA27" i="16"/>
  <c r="AZ27" i="16"/>
  <c r="AX27" i="16"/>
  <c r="AW27" i="16"/>
  <c r="AV27" i="16"/>
  <c r="AT27" i="16"/>
  <c r="AS27" i="16"/>
  <c r="AR27" i="16"/>
  <c r="AP27" i="16"/>
  <c r="AO27" i="16"/>
  <c r="AN27" i="16"/>
  <c r="AL27" i="16"/>
  <c r="AK27" i="16"/>
  <c r="AJ27" i="16"/>
  <c r="AH27" i="16"/>
  <c r="AG27" i="16"/>
  <c r="AF27" i="16"/>
  <c r="AD27" i="16"/>
  <c r="AC27" i="16"/>
  <c r="AB27" i="16"/>
  <c r="Z27" i="16"/>
  <c r="Y27" i="16"/>
  <c r="X27" i="16"/>
  <c r="V27" i="16"/>
  <c r="U27" i="16"/>
  <c r="T27" i="16"/>
  <c r="R27" i="16"/>
  <c r="Q27" i="16"/>
  <c r="P27" i="16"/>
  <c r="N27" i="16"/>
  <c r="M27" i="16"/>
  <c r="L27" i="16"/>
  <c r="J27" i="16"/>
  <c r="I27" i="16"/>
  <c r="H27" i="16"/>
  <c r="F27" i="16"/>
  <c r="E27" i="16"/>
  <c r="D27" i="16"/>
  <c r="BB26" i="16"/>
  <c r="BA26" i="16"/>
  <c r="AZ26" i="16"/>
  <c r="AX26" i="16"/>
  <c r="AW26" i="16"/>
  <c r="AV26" i="16"/>
  <c r="AT26" i="16"/>
  <c r="AS26" i="16"/>
  <c r="AR26" i="16"/>
  <c r="AP26" i="16"/>
  <c r="AO26" i="16"/>
  <c r="AN26" i="16"/>
  <c r="AL26" i="16"/>
  <c r="AK26" i="16"/>
  <c r="AJ26" i="16"/>
  <c r="AH26" i="16"/>
  <c r="AG26" i="16"/>
  <c r="AF26" i="16"/>
  <c r="AD26" i="16"/>
  <c r="AC26" i="16"/>
  <c r="AB26" i="16"/>
  <c r="Z26" i="16"/>
  <c r="Y26" i="16"/>
  <c r="X26" i="16"/>
  <c r="V26" i="16"/>
  <c r="U26" i="16"/>
  <c r="T26" i="16"/>
  <c r="R26" i="16"/>
  <c r="Q26" i="16"/>
  <c r="P26" i="16"/>
  <c r="N26" i="16"/>
  <c r="M26" i="16"/>
  <c r="L26" i="16"/>
  <c r="J26" i="16"/>
  <c r="I26" i="16"/>
  <c r="H26" i="16"/>
  <c r="F26" i="16"/>
  <c r="E26" i="16"/>
  <c r="D26" i="16"/>
  <c r="BB25" i="16"/>
  <c r="BA25" i="16"/>
  <c r="AZ25" i="16"/>
  <c r="AX25" i="16"/>
  <c r="AW25" i="16"/>
  <c r="AV25" i="16"/>
  <c r="AT25" i="16"/>
  <c r="AS25" i="16"/>
  <c r="AR25" i="16"/>
  <c r="AP25" i="16"/>
  <c r="AO25" i="16"/>
  <c r="AN25" i="16"/>
  <c r="AL25" i="16"/>
  <c r="AK25" i="16"/>
  <c r="AJ25" i="16"/>
  <c r="AH25" i="16"/>
  <c r="AG25" i="16"/>
  <c r="AF25" i="16"/>
  <c r="AD25" i="16"/>
  <c r="AC25" i="16"/>
  <c r="AB25" i="16"/>
  <c r="Z25" i="16"/>
  <c r="Y25" i="16"/>
  <c r="X25" i="16"/>
  <c r="V25" i="16"/>
  <c r="U25" i="16"/>
  <c r="T25" i="16"/>
  <c r="R25" i="16"/>
  <c r="Q25" i="16"/>
  <c r="P25" i="16"/>
  <c r="N25" i="16"/>
  <c r="M25" i="16"/>
  <c r="L25" i="16"/>
  <c r="J25" i="16"/>
  <c r="I25" i="16"/>
  <c r="H25" i="16"/>
  <c r="F25" i="16"/>
  <c r="E25" i="16"/>
  <c r="D25" i="16"/>
  <c r="BB24" i="16"/>
  <c r="BA24" i="16"/>
  <c r="AZ24" i="16"/>
  <c r="AX24" i="16"/>
  <c r="AW24" i="16"/>
  <c r="AV24" i="16"/>
  <c r="AT24" i="16"/>
  <c r="AS24" i="16"/>
  <c r="AR24" i="16"/>
  <c r="AP24" i="16"/>
  <c r="AO24" i="16"/>
  <c r="AN24" i="16"/>
  <c r="AL24" i="16"/>
  <c r="AK24" i="16"/>
  <c r="AJ24" i="16"/>
  <c r="AH24" i="16"/>
  <c r="AG24" i="16"/>
  <c r="AF24" i="16"/>
  <c r="AD24" i="16"/>
  <c r="AC24" i="16"/>
  <c r="AB24" i="16"/>
  <c r="Z24" i="16"/>
  <c r="Y24" i="16"/>
  <c r="X24" i="16"/>
  <c r="V24" i="16"/>
  <c r="U24" i="16"/>
  <c r="T24" i="16"/>
  <c r="R24" i="16"/>
  <c r="Q24" i="16"/>
  <c r="P24" i="16"/>
  <c r="N24" i="16"/>
  <c r="M24" i="16"/>
  <c r="L24" i="16"/>
  <c r="J24" i="16"/>
  <c r="I24" i="16"/>
  <c r="H24" i="16"/>
  <c r="F24" i="16"/>
  <c r="E24" i="16"/>
  <c r="D24" i="16"/>
  <c r="BB23" i="16"/>
  <c r="BA23" i="16"/>
  <c r="AZ23" i="16"/>
  <c r="AX23" i="16"/>
  <c r="AW23" i="16"/>
  <c r="AV23" i="16"/>
  <c r="AT23" i="16"/>
  <c r="AS23" i="16"/>
  <c r="AR23" i="16"/>
  <c r="AP23" i="16"/>
  <c r="AO23" i="16"/>
  <c r="AN23" i="16"/>
  <c r="AL23" i="16"/>
  <c r="AK23" i="16"/>
  <c r="AJ23" i="16"/>
  <c r="AH23" i="16"/>
  <c r="AG23" i="16"/>
  <c r="AF23" i="16"/>
  <c r="AD23" i="16"/>
  <c r="AC23" i="16"/>
  <c r="AB23" i="16"/>
  <c r="Z23" i="16"/>
  <c r="Y23" i="16"/>
  <c r="X23" i="16"/>
  <c r="V23" i="16"/>
  <c r="U23" i="16"/>
  <c r="T23" i="16"/>
  <c r="R23" i="16"/>
  <c r="Q23" i="16"/>
  <c r="P23" i="16"/>
  <c r="N23" i="16"/>
  <c r="M23" i="16"/>
  <c r="L23" i="16"/>
  <c r="J23" i="16"/>
  <c r="I23" i="16"/>
  <c r="H23" i="16"/>
  <c r="F23" i="16"/>
  <c r="E23" i="16"/>
  <c r="D23" i="16"/>
  <c r="BB22" i="16"/>
  <c r="BA22" i="16"/>
  <c r="AZ22" i="16"/>
  <c r="AX22" i="16"/>
  <c r="AW22" i="16"/>
  <c r="AV22" i="16"/>
  <c r="AT22" i="16"/>
  <c r="AS22" i="16"/>
  <c r="AR22" i="16"/>
  <c r="AP22" i="16"/>
  <c r="AO22" i="16"/>
  <c r="AN22" i="16"/>
  <c r="AL22" i="16"/>
  <c r="AK22" i="16"/>
  <c r="AJ22" i="16"/>
  <c r="AH22" i="16"/>
  <c r="AG22" i="16"/>
  <c r="AF22" i="16"/>
  <c r="AD22" i="16"/>
  <c r="AC22" i="16"/>
  <c r="AB22" i="16"/>
  <c r="Z22" i="16"/>
  <c r="Y22" i="16"/>
  <c r="X22" i="16"/>
  <c r="V22" i="16"/>
  <c r="U22" i="16"/>
  <c r="T22" i="16"/>
  <c r="R22" i="16"/>
  <c r="Q22" i="16"/>
  <c r="P22" i="16"/>
  <c r="N22" i="16"/>
  <c r="M22" i="16"/>
  <c r="L22" i="16"/>
  <c r="J22" i="16"/>
  <c r="I22" i="16"/>
  <c r="H22" i="16"/>
  <c r="F22" i="16"/>
  <c r="E22" i="16"/>
  <c r="D22" i="16"/>
  <c r="BB21" i="16"/>
  <c r="BA21" i="16"/>
  <c r="AZ21" i="16"/>
  <c r="AX21" i="16"/>
  <c r="AW21" i="16"/>
  <c r="AV21" i="16"/>
  <c r="AT21" i="16"/>
  <c r="AS21" i="16"/>
  <c r="AR21" i="16"/>
  <c r="AP21" i="16"/>
  <c r="AO21" i="16"/>
  <c r="AN21" i="16"/>
  <c r="AL21" i="16"/>
  <c r="AK21" i="16"/>
  <c r="AJ21" i="16"/>
  <c r="AH21" i="16"/>
  <c r="AG21" i="16"/>
  <c r="AF21" i="16"/>
  <c r="AD21" i="16"/>
  <c r="AC21" i="16"/>
  <c r="AB21" i="16"/>
  <c r="Z21" i="16"/>
  <c r="Y21" i="16"/>
  <c r="X21" i="16"/>
  <c r="V21" i="16"/>
  <c r="U21" i="16"/>
  <c r="T21" i="16"/>
  <c r="R21" i="16"/>
  <c r="Q21" i="16"/>
  <c r="P21" i="16"/>
  <c r="N21" i="16"/>
  <c r="M21" i="16"/>
  <c r="L21" i="16"/>
  <c r="J21" i="16"/>
  <c r="I21" i="16"/>
  <c r="H21" i="16"/>
  <c r="F21" i="16"/>
  <c r="E21" i="16"/>
  <c r="D21" i="16"/>
  <c r="BB20" i="16"/>
  <c r="BA20" i="16"/>
  <c r="AZ20" i="16"/>
  <c r="AX20" i="16"/>
  <c r="AW20" i="16"/>
  <c r="AV20" i="16"/>
  <c r="AT20" i="16"/>
  <c r="AS20" i="16"/>
  <c r="AR20" i="16"/>
  <c r="AP20" i="16"/>
  <c r="AO20" i="16"/>
  <c r="AN20" i="16"/>
  <c r="AL20" i="16"/>
  <c r="AK20" i="16"/>
  <c r="AJ20" i="16"/>
  <c r="AH20" i="16"/>
  <c r="AG20" i="16"/>
  <c r="AF20" i="16"/>
  <c r="AD20" i="16"/>
  <c r="AC20" i="16"/>
  <c r="AB20" i="16"/>
  <c r="Z20" i="16"/>
  <c r="Y20" i="16"/>
  <c r="X20" i="16"/>
  <c r="V20" i="16"/>
  <c r="U20" i="16"/>
  <c r="T20" i="16"/>
  <c r="R20" i="16"/>
  <c r="Q20" i="16"/>
  <c r="P20" i="16"/>
  <c r="N20" i="16"/>
  <c r="M20" i="16"/>
  <c r="L20" i="16"/>
  <c r="J20" i="16"/>
  <c r="I20" i="16"/>
  <c r="H20" i="16"/>
  <c r="F20" i="16"/>
  <c r="E20" i="16"/>
  <c r="D20" i="16"/>
  <c r="BB19" i="16"/>
  <c r="BA19" i="16"/>
  <c r="AZ19" i="16"/>
  <c r="AX19" i="16"/>
  <c r="AW19" i="16"/>
  <c r="AV19" i="16"/>
  <c r="AT19" i="16"/>
  <c r="AS19" i="16"/>
  <c r="AR19" i="16"/>
  <c r="AP19" i="16"/>
  <c r="AO19" i="16"/>
  <c r="AN19" i="16"/>
  <c r="AL19" i="16"/>
  <c r="AK19" i="16"/>
  <c r="AJ19" i="16"/>
  <c r="AH19" i="16"/>
  <c r="AG19" i="16"/>
  <c r="AF19" i="16"/>
  <c r="AD19" i="16"/>
  <c r="AC19" i="16"/>
  <c r="AB19" i="16"/>
  <c r="Z19" i="16"/>
  <c r="Y19" i="16"/>
  <c r="X19" i="16"/>
  <c r="V19" i="16"/>
  <c r="U19" i="16"/>
  <c r="T19" i="16"/>
  <c r="R19" i="16"/>
  <c r="Q19" i="16"/>
  <c r="P19" i="16"/>
  <c r="N19" i="16"/>
  <c r="M19" i="16"/>
  <c r="L19" i="16"/>
  <c r="J19" i="16"/>
  <c r="I19" i="16"/>
  <c r="H19" i="16"/>
  <c r="F19" i="16"/>
  <c r="E19" i="16"/>
  <c r="D19" i="16"/>
  <c r="BB18" i="16"/>
  <c r="BA18" i="16"/>
  <c r="AZ18" i="16"/>
  <c r="AX18" i="16"/>
  <c r="AW18" i="16"/>
  <c r="AV18" i="16"/>
  <c r="AT18" i="16"/>
  <c r="AS18" i="16"/>
  <c r="AR18" i="16"/>
  <c r="AP18" i="16"/>
  <c r="AO18" i="16"/>
  <c r="AN18" i="16"/>
  <c r="AL18" i="16"/>
  <c r="AK18" i="16"/>
  <c r="AJ18" i="16"/>
  <c r="AH18" i="16"/>
  <c r="AG18" i="16"/>
  <c r="AF18" i="16"/>
  <c r="AD18" i="16"/>
  <c r="AC18" i="16"/>
  <c r="AB18" i="16"/>
  <c r="Z18" i="16"/>
  <c r="Y18" i="16"/>
  <c r="X18" i="16"/>
  <c r="V18" i="16"/>
  <c r="U18" i="16"/>
  <c r="T18" i="16"/>
  <c r="R18" i="16"/>
  <c r="Q18" i="16"/>
  <c r="P18" i="16"/>
  <c r="N18" i="16"/>
  <c r="M18" i="16"/>
  <c r="L18" i="16"/>
  <c r="J18" i="16"/>
  <c r="I18" i="16"/>
  <c r="H18" i="16"/>
  <c r="F18" i="16"/>
  <c r="E18" i="16"/>
  <c r="D18" i="16"/>
  <c r="AY17" i="16"/>
  <c r="AQ17" i="16"/>
  <c r="C17" i="16"/>
  <c r="K9" i="18"/>
  <c r="AC16" i="6"/>
  <c r="AB16" i="6"/>
  <c r="S4" i="14"/>
  <c r="C6" i="18"/>
  <c r="F71" i="5"/>
  <c r="C9" i="18"/>
  <c r="K8" i="18"/>
  <c r="G7" i="18"/>
  <c r="H72" i="5"/>
  <c r="G6" i="18"/>
  <c r="H71" i="5"/>
  <c r="K4" i="18"/>
  <c r="J69" i="5"/>
  <c r="K3" i="18"/>
  <c r="J68" i="5"/>
  <c r="K6" i="18"/>
  <c r="J71" i="5"/>
  <c r="K6" i="16"/>
  <c r="J58" i="5"/>
  <c r="C8" i="18"/>
  <c r="F73" i="5"/>
  <c r="C4" i="18"/>
  <c r="F69" i="5"/>
  <c r="G4" i="18"/>
  <c r="H69" i="5"/>
  <c r="K5" i="18"/>
  <c r="J70" i="5"/>
  <c r="K7" i="18"/>
  <c r="J72" i="5"/>
  <c r="G8" i="18"/>
  <c r="C7" i="18"/>
  <c r="F72" i="5"/>
  <c r="G5" i="18"/>
  <c r="H70" i="5"/>
  <c r="C5" i="18"/>
  <c r="F70" i="5"/>
  <c r="G3" i="18"/>
  <c r="H68" i="5"/>
  <c r="C3" i="18"/>
  <c r="F68" i="5"/>
  <c r="G4" i="16"/>
  <c r="H56" i="5"/>
  <c r="K4" i="16"/>
  <c r="J56" i="5"/>
  <c r="C7" i="16"/>
  <c r="F59" i="5"/>
  <c r="K7" i="16"/>
  <c r="J59" i="5"/>
  <c r="K8" i="16"/>
  <c r="K5" i="16"/>
  <c r="J57" i="5"/>
  <c r="C3" i="16"/>
  <c r="F55" i="5"/>
  <c r="K3" i="16"/>
  <c r="J55" i="5"/>
  <c r="G9" i="16"/>
  <c r="K9" i="16"/>
  <c r="C9" i="16"/>
  <c r="C8" i="16"/>
  <c r="G8" i="16"/>
  <c r="G7" i="16"/>
  <c r="H59" i="5"/>
  <c r="C6" i="16"/>
  <c r="F58" i="5"/>
  <c r="G6" i="16"/>
  <c r="H58" i="5"/>
  <c r="G5" i="16"/>
  <c r="H57" i="5"/>
  <c r="C5" i="16"/>
  <c r="F57" i="5"/>
  <c r="C4" i="16"/>
  <c r="F56" i="5"/>
  <c r="G3" i="16"/>
  <c r="H55" i="5"/>
  <c r="I45" i="12"/>
  <c r="AD44" i="6"/>
  <c r="I9" i="12"/>
  <c r="AD8" i="6"/>
  <c r="AD30" i="6"/>
  <c r="AD29" i="6"/>
  <c r="AD28" i="6"/>
  <c r="AD27" i="6"/>
  <c r="AD26" i="6"/>
  <c r="AD25" i="6"/>
  <c r="AD24" i="6"/>
  <c r="AD23" i="6"/>
  <c r="AD22" i="6"/>
  <c r="AD21" i="6"/>
  <c r="AD20" i="6"/>
  <c r="AD19" i="6"/>
  <c r="AD18" i="6"/>
  <c r="AD17" i="6"/>
  <c r="I15" i="12"/>
  <c r="AD14" i="6"/>
  <c r="I14" i="12"/>
  <c r="AD13" i="6"/>
  <c r="I13" i="12"/>
  <c r="AD12" i="6"/>
  <c r="I12" i="12"/>
  <c r="AD11" i="6"/>
  <c r="I11" i="12"/>
  <c r="AD10" i="6"/>
  <c r="I10" i="12"/>
  <c r="AD9" i="6"/>
  <c r="I8" i="12"/>
  <c r="AD7" i="6"/>
  <c r="I7" i="12"/>
  <c r="AD6" i="6"/>
  <c r="I6" i="12"/>
  <c r="AD5" i="6"/>
  <c r="I5" i="12"/>
  <c r="AD4" i="6"/>
  <c r="I4" i="12"/>
  <c r="AD3" i="6"/>
  <c r="AU19" i="14"/>
  <c r="AQ19" i="14"/>
  <c r="AM19" i="14"/>
  <c r="AI19" i="14"/>
  <c r="AE19" i="14"/>
  <c r="AA19" i="14"/>
  <c r="W19" i="14"/>
  <c r="S19" i="14"/>
  <c r="O19" i="14"/>
  <c r="K19" i="14"/>
  <c r="G19" i="14"/>
  <c r="C19" i="14"/>
  <c r="A9" i="15"/>
  <c r="A15" i="15"/>
  <c r="S17" i="15"/>
  <c r="O17" i="15"/>
  <c r="K17" i="15"/>
  <c r="G17" i="15"/>
  <c r="C17" i="15"/>
  <c r="A14" i="15"/>
  <c r="A13" i="15"/>
  <c r="A12" i="15"/>
  <c r="A11" i="15"/>
  <c r="A10" i="15"/>
  <c r="W17" i="15"/>
  <c r="BB76" i="15"/>
  <c r="BA76" i="15"/>
  <c r="AZ76" i="15"/>
  <c r="BB75" i="15"/>
  <c r="BA75" i="15"/>
  <c r="AZ75" i="15"/>
  <c r="BB74" i="15"/>
  <c r="BA74" i="15"/>
  <c r="AZ74" i="15"/>
  <c r="BB73" i="15"/>
  <c r="BA73" i="15"/>
  <c r="AZ73" i="15"/>
  <c r="BB72" i="15"/>
  <c r="BA72" i="15"/>
  <c r="AZ72" i="15"/>
  <c r="BB71" i="15"/>
  <c r="BA71" i="15"/>
  <c r="AZ71" i="15"/>
  <c r="BB70" i="15"/>
  <c r="BA70" i="15"/>
  <c r="AZ70" i="15"/>
  <c r="BB69" i="15"/>
  <c r="BA69" i="15"/>
  <c r="AZ69" i="15"/>
  <c r="BB68" i="15"/>
  <c r="BA68" i="15"/>
  <c r="AZ68" i="15"/>
  <c r="BB67" i="15"/>
  <c r="BA67" i="15"/>
  <c r="AZ67" i="15"/>
  <c r="BB66" i="15"/>
  <c r="BA66" i="15"/>
  <c r="AZ66" i="15"/>
  <c r="BB65" i="15"/>
  <c r="BA65" i="15"/>
  <c r="AZ65" i="15"/>
  <c r="BB64" i="15"/>
  <c r="BA64" i="15"/>
  <c r="AZ64" i="15"/>
  <c r="BB63" i="15"/>
  <c r="BA63" i="15"/>
  <c r="AZ63" i="15"/>
  <c r="BB62" i="15"/>
  <c r="BA62" i="15"/>
  <c r="AZ62" i="15"/>
  <c r="BB61" i="15"/>
  <c r="BA61" i="15"/>
  <c r="AZ61" i="15"/>
  <c r="BB60" i="15"/>
  <c r="BA60" i="15"/>
  <c r="AZ60" i="15"/>
  <c r="BB59" i="15"/>
  <c r="BA59" i="15"/>
  <c r="AZ59" i="15"/>
  <c r="BB58" i="15"/>
  <c r="BA58" i="15"/>
  <c r="AZ58" i="15"/>
  <c r="BB57" i="15"/>
  <c r="BA57" i="15"/>
  <c r="AZ57" i="15"/>
  <c r="BB56" i="15"/>
  <c r="BA56" i="15"/>
  <c r="AZ56" i="15"/>
  <c r="BB55" i="15"/>
  <c r="BA55" i="15"/>
  <c r="AZ55" i="15"/>
  <c r="BB54" i="15"/>
  <c r="BA54" i="15"/>
  <c r="AZ54" i="15"/>
  <c r="BB53" i="15"/>
  <c r="BA53" i="15"/>
  <c r="AZ53" i="15"/>
  <c r="BB52" i="15"/>
  <c r="BA52" i="15"/>
  <c r="AZ52" i="15"/>
  <c r="BB51" i="15"/>
  <c r="BA51" i="15"/>
  <c r="AZ51" i="15"/>
  <c r="BB50" i="15"/>
  <c r="BA50" i="15"/>
  <c r="AZ50" i="15"/>
  <c r="BB49" i="15"/>
  <c r="BA49" i="15"/>
  <c r="AZ49" i="15"/>
  <c r="BB48" i="15"/>
  <c r="BA48" i="15"/>
  <c r="AZ48" i="15"/>
  <c r="BB47" i="15"/>
  <c r="BA47" i="15"/>
  <c r="AZ47" i="15"/>
  <c r="BB46" i="15"/>
  <c r="BA46" i="15"/>
  <c r="AZ46" i="15"/>
  <c r="BB45" i="15"/>
  <c r="BA45" i="15"/>
  <c r="AZ45" i="15"/>
  <c r="BB44" i="15"/>
  <c r="BA44" i="15"/>
  <c r="AZ44" i="15"/>
  <c r="BB43" i="15"/>
  <c r="BA43" i="15"/>
  <c r="AZ43" i="15"/>
  <c r="BB42" i="15"/>
  <c r="BA42" i="15"/>
  <c r="AZ42" i="15"/>
  <c r="BB41" i="15"/>
  <c r="BA41" i="15"/>
  <c r="AZ41" i="15"/>
  <c r="BB40" i="15"/>
  <c r="BA40" i="15"/>
  <c r="AZ40" i="15"/>
  <c r="BB39" i="15"/>
  <c r="BA39" i="15"/>
  <c r="AZ39" i="15"/>
  <c r="BB38" i="15"/>
  <c r="BA38" i="15"/>
  <c r="AZ38" i="15"/>
  <c r="BB37" i="15"/>
  <c r="BA37" i="15"/>
  <c r="AZ37" i="15"/>
  <c r="BB36" i="15"/>
  <c r="BA36" i="15"/>
  <c r="AZ36" i="15"/>
  <c r="BB35" i="15"/>
  <c r="BA35" i="15"/>
  <c r="AZ35" i="15"/>
  <c r="BB34" i="15"/>
  <c r="BA34" i="15"/>
  <c r="AZ34" i="15"/>
  <c r="BB33" i="15"/>
  <c r="BA33" i="15"/>
  <c r="AZ33" i="15"/>
  <c r="BB32" i="15"/>
  <c r="BA32" i="15"/>
  <c r="AZ32" i="15"/>
  <c r="BB31" i="15"/>
  <c r="BA31" i="15"/>
  <c r="AZ31" i="15"/>
  <c r="BB30" i="15"/>
  <c r="BA30" i="15"/>
  <c r="AZ30" i="15"/>
  <c r="BB29" i="15"/>
  <c r="BA29" i="15"/>
  <c r="AZ29" i="15"/>
  <c r="BB28" i="15"/>
  <c r="BA28" i="15"/>
  <c r="AZ28" i="15"/>
  <c r="BB27" i="15"/>
  <c r="BA27" i="15"/>
  <c r="AZ27" i="15"/>
  <c r="BB26" i="15"/>
  <c r="BA26" i="15"/>
  <c r="AZ26" i="15"/>
  <c r="BB25" i="15"/>
  <c r="BA25" i="15"/>
  <c r="AZ25" i="15"/>
  <c r="BB24" i="15"/>
  <c r="BA24" i="15"/>
  <c r="AZ24" i="15"/>
  <c r="BB23" i="15"/>
  <c r="BA23" i="15"/>
  <c r="AZ23" i="15"/>
  <c r="BB22" i="15"/>
  <c r="BA22" i="15"/>
  <c r="AZ22" i="15"/>
  <c r="BB21" i="15"/>
  <c r="BA21" i="15"/>
  <c r="AZ21" i="15"/>
  <c r="BB20" i="15"/>
  <c r="BA20" i="15"/>
  <c r="AZ20" i="15"/>
  <c r="BB19" i="15"/>
  <c r="BA19" i="15"/>
  <c r="AZ19" i="15"/>
  <c r="BB18" i="15"/>
  <c r="BA18" i="15"/>
  <c r="AZ18" i="15"/>
  <c r="AX76" i="15"/>
  <c r="AW76" i="15"/>
  <c r="AV76" i="15"/>
  <c r="AX75" i="15"/>
  <c r="AW75" i="15"/>
  <c r="AV75" i="15"/>
  <c r="AX74" i="15"/>
  <c r="AW74" i="15"/>
  <c r="AV74" i="15"/>
  <c r="AX73" i="15"/>
  <c r="AW73" i="15"/>
  <c r="AV73" i="15"/>
  <c r="AX72" i="15"/>
  <c r="AW72" i="15"/>
  <c r="AV72" i="15"/>
  <c r="AX71" i="15"/>
  <c r="AW71" i="15"/>
  <c r="AV71" i="15"/>
  <c r="AX70" i="15"/>
  <c r="AW70" i="15"/>
  <c r="AV70" i="15"/>
  <c r="AX69" i="15"/>
  <c r="AW69" i="15"/>
  <c r="AV69" i="15"/>
  <c r="AX68" i="15"/>
  <c r="AW68" i="15"/>
  <c r="AV68" i="15"/>
  <c r="AX67" i="15"/>
  <c r="AW67" i="15"/>
  <c r="AV67" i="15"/>
  <c r="AX66" i="15"/>
  <c r="AW66" i="15"/>
  <c r="AV66" i="15"/>
  <c r="AX65" i="15"/>
  <c r="AW65" i="15"/>
  <c r="AV65" i="15"/>
  <c r="AX64" i="15"/>
  <c r="AW64" i="15"/>
  <c r="AV64" i="15"/>
  <c r="AX63" i="15"/>
  <c r="AW63" i="15"/>
  <c r="AV63" i="15"/>
  <c r="AX62" i="15"/>
  <c r="AW62" i="15"/>
  <c r="AV62" i="15"/>
  <c r="AX61" i="15"/>
  <c r="AW61" i="15"/>
  <c r="AV61" i="15"/>
  <c r="AX60" i="15"/>
  <c r="AW60" i="15"/>
  <c r="AV60" i="15"/>
  <c r="AX59" i="15"/>
  <c r="AW59" i="15"/>
  <c r="AV59" i="15"/>
  <c r="AX58" i="15"/>
  <c r="AW58" i="15"/>
  <c r="AV58" i="15"/>
  <c r="AX57" i="15"/>
  <c r="AW57" i="15"/>
  <c r="AV57" i="15"/>
  <c r="AX56" i="15"/>
  <c r="AW56" i="15"/>
  <c r="AV56" i="15"/>
  <c r="AX55" i="15"/>
  <c r="AW55" i="15"/>
  <c r="AV55" i="15"/>
  <c r="AX54" i="15"/>
  <c r="AW54" i="15"/>
  <c r="AV54" i="15"/>
  <c r="AX53" i="15"/>
  <c r="AW53" i="15"/>
  <c r="AV53" i="15"/>
  <c r="AX52" i="15"/>
  <c r="AW52" i="15"/>
  <c r="AV52" i="15"/>
  <c r="AX51" i="15"/>
  <c r="AW51" i="15"/>
  <c r="AV51" i="15"/>
  <c r="AX50" i="15"/>
  <c r="AW50" i="15"/>
  <c r="AV50" i="15"/>
  <c r="AX49" i="15"/>
  <c r="AW49" i="15"/>
  <c r="AV49" i="15"/>
  <c r="AX48" i="15"/>
  <c r="AW48" i="15"/>
  <c r="AV48" i="15"/>
  <c r="AX47" i="15"/>
  <c r="AW47" i="15"/>
  <c r="AV47" i="15"/>
  <c r="AX46" i="15"/>
  <c r="AW46" i="15"/>
  <c r="AV46" i="15"/>
  <c r="AX45" i="15"/>
  <c r="AW45" i="15"/>
  <c r="AV45" i="15"/>
  <c r="AX44" i="15"/>
  <c r="AW44" i="15"/>
  <c r="AV44" i="15"/>
  <c r="AX43" i="15"/>
  <c r="AW43" i="15"/>
  <c r="AV43" i="15"/>
  <c r="AX42" i="15"/>
  <c r="AW42" i="15"/>
  <c r="AV42" i="15"/>
  <c r="AX41" i="15"/>
  <c r="AW41" i="15"/>
  <c r="AV41" i="15"/>
  <c r="AX40" i="15"/>
  <c r="AW40" i="15"/>
  <c r="AV40" i="15"/>
  <c r="AX39" i="15"/>
  <c r="AW39" i="15"/>
  <c r="AV39" i="15"/>
  <c r="AX38" i="15"/>
  <c r="AW38" i="15"/>
  <c r="AV38" i="15"/>
  <c r="AX37" i="15"/>
  <c r="AW37" i="15"/>
  <c r="AV37" i="15"/>
  <c r="AX36" i="15"/>
  <c r="AW36" i="15"/>
  <c r="AV36" i="15"/>
  <c r="AX35" i="15"/>
  <c r="AW35" i="15"/>
  <c r="AV35" i="15"/>
  <c r="AX34" i="15"/>
  <c r="AW34" i="15"/>
  <c r="AV34" i="15"/>
  <c r="AX33" i="15"/>
  <c r="AW33" i="15"/>
  <c r="AV33" i="15"/>
  <c r="AX32" i="15"/>
  <c r="AW32" i="15"/>
  <c r="AV32" i="15"/>
  <c r="AX31" i="15"/>
  <c r="AW31" i="15"/>
  <c r="AV31" i="15"/>
  <c r="AX30" i="15"/>
  <c r="AW30" i="15"/>
  <c r="AV30" i="15"/>
  <c r="AX29" i="15"/>
  <c r="AW29" i="15"/>
  <c r="AV29" i="15"/>
  <c r="AX28" i="15"/>
  <c r="AW28" i="15"/>
  <c r="AV28" i="15"/>
  <c r="AX27" i="15"/>
  <c r="AW27" i="15"/>
  <c r="AV27" i="15"/>
  <c r="AX26" i="15"/>
  <c r="AW26" i="15"/>
  <c r="AV26" i="15"/>
  <c r="AX25" i="15"/>
  <c r="AW25" i="15"/>
  <c r="AV25" i="15"/>
  <c r="AX24" i="15"/>
  <c r="AW24" i="15"/>
  <c r="AV24" i="15"/>
  <c r="AX23" i="15"/>
  <c r="AW23" i="15"/>
  <c r="AV23" i="15"/>
  <c r="AX22" i="15"/>
  <c r="AW22" i="15"/>
  <c r="AV22" i="15"/>
  <c r="AX21" i="15"/>
  <c r="AW21" i="15"/>
  <c r="AV21" i="15"/>
  <c r="AX20" i="15"/>
  <c r="AW20" i="15"/>
  <c r="AV20" i="15"/>
  <c r="AX19" i="15"/>
  <c r="AW19" i="15"/>
  <c r="AV19" i="15"/>
  <c r="AX18" i="15"/>
  <c r="AW18" i="15"/>
  <c r="AV18" i="15"/>
  <c r="AT76" i="15"/>
  <c r="AS76" i="15"/>
  <c r="AR76" i="15"/>
  <c r="AT75" i="15"/>
  <c r="AS75" i="15"/>
  <c r="AR75" i="15"/>
  <c r="AT74" i="15"/>
  <c r="AS74" i="15"/>
  <c r="AR74" i="15"/>
  <c r="AT73" i="15"/>
  <c r="AS73" i="15"/>
  <c r="AR73" i="15"/>
  <c r="AT72" i="15"/>
  <c r="AS72" i="15"/>
  <c r="AR72" i="15"/>
  <c r="AT71" i="15"/>
  <c r="AS71" i="15"/>
  <c r="AR71" i="15"/>
  <c r="AT70" i="15"/>
  <c r="AS70" i="15"/>
  <c r="AR70" i="15"/>
  <c r="AT69" i="15"/>
  <c r="AS69" i="15"/>
  <c r="AR69" i="15"/>
  <c r="AT68" i="15"/>
  <c r="AS68" i="15"/>
  <c r="AR68" i="15"/>
  <c r="AT67" i="15"/>
  <c r="AS67" i="15"/>
  <c r="AR67" i="15"/>
  <c r="AT66" i="15"/>
  <c r="AS66" i="15"/>
  <c r="AR66" i="15"/>
  <c r="AT65" i="15"/>
  <c r="AS65" i="15"/>
  <c r="AR65" i="15"/>
  <c r="AT64" i="15"/>
  <c r="AS64" i="15"/>
  <c r="AR64" i="15"/>
  <c r="AT63" i="15"/>
  <c r="AS63" i="15"/>
  <c r="AR63" i="15"/>
  <c r="AT62" i="15"/>
  <c r="AS62" i="15"/>
  <c r="AR62" i="15"/>
  <c r="AT61" i="15"/>
  <c r="AS61" i="15"/>
  <c r="AR61" i="15"/>
  <c r="AT60" i="15"/>
  <c r="AS60" i="15"/>
  <c r="AR60" i="15"/>
  <c r="AT59" i="15"/>
  <c r="AS59" i="15"/>
  <c r="AR59" i="15"/>
  <c r="AT58" i="15"/>
  <c r="AS58" i="15"/>
  <c r="AR58" i="15"/>
  <c r="AT57" i="15"/>
  <c r="AS57" i="15"/>
  <c r="AR57" i="15"/>
  <c r="AT56" i="15"/>
  <c r="AS56" i="15"/>
  <c r="AR56" i="15"/>
  <c r="AT55" i="15"/>
  <c r="AS55" i="15"/>
  <c r="AR55" i="15"/>
  <c r="AT54" i="15"/>
  <c r="AS54" i="15"/>
  <c r="AR54" i="15"/>
  <c r="AT53" i="15"/>
  <c r="AS53" i="15"/>
  <c r="AR53" i="15"/>
  <c r="AT52" i="15"/>
  <c r="AS52" i="15"/>
  <c r="AR52" i="15"/>
  <c r="AT51" i="15"/>
  <c r="AS51" i="15"/>
  <c r="AR51" i="15"/>
  <c r="AT50" i="15"/>
  <c r="AS50" i="15"/>
  <c r="AR50" i="15"/>
  <c r="AT49" i="15"/>
  <c r="AS49" i="15"/>
  <c r="AR49" i="15"/>
  <c r="AT48" i="15"/>
  <c r="AS48" i="15"/>
  <c r="AR48" i="15"/>
  <c r="AT47" i="15"/>
  <c r="AS47" i="15"/>
  <c r="AR47" i="15"/>
  <c r="AT46" i="15"/>
  <c r="AS46" i="15"/>
  <c r="AR46" i="15"/>
  <c r="AT45" i="15"/>
  <c r="AS45" i="15"/>
  <c r="AR45" i="15"/>
  <c r="AT44" i="15"/>
  <c r="AS44" i="15"/>
  <c r="AR44" i="15"/>
  <c r="AT43" i="15"/>
  <c r="AS43" i="15"/>
  <c r="AR43" i="15"/>
  <c r="AT42" i="15"/>
  <c r="AS42" i="15"/>
  <c r="AR42" i="15"/>
  <c r="AT41" i="15"/>
  <c r="AS41" i="15"/>
  <c r="AR41" i="15"/>
  <c r="AT40" i="15"/>
  <c r="AS40" i="15"/>
  <c r="AR40" i="15"/>
  <c r="AT39" i="15"/>
  <c r="AS39" i="15"/>
  <c r="AR39" i="15"/>
  <c r="AT38" i="15"/>
  <c r="AS38" i="15"/>
  <c r="AR38" i="15"/>
  <c r="AT37" i="15"/>
  <c r="AS37" i="15"/>
  <c r="AR37" i="15"/>
  <c r="AT36" i="15"/>
  <c r="AS36" i="15"/>
  <c r="AR36" i="15"/>
  <c r="AT35" i="15"/>
  <c r="AS35" i="15"/>
  <c r="AR35" i="15"/>
  <c r="AT34" i="15"/>
  <c r="AS34" i="15"/>
  <c r="AR34" i="15"/>
  <c r="AT33" i="15"/>
  <c r="AS33" i="15"/>
  <c r="AR33" i="15"/>
  <c r="AT32" i="15"/>
  <c r="AS32" i="15"/>
  <c r="AR32" i="15"/>
  <c r="AT31" i="15"/>
  <c r="AS31" i="15"/>
  <c r="AR31" i="15"/>
  <c r="AT30" i="15"/>
  <c r="AS30" i="15"/>
  <c r="AR30" i="15"/>
  <c r="AT29" i="15"/>
  <c r="AS29" i="15"/>
  <c r="AR29" i="15"/>
  <c r="AT28" i="15"/>
  <c r="AS28" i="15"/>
  <c r="AR28" i="15"/>
  <c r="AT27" i="15"/>
  <c r="AS27" i="15"/>
  <c r="AR27" i="15"/>
  <c r="AT26" i="15"/>
  <c r="AS26" i="15"/>
  <c r="AR26" i="15"/>
  <c r="AT25" i="15"/>
  <c r="AS25" i="15"/>
  <c r="AR25" i="15"/>
  <c r="AT24" i="15"/>
  <c r="AS24" i="15"/>
  <c r="AR24" i="15"/>
  <c r="AT23" i="15"/>
  <c r="AS23" i="15"/>
  <c r="AR23" i="15"/>
  <c r="AT22" i="15"/>
  <c r="AS22" i="15"/>
  <c r="AR22" i="15"/>
  <c r="AT21" i="15"/>
  <c r="AS21" i="15"/>
  <c r="AR21" i="15"/>
  <c r="AT20" i="15"/>
  <c r="AS20" i="15"/>
  <c r="AR20" i="15"/>
  <c r="AT19" i="15"/>
  <c r="AS19" i="15"/>
  <c r="AR19" i="15"/>
  <c r="AT18" i="15"/>
  <c r="AS18" i="15"/>
  <c r="AR18" i="15"/>
  <c r="AP76" i="15"/>
  <c r="AO76" i="15"/>
  <c r="AN76" i="15"/>
  <c r="AP75" i="15"/>
  <c r="AO75" i="15"/>
  <c r="AN75" i="15"/>
  <c r="AP74" i="15"/>
  <c r="AO74" i="15"/>
  <c r="AN74" i="15"/>
  <c r="AP73" i="15"/>
  <c r="AO73" i="15"/>
  <c r="AN73" i="15"/>
  <c r="AP72" i="15"/>
  <c r="AO72" i="15"/>
  <c r="AN72" i="15"/>
  <c r="AP71" i="15"/>
  <c r="AO71" i="15"/>
  <c r="AN71" i="15"/>
  <c r="AP70" i="15"/>
  <c r="AO70" i="15"/>
  <c r="AN70" i="15"/>
  <c r="AP69" i="15"/>
  <c r="AO69" i="15"/>
  <c r="AN69" i="15"/>
  <c r="AP68" i="15"/>
  <c r="AO68" i="15"/>
  <c r="AN68" i="15"/>
  <c r="AP67" i="15"/>
  <c r="AO67" i="15"/>
  <c r="AN67" i="15"/>
  <c r="AP66" i="15"/>
  <c r="AO66" i="15"/>
  <c r="AN66" i="15"/>
  <c r="AP65" i="15"/>
  <c r="AO65" i="15"/>
  <c r="AN65" i="15"/>
  <c r="AP64" i="15"/>
  <c r="AO64" i="15"/>
  <c r="AN64" i="15"/>
  <c r="AP63" i="15"/>
  <c r="AO63" i="15"/>
  <c r="AN63" i="15"/>
  <c r="AP62" i="15"/>
  <c r="AO62" i="15"/>
  <c r="AN62" i="15"/>
  <c r="AP61" i="15"/>
  <c r="AO61" i="15"/>
  <c r="AN61" i="15"/>
  <c r="AP60" i="15"/>
  <c r="AO60" i="15"/>
  <c r="AN60" i="15"/>
  <c r="AP59" i="15"/>
  <c r="AO59" i="15"/>
  <c r="AN59" i="15"/>
  <c r="AP58" i="15"/>
  <c r="AO58" i="15"/>
  <c r="AN58" i="15"/>
  <c r="AP57" i="15"/>
  <c r="AO57" i="15"/>
  <c r="AN57" i="15"/>
  <c r="AP56" i="15"/>
  <c r="AO56" i="15"/>
  <c r="AN56" i="15"/>
  <c r="AP55" i="15"/>
  <c r="AO55" i="15"/>
  <c r="AN55" i="15"/>
  <c r="AP54" i="15"/>
  <c r="AO54" i="15"/>
  <c r="AN54" i="15"/>
  <c r="AP53" i="15"/>
  <c r="AO53" i="15"/>
  <c r="AN53" i="15"/>
  <c r="AP52" i="15"/>
  <c r="AO52" i="15"/>
  <c r="AN52" i="15"/>
  <c r="AP51" i="15"/>
  <c r="AO51" i="15"/>
  <c r="AN51" i="15"/>
  <c r="AP50" i="15"/>
  <c r="AO50" i="15"/>
  <c r="AN50" i="15"/>
  <c r="AP49" i="15"/>
  <c r="AO49" i="15"/>
  <c r="AN49" i="15"/>
  <c r="AP48" i="15"/>
  <c r="AO48" i="15"/>
  <c r="AN48" i="15"/>
  <c r="AP47" i="15"/>
  <c r="AO47" i="15"/>
  <c r="AN47" i="15"/>
  <c r="AP46" i="15"/>
  <c r="AO46" i="15"/>
  <c r="AN46" i="15"/>
  <c r="AP45" i="15"/>
  <c r="AO45" i="15"/>
  <c r="AN45" i="15"/>
  <c r="AP44" i="15"/>
  <c r="AO44" i="15"/>
  <c r="AN44" i="15"/>
  <c r="AP43" i="15"/>
  <c r="AO43" i="15"/>
  <c r="AN43" i="15"/>
  <c r="AP42" i="15"/>
  <c r="AO42" i="15"/>
  <c r="AN42" i="15"/>
  <c r="AP41" i="15"/>
  <c r="AO41" i="15"/>
  <c r="AN41" i="15"/>
  <c r="AP40" i="15"/>
  <c r="AO40" i="15"/>
  <c r="AN40" i="15"/>
  <c r="AP39" i="15"/>
  <c r="AO39" i="15"/>
  <c r="AN39" i="15"/>
  <c r="AP38" i="15"/>
  <c r="AO38" i="15"/>
  <c r="AN38" i="15"/>
  <c r="AP37" i="15"/>
  <c r="AO37" i="15"/>
  <c r="AN37" i="15"/>
  <c r="AP36" i="15"/>
  <c r="AO36" i="15"/>
  <c r="AN36" i="15"/>
  <c r="AP35" i="15"/>
  <c r="AO35" i="15"/>
  <c r="AN35" i="15"/>
  <c r="AP34" i="15"/>
  <c r="AO34" i="15"/>
  <c r="AN34" i="15"/>
  <c r="AP33" i="15"/>
  <c r="AO33" i="15"/>
  <c r="AN33" i="15"/>
  <c r="AP32" i="15"/>
  <c r="AO32" i="15"/>
  <c r="AN32" i="15"/>
  <c r="AP31" i="15"/>
  <c r="AO31" i="15"/>
  <c r="AN31" i="15"/>
  <c r="AP30" i="15"/>
  <c r="AO30" i="15"/>
  <c r="AN30" i="15"/>
  <c r="AP29" i="15"/>
  <c r="AO29" i="15"/>
  <c r="AN29" i="15"/>
  <c r="AP28" i="15"/>
  <c r="AO28" i="15"/>
  <c r="AN28" i="15"/>
  <c r="AP27" i="15"/>
  <c r="AO27" i="15"/>
  <c r="AN27" i="15"/>
  <c r="AP26" i="15"/>
  <c r="AO26" i="15"/>
  <c r="AN26" i="15"/>
  <c r="AP25" i="15"/>
  <c r="AO25" i="15"/>
  <c r="AN25" i="15"/>
  <c r="AP24" i="15"/>
  <c r="AO24" i="15"/>
  <c r="AN24" i="15"/>
  <c r="AP23" i="15"/>
  <c r="AO23" i="15"/>
  <c r="AN23" i="15"/>
  <c r="AP22" i="15"/>
  <c r="AO22" i="15"/>
  <c r="AN22" i="15"/>
  <c r="AP21" i="15"/>
  <c r="AO21" i="15"/>
  <c r="AN21" i="15"/>
  <c r="AP20" i="15"/>
  <c r="AO20" i="15"/>
  <c r="AN20" i="15"/>
  <c r="AP19" i="15"/>
  <c r="AO19" i="15"/>
  <c r="AN19" i="15"/>
  <c r="AP18" i="15"/>
  <c r="AO18" i="15"/>
  <c r="AN18" i="15"/>
  <c r="AL76" i="15"/>
  <c r="AK76" i="15"/>
  <c r="AJ76" i="15"/>
  <c r="AL75" i="15"/>
  <c r="AK75" i="15"/>
  <c r="AJ75" i="15"/>
  <c r="AL74" i="15"/>
  <c r="AK74" i="15"/>
  <c r="AJ74" i="15"/>
  <c r="AL73" i="15"/>
  <c r="AK73" i="15"/>
  <c r="AJ73" i="15"/>
  <c r="AL72" i="15"/>
  <c r="AK72" i="15"/>
  <c r="AJ72" i="15"/>
  <c r="AL71" i="15"/>
  <c r="AK71" i="15"/>
  <c r="AJ71" i="15"/>
  <c r="AL70" i="15"/>
  <c r="AK70" i="15"/>
  <c r="AJ70" i="15"/>
  <c r="AL69" i="15"/>
  <c r="AK69" i="15"/>
  <c r="AJ69" i="15"/>
  <c r="AL68" i="15"/>
  <c r="AK68" i="15"/>
  <c r="AJ68" i="15"/>
  <c r="AL67" i="15"/>
  <c r="AK67" i="15"/>
  <c r="AJ67" i="15"/>
  <c r="AL66" i="15"/>
  <c r="AK66" i="15"/>
  <c r="AJ66" i="15"/>
  <c r="AL65" i="15"/>
  <c r="AK65" i="15"/>
  <c r="AJ65" i="15"/>
  <c r="AL64" i="15"/>
  <c r="AK64" i="15"/>
  <c r="AJ64" i="15"/>
  <c r="AL63" i="15"/>
  <c r="AK63" i="15"/>
  <c r="AJ63" i="15"/>
  <c r="AL62" i="15"/>
  <c r="AK62" i="15"/>
  <c r="AJ62" i="15"/>
  <c r="AL61" i="15"/>
  <c r="AK61" i="15"/>
  <c r="AJ61" i="15"/>
  <c r="AL60" i="15"/>
  <c r="AK60" i="15"/>
  <c r="AJ60" i="15"/>
  <c r="AL59" i="15"/>
  <c r="AK59" i="15"/>
  <c r="AJ59" i="15"/>
  <c r="AL58" i="15"/>
  <c r="AK58" i="15"/>
  <c r="AJ58" i="15"/>
  <c r="AL57" i="15"/>
  <c r="AK57" i="15"/>
  <c r="AJ57" i="15"/>
  <c r="AL56" i="15"/>
  <c r="AK56" i="15"/>
  <c r="AJ56" i="15"/>
  <c r="AL55" i="15"/>
  <c r="AK55" i="15"/>
  <c r="AJ55" i="15"/>
  <c r="AL54" i="15"/>
  <c r="AK54" i="15"/>
  <c r="AJ54" i="15"/>
  <c r="AL53" i="15"/>
  <c r="AK53" i="15"/>
  <c r="AJ53" i="15"/>
  <c r="AL52" i="15"/>
  <c r="AK52" i="15"/>
  <c r="AJ52" i="15"/>
  <c r="AL51" i="15"/>
  <c r="AK51" i="15"/>
  <c r="AJ51" i="15"/>
  <c r="AL50" i="15"/>
  <c r="AK50" i="15"/>
  <c r="AJ50" i="15"/>
  <c r="AL49" i="15"/>
  <c r="AK49" i="15"/>
  <c r="AJ49" i="15"/>
  <c r="AL48" i="15"/>
  <c r="AK48" i="15"/>
  <c r="AJ48" i="15"/>
  <c r="AL47" i="15"/>
  <c r="AK47" i="15"/>
  <c r="AJ47" i="15"/>
  <c r="AL46" i="15"/>
  <c r="AK46" i="15"/>
  <c r="AJ46" i="15"/>
  <c r="AL45" i="15"/>
  <c r="AK45" i="15"/>
  <c r="AJ45" i="15"/>
  <c r="AL44" i="15"/>
  <c r="AK44" i="15"/>
  <c r="AJ44" i="15"/>
  <c r="AL43" i="15"/>
  <c r="AK43" i="15"/>
  <c r="AJ43" i="15"/>
  <c r="AL42" i="15"/>
  <c r="AK42" i="15"/>
  <c r="AJ42" i="15"/>
  <c r="AL41" i="15"/>
  <c r="AK41" i="15"/>
  <c r="AJ41" i="15"/>
  <c r="AL40" i="15"/>
  <c r="AK40" i="15"/>
  <c r="AJ40" i="15"/>
  <c r="AL39" i="15"/>
  <c r="AK39" i="15"/>
  <c r="AJ39" i="15"/>
  <c r="AL38" i="15"/>
  <c r="AK38" i="15"/>
  <c r="AJ38" i="15"/>
  <c r="AL37" i="15"/>
  <c r="AK37" i="15"/>
  <c r="AJ37" i="15"/>
  <c r="AL36" i="15"/>
  <c r="AK36" i="15"/>
  <c r="AJ36" i="15"/>
  <c r="AL35" i="15"/>
  <c r="AK35" i="15"/>
  <c r="AJ35" i="15"/>
  <c r="AL34" i="15"/>
  <c r="AK34" i="15"/>
  <c r="AJ34" i="15"/>
  <c r="AL33" i="15"/>
  <c r="AK33" i="15"/>
  <c r="AJ33" i="15"/>
  <c r="AL32" i="15"/>
  <c r="AK32" i="15"/>
  <c r="AJ32" i="15"/>
  <c r="AL31" i="15"/>
  <c r="AK31" i="15"/>
  <c r="AJ31" i="15"/>
  <c r="AL30" i="15"/>
  <c r="AK30" i="15"/>
  <c r="AJ30" i="15"/>
  <c r="AL29" i="15"/>
  <c r="AK29" i="15"/>
  <c r="AJ29" i="15"/>
  <c r="AL28" i="15"/>
  <c r="AK28" i="15"/>
  <c r="AJ28" i="15"/>
  <c r="AL27" i="15"/>
  <c r="AK27" i="15"/>
  <c r="AJ27" i="15"/>
  <c r="AL26" i="15"/>
  <c r="AK26" i="15"/>
  <c r="AJ26" i="15"/>
  <c r="AL25" i="15"/>
  <c r="AK25" i="15"/>
  <c r="AJ25" i="15"/>
  <c r="AL24" i="15"/>
  <c r="AK24" i="15"/>
  <c r="AJ24" i="15"/>
  <c r="AL23" i="15"/>
  <c r="AK23" i="15"/>
  <c r="AJ23" i="15"/>
  <c r="AL22" i="15"/>
  <c r="AK22" i="15"/>
  <c r="AJ22" i="15"/>
  <c r="AL21" i="15"/>
  <c r="AK21" i="15"/>
  <c r="AJ21" i="15"/>
  <c r="AL20" i="15"/>
  <c r="AK20" i="15"/>
  <c r="AJ20" i="15"/>
  <c r="AL19" i="15"/>
  <c r="AK19" i="15"/>
  <c r="AJ19" i="15"/>
  <c r="AL18" i="15"/>
  <c r="AK18" i="15"/>
  <c r="AJ18" i="15"/>
  <c r="AH76" i="15"/>
  <c r="AG76" i="15"/>
  <c r="AF76" i="15"/>
  <c r="AH75" i="15"/>
  <c r="AG75" i="15"/>
  <c r="AF75" i="15"/>
  <c r="AH74" i="15"/>
  <c r="AG74" i="15"/>
  <c r="AF74" i="15"/>
  <c r="AH73" i="15"/>
  <c r="AG73" i="15"/>
  <c r="AF73" i="15"/>
  <c r="AH72" i="15"/>
  <c r="AG72" i="15"/>
  <c r="AF72" i="15"/>
  <c r="AH71" i="15"/>
  <c r="AG71" i="15"/>
  <c r="AF71" i="15"/>
  <c r="AH70" i="15"/>
  <c r="AG70" i="15"/>
  <c r="AF70" i="15"/>
  <c r="AH69" i="15"/>
  <c r="AG69" i="15"/>
  <c r="AF69" i="15"/>
  <c r="AH68" i="15"/>
  <c r="AG68" i="15"/>
  <c r="AF68" i="15"/>
  <c r="AH67" i="15"/>
  <c r="AG67" i="15"/>
  <c r="AF67" i="15"/>
  <c r="AH66" i="15"/>
  <c r="AG66" i="15"/>
  <c r="AF66" i="15"/>
  <c r="AH65" i="15"/>
  <c r="AG65" i="15"/>
  <c r="AF65" i="15"/>
  <c r="AH64" i="15"/>
  <c r="AG64" i="15"/>
  <c r="AF64" i="15"/>
  <c r="AH63" i="15"/>
  <c r="AG63" i="15"/>
  <c r="AF63" i="15"/>
  <c r="AH62" i="15"/>
  <c r="AG62" i="15"/>
  <c r="AF62" i="15"/>
  <c r="AH61" i="15"/>
  <c r="AG61" i="15"/>
  <c r="AF61" i="15"/>
  <c r="AH60" i="15"/>
  <c r="AG60" i="15"/>
  <c r="AF60" i="15"/>
  <c r="AH59" i="15"/>
  <c r="AG59" i="15"/>
  <c r="AF59" i="15"/>
  <c r="AH58" i="15"/>
  <c r="AG58" i="15"/>
  <c r="AF58" i="15"/>
  <c r="AH57" i="15"/>
  <c r="AG57" i="15"/>
  <c r="AF57" i="15"/>
  <c r="AH56" i="15"/>
  <c r="AG56" i="15"/>
  <c r="AF56" i="15"/>
  <c r="AH55" i="15"/>
  <c r="AG55" i="15"/>
  <c r="AF55" i="15"/>
  <c r="AH54" i="15"/>
  <c r="AG54" i="15"/>
  <c r="AF54" i="15"/>
  <c r="AH53" i="15"/>
  <c r="AG53" i="15"/>
  <c r="AF53" i="15"/>
  <c r="AH52" i="15"/>
  <c r="AG52" i="15"/>
  <c r="AF52" i="15"/>
  <c r="AH51" i="15"/>
  <c r="AG51" i="15"/>
  <c r="AF51" i="15"/>
  <c r="AH50" i="15"/>
  <c r="AG50" i="15"/>
  <c r="AF50" i="15"/>
  <c r="AH49" i="15"/>
  <c r="AG49" i="15"/>
  <c r="AF49" i="15"/>
  <c r="AH48" i="15"/>
  <c r="AG48" i="15"/>
  <c r="AF48" i="15"/>
  <c r="AH47" i="15"/>
  <c r="AG47" i="15"/>
  <c r="AF47" i="15"/>
  <c r="AH46" i="15"/>
  <c r="AG46" i="15"/>
  <c r="AF46" i="15"/>
  <c r="AH45" i="15"/>
  <c r="AG45" i="15"/>
  <c r="AF45" i="15"/>
  <c r="AH44" i="15"/>
  <c r="AG44" i="15"/>
  <c r="AF44" i="15"/>
  <c r="AH43" i="15"/>
  <c r="AG43" i="15"/>
  <c r="AF43" i="15"/>
  <c r="AH42" i="15"/>
  <c r="AG42" i="15"/>
  <c r="AF42" i="15"/>
  <c r="AH41" i="15"/>
  <c r="AG41" i="15"/>
  <c r="AF41" i="15"/>
  <c r="AH40" i="15"/>
  <c r="AG40" i="15"/>
  <c r="AF40" i="15"/>
  <c r="AH39" i="15"/>
  <c r="AG39" i="15"/>
  <c r="AF39" i="15"/>
  <c r="AH38" i="15"/>
  <c r="AG38" i="15"/>
  <c r="AF38" i="15"/>
  <c r="AH37" i="15"/>
  <c r="AG37" i="15"/>
  <c r="AF37" i="15"/>
  <c r="AH36" i="15"/>
  <c r="AG36" i="15"/>
  <c r="AF36" i="15"/>
  <c r="AH35" i="15"/>
  <c r="AG35" i="15"/>
  <c r="AF35" i="15"/>
  <c r="AH34" i="15"/>
  <c r="AG34" i="15"/>
  <c r="AF34" i="15"/>
  <c r="AH33" i="15"/>
  <c r="AG33" i="15"/>
  <c r="AF33" i="15"/>
  <c r="AH32" i="15"/>
  <c r="AG32" i="15"/>
  <c r="AF32" i="15"/>
  <c r="AH31" i="15"/>
  <c r="AG31" i="15"/>
  <c r="AF31" i="15"/>
  <c r="AH30" i="15"/>
  <c r="AG30" i="15"/>
  <c r="AF30" i="15"/>
  <c r="AH29" i="15"/>
  <c r="AG29" i="15"/>
  <c r="AF29" i="15"/>
  <c r="AH28" i="15"/>
  <c r="AG28" i="15"/>
  <c r="AF28" i="15"/>
  <c r="AH27" i="15"/>
  <c r="AG27" i="15"/>
  <c r="AF27" i="15"/>
  <c r="AH26" i="15"/>
  <c r="AG26" i="15"/>
  <c r="AF26" i="15"/>
  <c r="AH25" i="15"/>
  <c r="AG25" i="15"/>
  <c r="AF25" i="15"/>
  <c r="AH24" i="15"/>
  <c r="AG24" i="15"/>
  <c r="AF24" i="15"/>
  <c r="AH23" i="15"/>
  <c r="AG23" i="15"/>
  <c r="AF23" i="15"/>
  <c r="AH22" i="15"/>
  <c r="AG22" i="15"/>
  <c r="AF22" i="15"/>
  <c r="AH21" i="15"/>
  <c r="AG21" i="15"/>
  <c r="AF21" i="15"/>
  <c r="AH20" i="15"/>
  <c r="AG20" i="15"/>
  <c r="AF20" i="15"/>
  <c r="AH19" i="15"/>
  <c r="AG19" i="15"/>
  <c r="AF19" i="15"/>
  <c r="AH18" i="15"/>
  <c r="AG18" i="15"/>
  <c r="AF18" i="15"/>
  <c r="AD76" i="15"/>
  <c r="AC76" i="15"/>
  <c r="AB76" i="15"/>
  <c r="AD75" i="15"/>
  <c r="AC75" i="15"/>
  <c r="AB75" i="15"/>
  <c r="AD74" i="15"/>
  <c r="AC74" i="15"/>
  <c r="AB74" i="15"/>
  <c r="AD73" i="15"/>
  <c r="AC73" i="15"/>
  <c r="AB73" i="15"/>
  <c r="AD72" i="15"/>
  <c r="AC72" i="15"/>
  <c r="AB72" i="15"/>
  <c r="AD71" i="15"/>
  <c r="AC71" i="15"/>
  <c r="AB71" i="15"/>
  <c r="AD70" i="15"/>
  <c r="AC70" i="15"/>
  <c r="AB70" i="15"/>
  <c r="AD69" i="15"/>
  <c r="AC69" i="15"/>
  <c r="AB69" i="15"/>
  <c r="AD68" i="15"/>
  <c r="AC68" i="15"/>
  <c r="AB68" i="15"/>
  <c r="AD67" i="15"/>
  <c r="AC67" i="15"/>
  <c r="AB67" i="15"/>
  <c r="AD66" i="15"/>
  <c r="AC66" i="15"/>
  <c r="AB66" i="15"/>
  <c r="AD65" i="15"/>
  <c r="AC65" i="15"/>
  <c r="AB65" i="15"/>
  <c r="AD64" i="15"/>
  <c r="AC64" i="15"/>
  <c r="AB64" i="15"/>
  <c r="AD63" i="15"/>
  <c r="AC63" i="15"/>
  <c r="AB63" i="15"/>
  <c r="AD62" i="15"/>
  <c r="AC62" i="15"/>
  <c r="AB62" i="15"/>
  <c r="AD61" i="15"/>
  <c r="AC61" i="15"/>
  <c r="AB61" i="15"/>
  <c r="AD60" i="15"/>
  <c r="AC60" i="15"/>
  <c r="AB60" i="15"/>
  <c r="AD59" i="15"/>
  <c r="AC59" i="15"/>
  <c r="AB59" i="15"/>
  <c r="AD58" i="15"/>
  <c r="AC58" i="15"/>
  <c r="AB58" i="15"/>
  <c r="AD57" i="15"/>
  <c r="AC57" i="15"/>
  <c r="AB57" i="15"/>
  <c r="AD56" i="15"/>
  <c r="AC56" i="15"/>
  <c r="AB56" i="15"/>
  <c r="AD55" i="15"/>
  <c r="AC55" i="15"/>
  <c r="AB55" i="15"/>
  <c r="AD54" i="15"/>
  <c r="AC54" i="15"/>
  <c r="AB54" i="15"/>
  <c r="AD53" i="15"/>
  <c r="AC53" i="15"/>
  <c r="AB53" i="15"/>
  <c r="AD52" i="15"/>
  <c r="AC52" i="15"/>
  <c r="AB52" i="15"/>
  <c r="AD51" i="15"/>
  <c r="AC51" i="15"/>
  <c r="AB51" i="15"/>
  <c r="AD50" i="15"/>
  <c r="AC50" i="15"/>
  <c r="AB50" i="15"/>
  <c r="AD49" i="15"/>
  <c r="AC49" i="15"/>
  <c r="AB49" i="15"/>
  <c r="AD48" i="15"/>
  <c r="AC48" i="15"/>
  <c r="AB48" i="15"/>
  <c r="AD47" i="15"/>
  <c r="AC47" i="15"/>
  <c r="AB47" i="15"/>
  <c r="AD46" i="15"/>
  <c r="AC46" i="15"/>
  <c r="AB46" i="15"/>
  <c r="AD45" i="15"/>
  <c r="AC45" i="15"/>
  <c r="AB45" i="15"/>
  <c r="AD44" i="15"/>
  <c r="AC44" i="15"/>
  <c r="AB44" i="15"/>
  <c r="AD43" i="15"/>
  <c r="AC43" i="15"/>
  <c r="AB43" i="15"/>
  <c r="AD42" i="15"/>
  <c r="AC42" i="15"/>
  <c r="AB42" i="15"/>
  <c r="AD41" i="15"/>
  <c r="AC41" i="15"/>
  <c r="AB41" i="15"/>
  <c r="AD40" i="15"/>
  <c r="AC40" i="15"/>
  <c r="AB40" i="15"/>
  <c r="AD39" i="15"/>
  <c r="AC39" i="15"/>
  <c r="AB39" i="15"/>
  <c r="AD38" i="15"/>
  <c r="AC38" i="15"/>
  <c r="AB38" i="15"/>
  <c r="AD37" i="15"/>
  <c r="AC37" i="15"/>
  <c r="AB37" i="15"/>
  <c r="AD36" i="15"/>
  <c r="AC36" i="15"/>
  <c r="AB36" i="15"/>
  <c r="AD35" i="15"/>
  <c r="AC35" i="15"/>
  <c r="AB35" i="15"/>
  <c r="AD34" i="15"/>
  <c r="AC34" i="15"/>
  <c r="AB34" i="15"/>
  <c r="AD33" i="15"/>
  <c r="AC33" i="15"/>
  <c r="AB33" i="15"/>
  <c r="AD32" i="15"/>
  <c r="AC32" i="15"/>
  <c r="AB32" i="15"/>
  <c r="AD31" i="15"/>
  <c r="AC31" i="15"/>
  <c r="AB31" i="15"/>
  <c r="AD30" i="15"/>
  <c r="AC30" i="15"/>
  <c r="AB30" i="15"/>
  <c r="AD29" i="15"/>
  <c r="AC29" i="15"/>
  <c r="AB29" i="15"/>
  <c r="AD28" i="15"/>
  <c r="AC28" i="15"/>
  <c r="AB28" i="15"/>
  <c r="AD27" i="15"/>
  <c r="AC27" i="15"/>
  <c r="AB27" i="15"/>
  <c r="AD26" i="15"/>
  <c r="AC26" i="15"/>
  <c r="AB26" i="15"/>
  <c r="AD25" i="15"/>
  <c r="AC25" i="15"/>
  <c r="AB25" i="15"/>
  <c r="AD24" i="15"/>
  <c r="AC24" i="15"/>
  <c r="AB24" i="15"/>
  <c r="AD23" i="15"/>
  <c r="AC23" i="15"/>
  <c r="AB23" i="15"/>
  <c r="AD22" i="15"/>
  <c r="AC22" i="15"/>
  <c r="AB22" i="15"/>
  <c r="AD21" i="15"/>
  <c r="AC21" i="15"/>
  <c r="AB21" i="15"/>
  <c r="AD20" i="15"/>
  <c r="AC20" i="15"/>
  <c r="AB20" i="15"/>
  <c r="AD19" i="15"/>
  <c r="AC19" i="15"/>
  <c r="AB19" i="15"/>
  <c r="AD18" i="15"/>
  <c r="AC18" i="15"/>
  <c r="AB18" i="15"/>
  <c r="Z76" i="15"/>
  <c r="Y76" i="15"/>
  <c r="X76" i="15"/>
  <c r="Z75" i="15"/>
  <c r="Y75" i="15"/>
  <c r="X75" i="15"/>
  <c r="Z74" i="15"/>
  <c r="Y74" i="15"/>
  <c r="X74" i="15"/>
  <c r="Z73" i="15"/>
  <c r="Y73" i="15"/>
  <c r="X73" i="15"/>
  <c r="Z72" i="15"/>
  <c r="Y72" i="15"/>
  <c r="X72" i="15"/>
  <c r="Z71" i="15"/>
  <c r="Y71" i="15"/>
  <c r="X71" i="15"/>
  <c r="Z70" i="15"/>
  <c r="Y70" i="15"/>
  <c r="X70" i="15"/>
  <c r="Z69" i="15"/>
  <c r="Y69" i="15"/>
  <c r="X69" i="15"/>
  <c r="Z68" i="15"/>
  <c r="Y68" i="15"/>
  <c r="X68" i="15"/>
  <c r="Z67" i="15"/>
  <c r="Y67" i="15"/>
  <c r="X67" i="15"/>
  <c r="Z66" i="15"/>
  <c r="Y66" i="15"/>
  <c r="X66" i="15"/>
  <c r="Z65" i="15"/>
  <c r="Y65" i="15"/>
  <c r="X65" i="15"/>
  <c r="Z64" i="15"/>
  <c r="Y64" i="15"/>
  <c r="X64" i="15"/>
  <c r="Z63" i="15"/>
  <c r="Y63" i="15"/>
  <c r="X63" i="15"/>
  <c r="Z62" i="15"/>
  <c r="Y62" i="15"/>
  <c r="X62" i="15"/>
  <c r="Z61" i="15"/>
  <c r="Y61" i="15"/>
  <c r="X61" i="15"/>
  <c r="Z60" i="15"/>
  <c r="Y60" i="15"/>
  <c r="X60" i="15"/>
  <c r="Z59" i="15"/>
  <c r="Y59" i="15"/>
  <c r="X59" i="15"/>
  <c r="Z58" i="15"/>
  <c r="Y58" i="15"/>
  <c r="X58" i="15"/>
  <c r="Z57" i="15"/>
  <c r="Y57" i="15"/>
  <c r="X57" i="15"/>
  <c r="Z56" i="15"/>
  <c r="Y56" i="15"/>
  <c r="X56" i="15"/>
  <c r="Z55" i="15"/>
  <c r="Y55" i="15"/>
  <c r="X55" i="15"/>
  <c r="Z54" i="15"/>
  <c r="Y54" i="15"/>
  <c r="X54" i="15"/>
  <c r="Z53" i="15"/>
  <c r="Y53" i="15"/>
  <c r="X53" i="15"/>
  <c r="Z52" i="15"/>
  <c r="Y52" i="15"/>
  <c r="X52" i="15"/>
  <c r="Z51" i="15"/>
  <c r="Y51" i="15"/>
  <c r="X51" i="15"/>
  <c r="Z50" i="15"/>
  <c r="Y50" i="15"/>
  <c r="X50" i="15"/>
  <c r="Z49" i="15"/>
  <c r="Y49" i="15"/>
  <c r="X49" i="15"/>
  <c r="Z48" i="15"/>
  <c r="Y48" i="15"/>
  <c r="X48" i="15"/>
  <c r="Z47" i="15"/>
  <c r="Y47" i="15"/>
  <c r="X47" i="15"/>
  <c r="Z46" i="15"/>
  <c r="Y46" i="15"/>
  <c r="X46" i="15"/>
  <c r="Z45" i="15"/>
  <c r="Y45" i="15"/>
  <c r="X45" i="15"/>
  <c r="Z44" i="15"/>
  <c r="Y44" i="15"/>
  <c r="X44" i="15"/>
  <c r="Z43" i="15"/>
  <c r="Y43" i="15"/>
  <c r="X43" i="15"/>
  <c r="Z42" i="15"/>
  <c r="Y42" i="15"/>
  <c r="X42" i="15"/>
  <c r="Z41" i="15"/>
  <c r="Y41" i="15"/>
  <c r="X41" i="15"/>
  <c r="Z40" i="15"/>
  <c r="Y40" i="15"/>
  <c r="X40" i="15"/>
  <c r="Z39" i="15"/>
  <c r="Y39" i="15"/>
  <c r="X39" i="15"/>
  <c r="Z38" i="15"/>
  <c r="Y38" i="15"/>
  <c r="X38" i="15"/>
  <c r="Z37" i="15"/>
  <c r="Y37" i="15"/>
  <c r="X37" i="15"/>
  <c r="Z36" i="15"/>
  <c r="Y36" i="15"/>
  <c r="X36" i="15"/>
  <c r="Z35" i="15"/>
  <c r="Y35" i="15"/>
  <c r="X35" i="15"/>
  <c r="Z34" i="15"/>
  <c r="Y34" i="15"/>
  <c r="X34" i="15"/>
  <c r="Z33" i="15"/>
  <c r="Y33" i="15"/>
  <c r="X33" i="15"/>
  <c r="Z32" i="15"/>
  <c r="Y32" i="15"/>
  <c r="X32" i="15"/>
  <c r="Z31" i="15"/>
  <c r="Y31" i="15"/>
  <c r="X31" i="15"/>
  <c r="Z30" i="15"/>
  <c r="Y30" i="15"/>
  <c r="X30" i="15"/>
  <c r="Z29" i="15"/>
  <c r="Y29" i="15"/>
  <c r="X29" i="15"/>
  <c r="Z28" i="15"/>
  <c r="Y28" i="15"/>
  <c r="X28" i="15"/>
  <c r="Z27" i="15"/>
  <c r="Y27" i="15"/>
  <c r="X27" i="15"/>
  <c r="Z26" i="15"/>
  <c r="Y26" i="15"/>
  <c r="X26" i="15"/>
  <c r="Z25" i="15"/>
  <c r="Y25" i="15"/>
  <c r="X25" i="15"/>
  <c r="Z24" i="15"/>
  <c r="Y24" i="15"/>
  <c r="X24" i="15"/>
  <c r="Z23" i="15"/>
  <c r="Y23" i="15"/>
  <c r="X23" i="15"/>
  <c r="Z22" i="15"/>
  <c r="Y22" i="15"/>
  <c r="X22" i="15"/>
  <c r="Z21" i="15"/>
  <c r="Y21" i="15"/>
  <c r="X21" i="15"/>
  <c r="Z20" i="15"/>
  <c r="Y20" i="15"/>
  <c r="X20" i="15"/>
  <c r="Z19" i="15"/>
  <c r="Y19" i="15"/>
  <c r="X19" i="15"/>
  <c r="Z18" i="15"/>
  <c r="Y18" i="15"/>
  <c r="X18" i="15"/>
  <c r="V76" i="15"/>
  <c r="U76" i="15"/>
  <c r="T76" i="15"/>
  <c r="V75" i="15"/>
  <c r="U75" i="15"/>
  <c r="T75" i="15"/>
  <c r="V74" i="15"/>
  <c r="U74" i="15"/>
  <c r="T74" i="15"/>
  <c r="V73" i="15"/>
  <c r="U73" i="15"/>
  <c r="T73" i="15"/>
  <c r="V72" i="15"/>
  <c r="U72" i="15"/>
  <c r="T72" i="15"/>
  <c r="V71" i="15"/>
  <c r="U71" i="15"/>
  <c r="T71" i="15"/>
  <c r="V70" i="15"/>
  <c r="U70" i="15"/>
  <c r="T70" i="15"/>
  <c r="V69" i="15"/>
  <c r="U69" i="15"/>
  <c r="T69" i="15"/>
  <c r="V68" i="15"/>
  <c r="U68" i="15"/>
  <c r="T68" i="15"/>
  <c r="V67" i="15"/>
  <c r="U67" i="15"/>
  <c r="T67" i="15"/>
  <c r="V66" i="15"/>
  <c r="U66" i="15"/>
  <c r="T66" i="15"/>
  <c r="V65" i="15"/>
  <c r="U65" i="15"/>
  <c r="T65" i="15"/>
  <c r="V64" i="15"/>
  <c r="U64" i="15"/>
  <c r="T64" i="15"/>
  <c r="V63" i="15"/>
  <c r="U63" i="15"/>
  <c r="T63" i="15"/>
  <c r="V62" i="15"/>
  <c r="U62" i="15"/>
  <c r="T62" i="15"/>
  <c r="V61" i="15"/>
  <c r="U61" i="15"/>
  <c r="T61" i="15"/>
  <c r="V60" i="15"/>
  <c r="U60" i="15"/>
  <c r="T60" i="15"/>
  <c r="V59" i="15"/>
  <c r="U59" i="15"/>
  <c r="T59" i="15"/>
  <c r="V58" i="15"/>
  <c r="U58" i="15"/>
  <c r="T58" i="15"/>
  <c r="V57" i="15"/>
  <c r="U57" i="15"/>
  <c r="T57" i="15"/>
  <c r="V56" i="15"/>
  <c r="U56" i="15"/>
  <c r="T56" i="15"/>
  <c r="V55" i="15"/>
  <c r="U55" i="15"/>
  <c r="T55" i="15"/>
  <c r="V54" i="15"/>
  <c r="U54" i="15"/>
  <c r="T54" i="15"/>
  <c r="V53" i="15"/>
  <c r="U53" i="15"/>
  <c r="T53" i="15"/>
  <c r="V52" i="15"/>
  <c r="U52" i="15"/>
  <c r="T52" i="15"/>
  <c r="V51" i="15"/>
  <c r="U51" i="15"/>
  <c r="T51" i="15"/>
  <c r="V50" i="15"/>
  <c r="U50" i="15"/>
  <c r="T50" i="15"/>
  <c r="V49" i="15"/>
  <c r="U49" i="15"/>
  <c r="T49" i="15"/>
  <c r="V48" i="15"/>
  <c r="U48" i="15"/>
  <c r="T48" i="15"/>
  <c r="V47" i="15"/>
  <c r="U47" i="15"/>
  <c r="T47" i="15"/>
  <c r="V46" i="15"/>
  <c r="U46" i="15"/>
  <c r="T46" i="15"/>
  <c r="V45" i="15"/>
  <c r="U45" i="15"/>
  <c r="T45" i="15"/>
  <c r="V44" i="15"/>
  <c r="U44" i="15"/>
  <c r="T44" i="15"/>
  <c r="V43" i="15"/>
  <c r="U43" i="15"/>
  <c r="T43" i="15"/>
  <c r="V42" i="15"/>
  <c r="U42" i="15"/>
  <c r="T42" i="15"/>
  <c r="V41" i="15"/>
  <c r="U41" i="15"/>
  <c r="T41" i="15"/>
  <c r="V40" i="15"/>
  <c r="U40" i="15"/>
  <c r="T40" i="15"/>
  <c r="V39" i="15"/>
  <c r="U39" i="15"/>
  <c r="T39" i="15"/>
  <c r="V38" i="15"/>
  <c r="U38" i="15"/>
  <c r="T38" i="15"/>
  <c r="V37" i="15"/>
  <c r="U37" i="15"/>
  <c r="T37" i="15"/>
  <c r="V36" i="15"/>
  <c r="U36" i="15"/>
  <c r="T36" i="15"/>
  <c r="V35" i="15"/>
  <c r="U35" i="15"/>
  <c r="T35" i="15"/>
  <c r="V34" i="15"/>
  <c r="U34" i="15"/>
  <c r="T34" i="15"/>
  <c r="V33" i="15"/>
  <c r="U33" i="15"/>
  <c r="T33" i="15"/>
  <c r="V32" i="15"/>
  <c r="U32" i="15"/>
  <c r="T32" i="15"/>
  <c r="V31" i="15"/>
  <c r="U31" i="15"/>
  <c r="T31" i="15"/>
  <c r="V30" i="15"/>
  <c r="U30" i="15"/>
  <c r="T30" i="15"/>
  <c r="V29" i="15"/>
  <c r="U29" i="15"/>
  <c r="T29" i="15"/>
  <c r="V28" i="15"/>
  <c r="U28" i="15"/>
  <c r="T28" i="15"/>
  <c r="V27" i="15"/>
  <c r="U27" i="15"/>
  <c r="T27" i="15"/>
  <c r="V26" i="15"/>
  <c r="U26" i="15"/>
  <c r="T26" i="15"/>
  <c r="V25" i="15"/>
  <c r="U25" i="15"/>
  <c r="T25" i="15"/>
  <c r="V24" i="15"/>
  <c r="U24" i="15"/>
  <c r="T24" i="15"/>
  <c r="V23" i="15"/>
  <c r="U23" i="15"/>
  <c r="T23" i="15"/>
  <c r="V22" i="15"/>
  <c r="U22" i="15"/>
  <c r="T22" i="15"/>
  <c r="V21" i="15"/>
  <c r="U21" i="15"/>
  <c r="T21" i="15"/>
  <c r="V20" i="15"/>
  <c r="U20" i="15"/>
  <c r="T20" i="15"/>
  <c r="V19" i="15"/>
  <c r="U19" i="15"/>
  <c r="T19" i="15"/>
  <c r="V18" i="15"/>
  <c r="U18" i="15"/>
  <c r="T18" i="15"/>
  <c r="R76" i="15"/>
  <c r="Q76" i="15"/>
  <c r="P76" i="15"/>
  <c r="R75" i="15"/>
  <c r="Q75" i="15"/>
  <c r="P75" i="15"/>
  <c r="R74" i="15"/>
  <c r="Q74" i="15"/>
  <c r="P74" i="15"/>
  <c r="R73" i="15"/>
  <c r="Q73" i="15"/>
  <c r="P73" i="15"/>
  <c r="R72" i="15"/>
  <c r="Q72" i="15"/>
  <c r="P72" i="15"/>
  <c r="R71" i="15"/>
  <c r="Q71" i="15"/>
  <c r="P71" i="15"/>
  <c r="R70" i="15"/>
  <c r="Q70" i="15"/>
  <c r="P70" i="15"/>
  <c r="R69" i="15"/>
  <c r="Q69" i="15"/>
  <c r="P69" i="15"/>
  <c r="R68" i="15"/>
  <c r="Q68" i="15"/>
  <c r="P68" i="15"/>
  <c r="R67" i="15"/>
  <c r="Q67" i="15"/>
  <c r="P67" i="15"/>
  <c r="R66" i="15"/>
  <c r="Q66" i="15"/>
  <c r="P66" i="15"/>
  <c r="R65" i="15"/>
  <c r="Q65" i="15"/>
  <c r="P65" i="15"/>
  <c r="R64" i="15"/>
  <c r="Q64" i="15"/>
  <c r="P64" i="15"/>
  <c r="R63" i="15"/>
  <c r="Q63" i="15"/>
  <c r="P63" i="15"/>
  <c r="R62" i="15"/>
  <c r="Q62" i="15"/>
  <c r="P62" i="15"/>
  <c r="R61" i="15"/>
  <c r="Q61" i="15"/>
  <c r="P61" i="15"/>
  <c r="R60" i="15"/>
  <c r="Q60" i="15"/>
  <c r="P60" i="15"/>
  <c r="R59" i="15"/>
  <c r="Q59" i="15"/>
  <c r="P59" i="15"/>
  <c r="R58" i="15"/>
  <c r="Q58" i="15"/>
  <c r="P58" i="15"/>
  <c r="R57" i="15"/>
  <c r="Q57" i="15"/>
  <c r="P57" i="15"/>
  <c r="R56" i="15"/>
  <c r="Q56" i="15"/>
  <c r="P56" i="15"/>
  <c r="R55" i="15"/>
  <c r="Q55" i="15"/>
  <c r="P55" i="15"/>
  <c r="R54" i="15"/>
  <c r="Q54" i="15"/>
  <c r="P54" i="15"/>
  <c r="R53" i="15"/>
  <c r="Q53" i="15"/>
  <c r="P53" i="15"/>
  <c r="R52" i="15"/>
  <c r="Q52" i="15"/>
  <c r="P52" i="15"/>
  <c r="R51" i="15"/>
  <c r="Q51" i="15"/>
  <c r="P51" i="15"/>
  <c r="R50" i="15"/>
  <c r="Q50" i="15"/>
  <c r="P50" i="15"/>
  <c r="R49" i="15"/>
  <c r="Q49" i="15"/>
  <c r="P49" i="15"/>
  <c r="R48" i="15"/>
  <c r="Q48" i="15"/>
  <c r="P48" i="15"/>
  <c r="R47" i="15"/>
  <c r="Q47" i="15"/>
  <c r="P47" i="15"/>
  <c r="R46" i="15"/>
  <c r="Q46" i="15"/>
  <c r="P46" i="15"/>
  <c r="R45" i="15"/>
  <c r="Q45" i="15"/>
  <c r="P45" i="15"/>
  <c r="R44" i="15"/>
  <c r="Q44" i="15"/>
  <c r="P44" i="15"/>
  <c r="R43" i="15"/>
  <c r="Q43" i="15"/>
  <c r="P43" i="15"/>
  <c r="R42" i="15"/>
  <c r="Q42" i="15"/>
  <c r="P42" i="15"/>
  <c r="R41" i="15"/>
  <c r="Q41" i="15"/>
  <c r="P41" i="15"/>
  <c r="R40" i="15"/>
  <c r="Q40" i="15"/>
  <c r="P40" i="15"/>
  <c r="R39" i="15"/>
  <c r="Q39" i="15"/>
  <c r="P39" i="15"/>
  <c r="R38" i="15"/>
  <c r="Q38" i="15"/>
  <c r="P38" i="15"/>
  <c r="R37" i="15"/>
  <c r="Q37" i="15"/>
  <c r="P37" i="15"/>
  <c r="R36" i="15"/>
  <c r="Q36" i="15"/>
  <c r="P36" i="15"/>
  <c r="R35" i="15"/>
  <c r="Q35" i="15"/>
  <c r="P35" i="15"/>
  <c r="R34" i="15"/>
  <c r="Q34" i="15"/>
  <c r="P34" i="15"/>
  <c r="R33" i="15"/>
  <c r="Q33" i="15"/>
  <c r="P33" i="15"/>
  <c r="R32" i="15"/>
  <c r="Q32" i="15"/>
  <c r="P32" i="15"/>
  <c r="R31" i="15"/>
  <c r="Q31" i="15"/>
  <c r="P31" i="15"/>
  <c r="R30" i="15"/>
  <c r="Q30" i="15"/>
  <c r="P30" i="15"/>
  <c r="R29" i="15"/>
  <c r="Q29" i="15"/>
  <c r="P29" i="15"/>
  <c r="R28" i="15"/>
  <c r="Q28" i="15"/>
  <c r="P28" i="15"/>
  <c r="R27" i="15"/>
  <c r="Q27" i="15"/>
  <c r="P27" i="15"/>
  <c r="R26" i="15"/>
  <c r="Q26" i="15"/>
  <c r="P26" i="15"/>
  <c r="R25" i="15"/>
  <c r="Q25" i="15"/>
  <c r="P25" i="15"/>
  <c r="R24" i="15"/>
  <c r="Q24" i="15"/>
  <c r="P24" i="15"/>
  <c r="R23" i="15"/>
  <c r="Q23" i="15"/>
  <c r="P23" i="15"/>
  <c r="R22" i="15"/>
  <c r="Q22" i="15"/>
  <c r="P22" i="15"/>
  <c r="R21" i="15"/>
  <c r="Q21" i="15"/>
  <c r="P21" i="15"/>
  <c r="R20" i="15"/>
  <c r="Q20" i="15"/>
  <c r="P20" i="15"/>
  <c r="R19" i="15"/>
  <c r="Q19" i="15"/>
  <c r="P19" i="15"/>
  <c r="R18" i="15"/>
  <c r="Q18" i="15"/>
  <c r="P18" i="15"/>
  <c r="N76" i="15"/>
  <c r="M76" i="15"/>
  <c r="L76" i="15"/>
  <c r="N75" i="15"/>
  <c r="M75" i="15"/>
  <c r="L75" i="15"/>
  <c r="N74" i="15"/>
  <c r="M74" i="15"/>
  <c r="L74" i="15"/>
  <c r="N73" i="15"/>
  <c r="M73" i="15"/>
  <c r="L73" i="15"/>
  <c r="N72" i="15"/>
  <c r="M72" i="15"/>
  <c r="L72" i="15"/>
  <c r="N71" i="15"/>
  <c r="M71" i="15"/>
  <c r="L71" i="15"/>
  <c r="N70" i="15"/>
  <c r="M70" i="15"/>
  <c r="L70" i="15"/>
  <c r="N69" i="15"/>
  <c r="M69" i="15"/>
  <c r="L69" i="15"/>
  <c r="N68" i="15"/>
  <c r="M68" i="15"/>
  <c r="L68" i="15"/>
  <c r="N67" i="15"/>
  <c r="M67" i="15"/>
  <c r="L67" i="15"/>
  <c r="N66" i="15"/>
  <c r="M66" i="15"/>
  <c r="L66" i="15"/>
  <c r="N65" i="15"/>
  <c r="M65" i="15"/>
  <c r="L65" i="15"/>
  <c r="N64" i="15"/>
  <c r="M64" i="15"/>
  <c r="L64" i="15"/>
  <c r="N63" i="15"/>
  <c r="M63" i="15"/>
  <c r="L63" i="15"/>
  <c r="N62" i="15"/>
  <c r="M62" i="15"/>
  <c r="L62" i="15"/>
  <c r="N61" i="15"/>
  <c r="M61" i="15"/>
  <c r="L61" i="15"/>
  <c r="N60" i="15"/>
  <c r="M60" i="15"/>
  <c r="L60" i="15"/>
  <c r="N59" i="15"/>
  <c r="M59" i="15"/>
  <c r="L59" i="15"/>
  <c r="N58" i="15"/>
  <c r="M58" i="15"/>
  <c r="L58" i="15"/>
  <c r="N57" i="15"/>
  <c r="M57" i="15"/>
  <c r="L57" i="15"/>
  <c r="N56" i="15"/>
  <c r="M56" i="15"/>
  <c r="L56" i="15"/>
  <c r="N55" i="15"/>
  <c r="M55" i="15"/>
  <c r="L55" i="15"/>
  <c r="N54" i="15"/>
  <c r="M54" i="15"/>
  <c r="L54" i="15"/>
  <c r="N53" i="15"/>
  <c r="M53" i="15"/>
  <c r="L53" i="15"/>
  <c r="N52" i="15"/>
  <c r="M52" i="15"/>
  <c r="L52" i="15"/>
  <c r="N51" i="15"/>
  <c r="M51" i="15"/>
  <c r="L51" i="15"/>
  <c r="N50" i="15"/>
  <c r="M50" i="15"/>
  <c r="L50" i="15"/>
  <c r="N49" i="15"/>
  <c r="M49" i="15"/>
  <c r="L49" i="15"/>
  <c r="N48" i="15"/>
  <c r="M48" i="15"/>
  <c r="L48" i="15"/>
  <c r="N47" i="15"/>
  <c r="M47" i="15"/>
  <c r="L47" i="15"/>
  <c r="N46" i="15"/>
  <c r="M46" i="15"/>
  <c r="L46" i="15"/>
  <c r="N45" i="15"/>
  <c r="M45" i="15"/>
  <c r="L45" i="15"/>
  <c r="N44" i="15"/>
  <c r="M44" i="15"/>
  <c r="L44" i="15"/>
  <c r="N43" i="15"/>
  <c r="M43" i="15"/>
  <c r="L43" i="15"/>
  <c r="N42" i="15"/>
  <c r="M42" i="15"/>
  <c r="L42" i="15"/>
  <c r="N41" i="15"/>
  <c r="M41" i="15"/>
  <c r="L41" i="15"/>
  <c r="N40" i="15"/>
  <c r="M40" i="15"/>
  <c r="L40" i="15"/>
  <c r="N39" i="15"/>
  <c r="M39" i="15"/>
  <c r="L39" i="15"/>
  <c r="N38" i="15"/>
  <c r="M38" i="15"/>
  <c r="L38" i="15"/>
  <c r="N37" i="15"/>
  <c r="M37" i="15"/>
  <c r="L37" i="15"/>
  <c r="N36" i="15"/>
  <c r="M36" i="15"/>
  <c r="L36" i="15"/>
  <c r="N35" i="15"/>
  <c r="M35" i="15"/>
  <c r="L35" i="15"/>
  <c r="N34" i="15"/>
  <c r="M34" i="15"/>
  <c r="L34" i="15"/>
  <c r="N33" i="15"/>
  <c r="M33" i="15"/>
  <c r="L33" i="15"/>
  <c r="N32" i="15"/>
  <c r="M32" i="15"/>
  <c r="L32" i="15"/>
  <c r="N31" i="15"/>
  <c r="M31" i="15"/>
  <c r="L31" i="15"/>
  <c r="N30" i="15"/>
  <c r="M30" i="15"/>
  <c r="L30" i="15"/>
  <c r="N29" i="15"/>
  <c r="M29" i="15"/>
  <c r="L29" i="15"/>
  <c r="N28" i="15"/>
  <c r="M28" i="15"/>
  <c r="L28" i="15"/>
  <c r="N27" i="15"/>
  <c r="M27" i="15"/>
  <c r="L27" i="15"/>
  <c r="N26" i="15"/>
  <c r="M26" i="15"/>
  <c r="L26" i="15"/>
  <c r="N25" i="15"/>
  <c r="M25" i="15"/>
  <c r="L25" i="15"/>
  <c r="N24" i="15"/>
  <c r="M24" i="15"/>
  <c r="L24" i="15"/>
  <c r="N23" i="15"/>
  <c r="M23" i="15"/>
  <c r="L23" i="15"/>
  <c r="N22" i="15"/>
  <c r="M22" i="15"/>
  <c r="L22" i="15"/>
  <c r="N21" i="15"/>
  <c r="M21" i="15"/>
  <c r="L21" i="15"/>
  <c r="N20" i="15"/>
  <c r="M20" i="15"/>
  <c r="L20" i="15"/>
  <c r="N19" i="15"/>
  <c r="M19" i="15"/>
  <c r="L19" i="15"/>
  <c r="N18" i="15"/>
  <c r="M18" i="15"/>
  <c r="L18" i="15"/>
  <c r="J76" i="15"/>
  <c r="I76" i="15"/>
  <c r="H76" i="15"/>
  <c r="J75" i="15"/>
  <c r="I75" i="15"/>
  <c r="H75" i="15"/>
  <c r="J74" i="15"/>
  <c r="I74" i="15"/>
  <c r="H74" i="15"/>
  <c r="J73" i="15"/>
  <c r="I73" i="15"/>
  <c r="H73" i="15"/>
  <c r="J72" i="15"/>
  <c r="I72" i="15"/>
  <c r="H72" i="15"/>
  <c r="J71" i="15"/>
  <c r="I71" i="15"/>
  <c r="H71" i="15"/>
  <c r="J70" i="15"/>
  <c r="I70" i="15"/>
  <c r="H70" i="15"/>
  <c r="J69" i="15"/>
  <c r="I69" i="15"/>
  <c r="H69" i="15"/>
  <c r="J68" i="15"/>
  <c r="I68" i="15"/>
  <c r="H68" i="15"/>
  <c r="J67" i="15"/>
  <c r="I67" i="15"/>
  <c r="H67" i="15"/>
  <c r="J66" i="15"/>
  <c r="I66" i="15"/>
  <c r="H66" i="15"/>
  <c r="J65" i="15"/>
  <c r="I65" i="15"/>
  <c r="H65" i="15"/>
  <c r="J64" i="15"/>
  <c r="I64" i="15"/>
  <c r="H64" i="15"/>
  <c r="J63" i="15"/>
  <c r="I63" i="15"/>
  <c r="H63" i="15"/>
  <c r="J62" i="15"/>
  <c r="I62" i="15"/>
  <c r="H62" i="15"/>
  <c r="J61" i="15"/>
  <c r="I61" i="15"/>
  <c r="H61" i="15"/>
  <c r="J60" i="15"/>
  <c r="I60" i="15"/>
  <c r="H60" i="15"/>
  <c r="J59" i="15"/>
  <c r="I59" i="15"/>
  <c r="H59" i="15"/>
  <c r="J58" i="15"/>
  <c r="I58" i="15"/>
  <c r="H58" i="15"/>
  <c r="J57" i="15"/>
  <c r="I57" i="15"/>
  <c r="H57" i="15"/>
  <c r="J56" i="15"/>
  <c r="I56" i="15"/>
  <c r="H56" i="15"/>
  <c r="J55" i="15"/>
  <c r="I55" i="15"/>
  <c r="H55" i="15"/>
  <c r="J54" i="15"/>
  <c r="I54" i="15"/>
  <c r="H54" i="15"/>
  <c r="J53" i="15"/>
  <c r="I53" i="15"/>
  <c r="H53" i="15"/>
  <c r="J52" i="15"/>
  <c r="I52" i="15"/>
  <c r="H52" i="15"/>
  <c r="J51" i="15"/>
  <c r="I51" i="15"/>
  <c r="H51" i="15"/>
  <c r="J50" i="15"/>
  <c r="I50" i="15"/>
  <c r="H50" i="15"/>
  <c r="J49" i="15"/>
  <c r="I49" i="15"/>
  <c r="H49" i="15"/>
  <c r="J48" i="15"/>
  <c r="I48" i="15"/>
  <c r="H48" i="15"/>
  <c r="J47" i="15"/>
  <c r="I47" i="15"/>
  <c r="H47" i="15"/>
  <c r="J46" i="15"/>
  <c r="I46" i="15"/>
  <c r="H46" i="15"/>
  <c r="J45" i="15"/>
  <c r="I45" i="15"/>
  <c r="H45" i="15"/>
  <c r="J44" i="15"/>
  <c r="I44" i="15"/>
  <c r="H44" i="15"/>
  <c r="J43" i="15"/>
  <c r="I43" i="15"/>
  <c r="H43" i="15"/>
  <c r="J42" i="15"/>
  <c r="I42" i="15"/>
  <c r="H42" i="15"/>
  <c r="J41" i="15"/>
  <c r="I41" i="15"/>
  <c r="H41" i="15"/>
  <c r="J40" i="15"/>
  <c r="I40" i="15"/>
  <c r="H40" i="15"/>
  <c r="J39" i="15"/>
  <c r="I39" i="15"/>
  <c r="H39" i="15"/>
  <c r="J38" i="15"/>
  <c r="I38" i="15"/>
  <c r="H38" i="15"/>
  <c r="J37" i="15"/>
  <c r="I37" i="15"/>
  <c r="H37" i="15"/>
  <c r="J36" i="15"/>
  <c r="I36" i="15"/>
  <c r="H36" i="15"/>
  <c r="J35" i="15"/>
  <c r="I35" i="15"/>
  <c r="H35" i="15"/>
  <c r="J34" i="15"/>
  <c r="I34" i="15"/>
  <c r="H34" i="15"/>
  <c r="J33" i="15"/>
  <c r="I33" i="15"/>
  <c r="H33" i="15"/>
  <c r="J32" i="15"/>
  <c r="I32" i="15"/>
  <c r="H32" i="15"/>
  <c r="J31" i="15"/>
  <c r="I31" i="15"/>
  <c r="H31" i="15"/>
  <c r="J30" i="15"/>
  <c r="I30" i="15"/>
  <c r="H30" i="15"/>
  <c r="J29" i="15"/>
  <c r="I29" i="15"/>
  <c r="H29" i="15"/>
  <c r="J28" i="15"/>
  <c r="I28" i="15"/>
  <c r="H28" i="15"/>
  <c r="J27" i="15"/>
  <c r="I27" i="15"/>
  <c r="H27" i="15"/>
  <c r="J26" i="15"/>
  <c r="I26" i="15"/>
  <c r="H26" i="15"/>
  <c r="J25" i="15"/>
  <c r="I25" i="15"/>
  <c r="H25" i="15"/>
  <c r="J24" i="15"/>
  <c r="I24" i="15"/>
  <c r="H24" i="15"/>
  <c r="J23" i="15"/>
  <c r="I23" i="15"/>
  <c r="H23" i="15"/>
  <c r="J22" i="15"/>
  <c r="I22" i="15"/>
  <c r="H22" i="15"/>
  <c r="J21" i="15"/>
  <c r="I21" i="15"/>
  <c r="H21" i="15"/>
  <c r="J20" i="15"/>
  <c r="I20" i="15"/>
  <c r="H20" i="15"/>
  <c r="J19" i="15"/>
  <c r="I19" i="15"/>
  <c r="H19" i="15"/>
  <c r="J18" i="15"/>
  <c r="I18" i="15"/>
  <c r="H18" i="15"/>
  <c r="F76" i="15"/>
  <c r="E76" i="15"/>
  <c r="D76" i="15"/>
  <c r="F75" i="15"/>
  <c r="E75" i="15"/>
  <c r="D75" i="15"/>
  <c r="F74" i="15"/>
  <c r="E74" i="15"/>
  <c r="D74" i="15"/>
  <c r="F73" i="15"/>
  <c r="E73" i="15"/>
  <c r="D73" i="15"/>
  <c r="F72" i="15"/>
  <c r="E72" i="15"/>
  <c r="D72" i="15"/>
  <c r="F71" i="15"/>
  <c r="E71" i="15"/>
  <c r="D71" i="15"/>
  <c r="F70" i="15"/>
  <c r="E70" i="15"/>
  <c r="D70" i="15"/>
  <c r="F69" i="15"/>
  <c r="E69" i="15"/>
  <c r="D69" i="15"/>
  <c r="F68" i="15"/>
  <c r="E68" i="15"/>
  <c r="D68" i="15"/>
  <c r="F67" i="15"/>
  <c r="E67" i="15"/>
  <c r="D67" i="15"/>
  <c r="F66" i="15"/>
  <c r="E66" i="15"/>
  <c r="D66" i="15"/>
  <c r="F65" i="15"/>
  <c r="E65" i="15"/>
  <c r="D65" i="15"/>
  <c r="F64" i="15"/>
  <c r="E64" i="15"/>
  <c r="D64" i="15"/>
  <c r="F63" i="15"/>
  <c r="E63" i="15"/>
  <c r="D63" i="15"/>
  <c r="F62" i="15"/>
  <c r="E62" i="15"/>
  <c r="D62" i="15"/>
  <c r="F61" i="15"/>
  <c r="E61" i="15"/>
  <c r="D61" i="15"/>
  <c r="F60" i="15"/>
  <c r="E60" i="15"/>
  <c r="D60" i="15"/>
  <c r="F59" i="15"/>
  <c r="E59" i="15"/>
  <c r="D59" i="15"/>
  <c r="F58" i="15"/>
  <c r="E58" i="15"/>
  <c r="D58" i="15"/>
  <c r="F57" i="15"/>
  <c r="E57" i="15"/>
  <c r="D57" i="15"/>
  <c r="F56" i="15"/>
  <c r="E56" i="15"/>
  <c r="D56" i="15"/>
  <c r="F55" i="15"/>
  <c r="E55" i="15"/>
  <c r="D55" i="15"/>
  <c r="F54" i="15"/>
  <c r="E54" i="15"/>
  <c r="D54" i="15"/>
  <c r="F53" i="15"/>
  <c r="E53" i="15"/>
  <c r="D53" i="15"/>
  <c r="F52" i="15"/>
  <c r="E52" i="15"/>
  <c r="D52" i="15"/>
  <c r="F51" i="15"/>
  <c r="E51" i="15"/>
  <c r="D51" i="15"/>
  <c r="F50" i="15"/>
  <c r="E50" i="15"/>
  <c r="D50" i="15"/>
  <c r="F49" i="15"/>
  <c r="E49" i="15"/>
  <c r="D49" i="15"/>
  <c r="F48" i="15"/>
  <c r="E48" i="15"/>
  <c r="D48" i="15"/>
  <c r="F47" i="15"/>
  <c r="E47" i="15"/>
  <c r="D47" i="15"/>
  <c r="F46" i="15"/>
  <c r="E46" i="15"/>
  <c r="D46" i="15"/>
  <c r="F45" i="15"/>
  <c r="E45" i="15"/>
  <c r="D45" i="15"/>
  <c r="F44" i="15"/>
  <c r="E44" i="15"/>
  <c r="D44" i="15"/>
  <c r="F43" i="15"/>
  <c r="E43" i="15"/>
  <c r="D43" i="15"/>
  <c r="F42" i="15"/>
  <c r="E42" i="15"/>
  <c r="D42" i="15"/>
  <c r="F41" i="15"/>
  <c r="E41" i="15"/>
  <c r="D41" i="15"/>
  <c r="F40" i="15"/>
  <c r="E40" i="15"/>
  <c r="D40" i="15"/>
  <c r="F39" i="15"/>
  <c r="E39" i="15"/>
  <c r="D39" i="15"/>
  <c r="F38" i="15"/>
  <c r="E38" i="15"/>
  <c r="D38" i="15"/>
  <c r="F37" i="15"/>
  <c r="E37" i="15"/>
  <c r="D37" i="15"/>
  <c r="F36" i="15"/>
  <c r="E36" i="15"/>
  <c r="D36" i="15"/>
  <c r="F35" i="15"/>
  <c r="E35" i="15"/>
  <c r="D35" i="15"/>
  <c r="F34" i="15"/>
  <c r="E34" i="15"/>
  <c r="D34" i="15"/>
  <c r="F33" i="15"/>
  <c r="E33" i="15"/>
  <c r="D33" i="15"/>
  <c r="F32" i="15"/>
  <c r="E32" i="15"/>
  <c r="D32" i="15"/>
  <c r="F31" i="15"/>
  <c r="E31" i="15"/>
  <c r="D31" i="15"/>
  <c r="F30" i="15"/>
  <c r="E30" i="15"/>
  <c r="D30" i="15"/>
  <c r="F29" i="15"/>
  <c r="E29" i="15"/>
  <c r="D29" i="15"/>
  <c r="F28" i="15"/>
  <c r="E28" i="15"/>
  <c r="D28" i="15"/>
  <c r="F27" i="15"/>
  <c r="E27" i="15"/>
  <c r="D27" i="15"/>
  <c r="F26" i="15"/>
  <c r="E26" i="15"/>
  <c r="D26" i="15"/>
  <c r="F25" i="15"/>
  <c r="E25" i="15"/>
  <c r="D25" i="15"/>
  <c r="F24" i="15"/>
  <c r="E24" i="15"/>
  <c r="D24" i="15"/>
  <c r="F23" i="15"/>
  <c r="E23" i="15"/>
  <c r="D23" i="15"/>
  <c r="F22" i="15"/>
  <c r="E22" i="15"/>
  <c r="D22" i="15"/>
  <c r="F21" i="15"/>
  <c r="E21" i="15"/>
  <c r="D21" i="15"/>
  <c r="F20" i="15"/>
  <c r="E20" i="15"/>
  <c r="D20" i="15"/>
  <c r="F19" i="15"/>
  <c r="E19" i="15"/>
  <c r="D19" i="15"/>
  <c r="F18" i="15"/>
  <c r="E18" i="15"/>
  <c r="D18" i="15"/>
  <c r="BB78" i="14"/>
  <c r="BA78" i="14"/>
  <c r="AZ78" i="14"/>
  <c r="BB77" i="14"/>
  <c r="BA77" i="14"/>
  <c r="AZ77" i="14"/>
  <c r="BB76" i="14"/>
  <c r="BA76" i="14"/>
  <c r="AZ76" i="14"/>
  <c r="BB75" i="14"/>
  <c r="BA75" i="14"/>
  <c r="AZ75" i="14"/>
  <c r="BB74" i="14"/>
  <c r="BA74" i="14"/>
  <c r="AZ74" i="14"/>
  <c r="BB73" i="14"/>
  <c r="BA73" i="14"/>
  <c r="AZ73" i="14"/>
  <c r="BB72" i="14"/>
  <c r="BA72" i="14"/>
  <c r="AZ72" i="14"/>
  <c r="BB71" i="14"/>
  <c r="BA71" i="14"/>
  <c r="AZ71" i="14"/>
  <c r="BB70" i="14"/>
  <c r="BA70" i="14"/>
  <c r="AZ70" i="14"/>
  <c r="BB69" i="14"/>
  <c r="BA69" i="14"/>
  <c r="AZ69" i="14"/>
  <c r="BB68" i="14"/>
  <c r="BA68" i="14"/>
  <c r="AZ68" i="14"/>
  <c r="BB67" i="14"/>
  <c r="BA67" i="14"/>
  <c r="AZ67" i="14"/>
  <c r="BB66" i="14"/>
  <c r="BA66" i="14"/>
  <c r="AZ66" i="14"/>
  <c r="BB65" i="14"/>
  <c r="BA65" i="14"/>
  <c r="AZ65" i="14"/>
  <c r="BB64" i="14"/>
  <c r="BA64" i="14"/>
  <c r="AZ64" i="14"/>
  <c r="BB63" i="14"/>
  <c r="BA63" i="14"/>
  <c r="AZ63" i="14"/>
  <c r="BB62" i="14"/>
  <c r="BA62" i="14"/>
  <c r="AZ62" i="14"/>
  <c r="BB61" i="14"/>
  <c r="BA61" i="14"/>
  <c r="AZ61" i="14"/>
  <c r="BB60" i="14"/>
  <c r="BA60" i="14"/>
  <c r="AZ60" i="14"/>
  <c r="BB59" i="14"/>
  <c r="BA59" i="14"/>
  <c r="AZ59" i="14"/>
  <c r="BB58" i="14"/>
  <c r="BA58" i="14"/>
  <c r="AZ58" i="14"/>
  <c r="BB57" i="14"/>
  <c r="BA57" i="14"/>
  <c r="AZ57" i="14"/>
  <c r="BB56" i="14"/>
  <c r="BA56" i="14"/>
  <c r="AZ56" i="14"/>
  <c r="BB55" i="14"/>
  <c r="BA55" i="14"/>
  <c r="AZ55" i="14"/>
  <c r="BB54" i="14"/>
  <c r="BA54" i="14"/>
  <c r="AZ54" i="14"/>
  <c r="BB53" i="14"/>
  <c r="BA53" i="14"/>
  <c r="AZ53" i="14"/>
  <c r="BB52" i="14"/>
  <c r="BA52" i="14"/>
  <c r="AZ52" i="14"/>
  <c r="BB51" i="14"/>
  <c r="BA51" i="14"/>
  <c r="AZ51" i="14"/>
  <c r="BB50" i="14"/>
  <c r="BA50" i="14"/>
  <c r="AZ50" i="14"/>
  <c r="BB49" i="14"/>
  <c r="BA49" i="14"/>
  <c r="AZ49" i="14"/>
  <c r="BB48" i="14"/>
  <c r="BA48" i="14"/>
  <c r="AZ48" i="14"/>
  <c r="BB47" i="14"/>
  <c r="BA47" i="14"/>
  <c r="AZ47" i="14"/>
  <c r="BB46" i="14"/>
  <c r="BA46" i="14"/>
  <c r="AZ46" i="14"/>
  <c r="BB45" i="14"/>
  <c r="BA45" i="14"/>
  <c r="AZ45" i="14"/>
  <c r="BB44" i="14"/>
  <c r="BA44" i="14"/>
  <c r="AZ44" i="14"/>
  <c r="BB43" i="14"/>
  <c r="BA43" i="14"/>
  <c r="AZ43" i="14"/>
  <c r="BB42" i="14"/>
  <c r="BA42" i="14"/>
  <c r="AZ42" i="14"/>
  <c r="BB41" i="14"/>
  <c r="BA41" i="14"/>
  <c r="AZ41" i="14"/>
  <c r="BB40" i="14"/>
  <c r="BA40" i="14"/>
  <c r="AZ40" i="14"/>
  <c r="BB39" i="14"/>
  <c r="BA39" i="14"/>
  <c r="AZ39" i="14"/>
  <c r="BB38" i="14"/>
  <c r="BA38" i="14"/>
  <c r="AZ38" i="14"/>
  <c r="BB37" i="14"/>
  <c r="BA37" i="14"/>
  <c r="AZ37" i="14"/>
  <c r="BB36" i="14"/>
  <c r="BA36" i="14"/>
  <c r="AZ36" i="14"/>
  <c r="BB35" i="14"/>
  <c r="BA35" i="14"/>
  <c r="AZ35" i="14"/>
  <c r="BB34" i="14"/>
  <c r="BA34" i="14"/>
  <c r="AZ34" i="14"/>
  <c r="BB33" i="14"/>
  <c r="BA33" i="14"/>
  <c r="AZ33" i="14"/>
  <c r="BB32" i="14"/>
  <c r="BA32" i="14"/>
  <c r="AZ32" i="14"/>
  <c r="BB31" i="14"/>
  <c r="BA31" i="14"/>
  <c r="AZ31" i="14"/>
  <c r="BB30" i="14"/>
  <c r="BA30" i="14"/>
  <c r="AZ30" i="14"/>
  <c r="BB29" i="14"/>
  <c r="BA29" i="14"/>
  <c r="AZ29" i="14"/>
  <c r="BB28" i="14"/>
  <c r="BA28" i="14"/>
  <c r="AZ28" i="14"/>
  <c r="BB27" i="14"/>
  <c r="BA27" i="14"/>
  <c r="AZ27" i="14"/>
  <c r="BB26" i="14"/>
  <c r="BA26" i="14"/>
  <c r="AZ26" i="14"/>
  <c r="BB25" i="14"/>
  <c r="BA25" i="14"/>
  <c r="AZ25" i="14"/>
  <c r="BB24" i="14"/>
  <c r="BA24" i="14"/>
  <c r="AZ24" i="14"/>
  <c r="BB23" i="14"/>
  <c r="BA23" i="14"/>
  <c r="AZ23" i="14"/>
  <c r="BB22" i="14"/>
  <c r="BA22" i="14"/>
  <c r="AZ22" i="14"/>
  <c r="BB21" i="14"/>
  <c r="BA21" i="14"/>
  <c r="AZ21" i="14"/>
  <c r="BB20" i="14"/>
  <c r="BA20" i="14"/>
  <c r="AZ20" i="14"/>
  <c r="AX78" i="14"/>
  <c r="AW78" i="14"/>
  <c r="AV78" i="14"/>
  <c r="AX77" i="14"/>
  <c r="AW77" i="14"/>
  <c r="AV77" i="14"/>
  <c r="AX76" i="14"/>
  <c r="AW76" i="14"/>
  <c r="AV76" i="14"/>
  <c r="AX75" i="14"/>
  <c r="AW75" i="14"/>
  <c r="AV75" i="14"/>
  <c r="AX74" i="14"/>
  <c r="AW74" i="14"/>
  <c r="AV74" i="14"/>
  <c r="AX73" i="14"/>
  <c r="AW73" i="14"/>
  <c r="AV73" i="14"/>
  <c r="AX72" i="14"/>
  <c r="AW72" i="14"/>
  <c r="AV72" i="14"/>
  <c r="AX71" i="14"/>
  <c r="AW71" i="14"/>
  <c r="AV71" i="14"/>
  <c r="AX70" i="14"/>
  <c r="AW70" i="14"/>
  <c r="AV70" i="14"/>
  <c r="AX69" i="14"/>
  <c r="AW69" i="14"/>
  <c r="AV69" i="14"/>
  <c r="AX68" i="14"/>
  <c r="AW68" i="14"/>
  <c r="AV68" i="14"/>
  <c r="AX67" i="14"/>
  <c r="AW67" i="14"/>
  <c r="AV67" i="14"/>
  <c r="AX66" i="14"/>
  <c r="AW66" i="14"/>
  <c r="AV66" i="14"/>
  <c r="AX65" i="14"/>
  <c r="AW65" i="14"/>
  <c r="AV65" i="14"/>
  <c r="AX64" i="14"/>
  <c r="AW64" i="14"/>
  <c r="AV64" i="14"/>
  <c r="AX63" i="14"/>
  <c r="AW63" i="14"/>
  <c r="AV63" i="14"/>
  <c r="AX62" i="14"/>
  <c r="AW62" i="14"/>
  <c r="AV62" i="14"/>
  <c r="AX61" i="14"/>
  <c r="AW61" i="14"/>
  <c r="AV61" i="14"/>
  <c r="AX60" i="14"/>
  <c r="AW60" i="14"/>
  <c r="AV60" i="14"/>
  <c r="AX59" i="14"/>
  <c r="AW59" i="14"/>
  <c r="AV59" i="14"/>
  <c r="AX58" i="14"/>
  <c r="AW58" i="14"/>
  <c r="AV58" i="14"/>
  <c r="AX57" i="14"/>
  <c r="AW57" i="14"/>
  <c r="AV57" i="14"/>
  <c r="AX56" i="14"/>
  <c r="AW56" i="14"/>
  <c r="AV56" i="14"/>
  <c r="AX55" i="14"/>
  <c r="AW55" i="14"/>
  <c r="AV55" i="14"/>
  <c r="AX54" i="14"/>
  <c r="AW54" i="14"/>
  <c r="AV54" i="14"/>
  <c r="AX53" i="14"/>
  <c r="AW53" i="14"/>
  <c r="AV53" i="14"/>
  <c r="AX52" i="14"/>
  <c r="AW52" i="14"/>
  <c r="AV52" i="14"/>
  <c r="AX51" i="14"/>
  <c r="AW51" i="14"/>
  <c r="AV51" i="14"/>
  <c r="AX50" i="14"/>
  <c r="AW50" i="14"/>
  <c r="AV50" i="14"/>
  <c r="AX49" i="14"/>
  <c r="AW49" i="14"/>
  <c r="AV49" i="14"/>
  <c r="AX48" i="14"/>
  <c r="AW48" i="14"/>
  <c r="AV48" i="14"/>
  <c r="AX47" i="14"/>
  <c r="AW47" i="14"/>
  <c r="AV47" i="14"/>
  <c r="AX46" i="14"/>
  <c r="AW46" i="14"/>
  <c r="AV46" i="14"/>
  <c r="AX45" i="14"/>
  <c r="AW45" i="14"/>
  <c r="AV45" i="14"/>
  <c r="AX44" i="14"/>
  <c r="AW44" i="14"/>
  <c r="AV44" i="14"/>
  <c r="AX43" i="14"/>
  <c r="AW43" i="14"/>
  <c r="AV43" i="14"/>
  <c r="AX42" i="14"/>
  <c r="AW42" i="14"/>
  <c r="AV42" i="14"/>
  <c r="AX41" i="14"/>
  <c r="AW41" i="14"/>
  <c r="AV41" i="14"/>
  <c r="AX40" i="14"/>
  <c r="AW40" i="14"/>
  <c r="AV40" i="14"/>
  <c r="AX39" i="14"/>
  <c r="AW39" i="14"/>
  <c r="AV39" i="14"/>
  <c r="AX38" i="14"/>
  <c r="AW38" i="14"/>
  <c r="AV38" i="14"/>
  <c r="AX37" i="14"/>
  <c r="AW37" i="14"/>
  <c r="AV37" i="14"/>
  <c r="AX36" i="14"/>
  <c r="AW36" i="14"/>
  <c r="AV36" i="14"/>
  <c r="AX35" i="14"/>
  <c r="AW35" i="14"/>
  <c r="AV35" i="14"/>
  <c r="AX34" i="14"/>
  <c r="AW34" i="14"/>
  <c r="AV34" i="14"/>
  <c r="AX33" i="14"/>
  <c r="AW33" i="14"/>
  <c r="AV33" i="14"/>
  <c r="AX32" i="14"/>
  <c r="AW32" i="14"/>
  <c r="AV32" i="14"/>
  <c r="AX31" i="14"/>
  <c r="AW31" i="14"/>
  <c r="AV31" i="14"/>
  <c r="AX30" i="14"/>
  <c r="AW30" i="14"/>
  <c r="AV30" i="14"/>
  <c r="AX29" i="14"/>
  <c r="AW29" i="14"/>
  <c r="AV29" i="14"/>
  <c r="AX28" i="14"/>
  <c r="AW28" i="14"/>
  <c r="AV28" i="14"/>
  <c r="AX27" i="14"/>
  <c r="AW27" i="14"/>
  <c r="AV27" i="14"/>
  <c r="AX26" i="14"/>
  <c r="AW26" i="14"/>
  <c r="AV26" i="14"/>
  <c r="AX25" i="14"/>
  <c r="AW25" i="14"/>
  <c r="AV25" i="14"/>
  <c r="AX24" i="14"/>
  <c r="AW24" i="14"/>
  <c r="AV24" i="14"/>
  <c r="AX23" i="14"/>
  <c r="AW23" i="14"/>
  <c r="AV23" i="14"/>
  <c r="AX22" i="14"/>
  <c r="AW22" i="14"/>
  <c r="AV22" i="14"/>
  <c r="AX21" i="14"/>
  <c r="AW21" i="14"/>
  <c r="AV21" i="14"/>
  <c r="AW20" i="14"/>
  <c r="AV20" i="14"/>
  <c r="AT78" i="14"/>
  <c r="AS78" i="14"/>
  <c r="AR78" i="14"/>
  <c r="AT77" i="14"/>
  <c r="AS77" i="14"/>
  <c r="AR77" i="14"/>
  <c r="AT76" i="14"/>
  <c r="AS76" i="14"/>
  <c r="AR76" i="14"/>
  <c r="AT75" i="14"/>
  <c r="AS75" i="14"/>
  <c r="AR75" i="14"/>
  <c r="AT74" i="14"/>
  <c r="AS74" i="14"/>
  <c r="AR74" i="14"/>
  <c r="AT73" i="14"/>
  <c r="AS73" i="14"/>
  <c r="AR73" i="14"/>
  <c r="AT72" i="14"/>
  <c r="AS72" i="14"/>
  <c r="AR72" i="14"/>
  <c r="AT71" i="14"/>
  <c r="AS71" i="14"/>
  <c r="AR71" i="14"/>
  <c r="AT70" i="14"/>
  <c r="AS70" i="14"/>
  <c r="AR70" i="14"/>
  <c r="AT69" i="14"/>
  <c r="AS69" i="14"/>
  <c r="AR69" i="14"/>
  <c r="AT68" i="14"/>
  <c r="AS68" i="14"/>
  <c r="AR68" i="14"/>
  <c r="AT67" i="14"/>
  <c r="AS67" i="14"/>
  <c r="AR67" i="14"/>
  <c r="AT66" i="14"/>
  <c r="AS66" i="14"/>
  <c r="AR66" i="14"/>
  <c r="AT65" i="14"/>
  <c r="AS65" i="14"/>
  <c r="AR65" i="14"/>
  <c r="AT64" i="14"/>
  <c r="AS64" i="14"/>
  <c r="AR64" i="14"/>
  <c r="AT63" i="14"/>
  <c r="AS63" i="14"/>
  <c r="AR63" i="14"/>
  <c r="AT62" i="14"/>
  <c r="AS62" i="14"/>
  <c r="AR62" i="14"/>
  <c r="AT61" i="14"/>
  <c r="AS61" i="14"/>
  <c r="AR61" i="14"/>
  <c r="AT60" i="14"/>
  <c r="AS60" i="14"/>
  <c r="AR60" i="14"/>
  <c r="AT59" i="14"/>
  <c r="AS59" i="14"/>
  <c r="AR59" i="14"/>
  <c r="AT58" i="14"/>
  <c r="AS58" i="14"/>
  <c r="AR58" i="14"/>
  <c r="AT57" i="14"/>
  <c r="AS57" i="14"/>
  <c r="AR57" i="14"/>
  <c r="AT56" i="14"/>
  <c r="AS56" i="14"/>
  <c r="AR56" i="14"/>
  <c r="AT55" i="14"/>
  <c r="AS55" i="14"/>
  <c r="AR55" i="14"/>
  <c r="AT54" i="14"/>
  <c r="AS54" i="14"/>
  <c r="AR54" i="14"/>
  <c r="AT53" i="14"/>
  <c r="AS53" i="14"/>
  <c r="AR53" i="14"/>
  <c r="AT52" i="14"/>
  <c r="AS52" i="14"/>
  <c r="AR52" i="14"/>
  <c r="AT51" i="14"/>
  <c r="AS51" i="14"/>
  <c r="AR51" i="14"/>
  <c r="AT50" i="14"/>
  <c r="AS50" i="14"/>
  <c r="AR50" i="14"/>
  <c r="AT49" i="14"/>
  <c r="AS49" i="14"/>
  <c r="AR49" i="14"/>
  <c r="AT48" i="14"/>
  <c r="AS48" i="14"/>
  <c r="AR48" i="14"/>
  <c r="AT47" i="14"/>
  <c r="AS47" i="14"/>
  <c r="AR47" i="14"/>
  <c r="AT46" i="14"/>
  <c r="AS46" i="14"/>
  <c r="AR46" i="14"/>
  <c r="AT45" i="14"/>
  <c r="AS45" i="14"/>
  <c r="AR45" i="14"/>
  <c r="AT44" i="14"/>
  <c r="AS44" i="14"/>
  <c r="AR44" i="14"/>
  <c r="AT43" i="14"/>
  <c r="AS43" i="14"/>
  <c r="AR43" i="14"/>
  <c r="AT42" i="14"/>
  <c r="AS42" i="14"/>
  <c r="AR42" i="14"/>
  <c r="AT41" i="14"/>
  <c r="AS41" i="14"/>
  <c r="AR41" i="14"/>
  <c r="AT40" i="14"/>
  <c r="AS40" i="14"/>
  <c r="AR40" i="14"/>
  <c r="AT39" i="14"/>
  <c r="AS39" i="14"/>
  <c r="AR39" i="14"/>
  <c r="AT38" i="14"/>
  <c r="AS38" i="14"/>
  <c r="AR38" i="14"/>
  <c r="AT37" i="14"/>
  <c r="AS37" i="14"/>
  <c r="AR37" i="14"/>
  <c r="AT36" i="14"/>
  <c r="AS36" i="14"/>
  <c r="AR36" i="14"/>
  <c r="AT35" i="14"/>
  <c r="AS35" i="14"/>
  <c r="AR35" i="14"/>
  <c r="AT34" i="14"/>
  <c r="AS34" i="14"/>
  <c r="AR34" i="14"/>
  <c r="AT33" i="14"/>
  <c r="AS33" i="14"/>
  <c r="AR33" i="14"/>
  <c r="AT32" i="14"/>
  <c r="AS32" i="14"/>
  <c r="AR32" i="14"/>
  <c r="AT31" i="14"/>
  <c r="AS31" i="14"/>
  <c r="AR31" i="14"/>
  <c r="AT30" i="14"/>
  <c r="AS30" i="14"/>
  <c r="AR30" i="14"/>
  <c r="AT29" i="14"/>
  <c r="AS29" i="14"/>
  <c r="AR29" i="14"/>
  <c r="AT28" i="14"/>
  <c r="AS28" i="14"/>
  <c r="AR28" i="14"/>
  <c r="AT27" i="14"/>
  <c r="AS27" i="14"/>
  <c r="AR27" i="14"/>
  <c r="AT26" i="14"/>
  <c r="AS26" i="14"/>
  <c r="AR26" i="14"/>
  <c r="AT25" i="14"/>
  <c r="AS25" i="14"/>
  <c r="AR25" i="14"/>
  <c r="AT24" i="14"/>
  <c r="AS24" i="14"/>
  <c r="AR24" i="14"/>
  <c r="AT23" i="14"/>
  <c r="AS23" i="14"/>
  <c r="AR23" i="14"/>
  <c r="AT22" i="14"/>
  <c r="AS22" i="14"/>
  <c r="AR22" i="14"/>
  <c r="AT21" i="14"/>
  <c r="AS21" i="14"/>
  <c r="AR21" i="14"/>
  <c r="AT20" i="14"/>
  <c r="AS20" i="14"/>
  <c r="AR20" i="14"/>
  <c r="AP78" i="14"/>
  <c r="AO78" i="14"/>
  <c r="AN78" i="14"/>
  <c r="AP77" i="14"/>
  <c r="AO77" i="14"/>
  <c r="AN77" i="14"/>
  <c r="AP76" i="14"/>
  <c r="AO76" i="14"/>
  <c r="AN76" i="14"/>
  <c r="AP75" i="14"/>
  <c r="AO75" i="14"/>
  <c r="AN75" i="14"/>
  <c r="AP74" i="14"/>
  <c r="AO74" i="14"/>
  <c r="AN74" i="14"/>
  <c r="AP73" i="14"/>
  <c r="AO73" i="14"/>
  <c r="AN73" i="14"/>
  <c r="AP72" i="14"/>
  <c r="AO72" i="14"/>
  <c r="AN72" i="14"/>
  <c r="AP71" i="14"/>
  <c r="AO71" i="14"/>
  <c r="AN71" i="14"/>
  <c r="AP70" i="14"/>
  <c r="AO70" i="14"/>
  <c r="AN70" i="14"/>
  <c r="AP69" i="14"/>
  <c r="AO69" i="14"/>
  <c r="AN69" i="14"/>
  <c r="AP68" i="14"/>
  <c r="AO68" i="14"/>
  <c r="AN68" i="14"/>
  <c r="AP67" i="14"/>
  <c r="AO67" i="14"/>
  <c r="AN67" i="14"/>
  <c r="AP66" i="14"/>
  <c r="AO66" i="14"/>
  <c r="AN66" i="14"/>
  <c r="AP65" i="14"/>
  <c r="AO65" i="14"/>
  <c r="AN65" i="14"/>
  <c r="AP64" i="14"/>
  <c r="AO64" i="14"/>
  <c r="AN64" i="14"/>
  <c r="AP63" i="14"/>
  <c r="AO63" i="14"/>
  <c r="AN63" i="14"/>
  <c r="AP62" i="14"/>
  <c r="AO62" i="14"/>
  <c r="AN62" i="14"/>
  <c r="AP61" i="14"/>
  <c r="AO61" i="14"/>
  <c r="AN61" i="14"/>
  <c r="AP60" i="14"/>
  <c r="AO60" i="14"/>
  <c r="AN60" i="14"/>
  <c r="AP59" i="14"/>
  <c r="AO59" i="14"/>
  <c r="AN59" i="14"/>
  <c r="AP58" i="14"/>
  <c r="AO58" i="14"/>
  <c r="AN58" i="14"/>
  <c r="AP57" i="14"/>
  <c r="AO57" i="14"/>
  <c r="AN57" i="14"/>
  <c r="AP56" i="14"/>
  <c r="AO56" i="14"/>
  <c r="AN56" i="14"/>
  <c r="AP55" i="14"/>
  <c r="AO55" i="14"/>
  <c r="AN55" i="14"/>
  <c r="AP54" i="14"/>
  <c r="AO54" i="14"/>
  <c r="AN54" i="14"/>
  <c r="AP53" i="14"/>
  <c r="AO53" i="14"/>
  <c r="AN53" i="14"/>
  <c r="AP52" i="14"/>
  <c r="AO52" i="14"/>
  <c r="AN52" i="14"/>
  <c r="AP51" i="14"/>
  <c r="AO51" i="14"/>
  <c r="AN51" i="14"/>
  <c r="AP50" i="14"/>
  <c r="AO50" i="14"/>
  <c r="AN50" i="14"/>
  <c r="AP49" i="14"/>
  <c r="AO49" i="14"/>
  <c r="AN49" i="14"/>
  <c r="AP48" i="14"/>
  <c r="AO48" i="14"/>
  <c r="AN48" i="14"/>
  <c r="AP47" i="14"/>
  <c r="AO47" i="14"/>
  <c r="AN47" i="14"/>
  <c r="AP46" i="14"/>
  <c r="AO46" i="14"/>
  <c r="AN46" i="14"/>
  <c r="AP45" i="14"/>
  <c r="AO45" i="14"/>
  <c r="AN45" i="14"/>
  <c r="AP44" i="14"/>
  <c r="AO44" i="14"/>
  <c r="AN44" i="14"/>
  <c r="AP43" i="14"/>
  <c r="AO43" i="14"/>
  <c r="AN43" i="14"/>
  <c r="AP42" i="14"/>
  <c r="AO42" i="14"/>
  <c r="AN42" i="14"/>
  <c r="AP41" i="14"/>
  <c r="AO41" i="14"/>
  <c r="AN41" i="14"/>
  <c r="AP40" i="14"/>
  <c r="AO40" i="14"/>
  <c r="AN40" i="14"/>
  <c r="AP39" i="14"/>
  <c r="AO39" i="14"/>
  <c r="AN39" i="14"/>
  <c r="AP38" i="14"/>
  <c r="AO38" i="14"/>
  <c r="AN38" i="14"/>
  <c r="AP37" i="14"/>
  <c r="AO37" i="14"/>
  <c r="AN37" i="14"/>
  <c r="AP36" i="14"/>
  <c r="AO36" i="14"/>
  <c r="AN36" i="14"/>
  <c r="AP35" i="14"/>
  <c r="AO35" i="14"/>
  <c r="AN35" i="14"/>
  <c r="AP34" i="14"/>
  <c r="AO34" i="14"/>
  <c r="AN34" i="14"/>
  <c r="AP33" i="14"/>
  <c r="AO33" i="14"/>
  <c r="AN33" i="14"/>
  <c r="AP32" i="14"/>
  <c r="AO32" i="14"/>
  <c r="AN32" i="14"/>
  <c r="AP31" i="14"/>
  <c r="AO31" i="14"/>
  <c r="AN31" i="14"/>
  <c r="AP30" i="14"/>
  <c r="AO30" i="14"/>
  <c r="AN30" i="14"/>
  <c r="AP29" i="14"/>
  <c r="AO29" i="14"/>
  <c r="AN29" i="14"/>
  <c r="AP28" i="14"/>
  <c r="AO28" i="14"/>
  <c r="AN28" i="14"/>
  <c r="AP27" i="14"/>
  <c r="AO27" i="14"/>
  <c r="AN27" i="14"/>
  <c r="AP26" i="14"/>
  <c r="AO26" i="14"/>
  <c r="AN26" i="14"/>
  <c r="AP25" i="14"/>
  <c r="AO25" i="14"/>
  <c r="AN25" i="14"/>
  <c r="AP24" i="14"/>
  <c r="AO24" i="14"/>
  <c r="AN24" i="14"/>
  <c r="AP23" i="14"/>
  <c r="AO23" i="14"/>
  <c r="AN23" i="14"/>
  <c r="AP22" i="14"/>
  <c r="AO22" i="14"/>
  <c r="AN22" i="14"/>
  <c r="AP21" i="14"/>
  <c r="AO21" i="14"/>
  <c r="AN21" i="14"/>
  <c r="AP20" i="14"/>
  <c r="AO20" i="14"/>
  <c r="AN20" i="14"/>
  <c r="AL78" i="14"/>
  <c r="AK78" i="14"/>
  <c r="AJ78" i="14"/>
  <c r="AL77" i="14"/>
  <c r="AK77" i="14"/>
  <c r="AJ77" i="14"/>
  <c r="AL76" i="14"/>
  <c r="AK76" i="14"/>
  <c r="AJ76" i="14"/>
  <c r="AL75" i="14"/>
  <c r="AK75" i="14"/>
  <c r="AJ75" i="14"/>
  <c r="AL74" i="14"/>
  <c r="AK74" i="14"/>
  <c r="AJ74" i="14"/>
  <c r="AL73" i="14"/>
  <c r="AK73" i="14"/>
  <c r="AJ73" i="14"/>
  <c r="AL72" i="14"/>
  <c r="AK72" i="14"/>
  <c r="AJ72" i="14"/>
  <c r="AL71" i="14"/>
  <c r="AK71" i="14"/>
  <c r="AJ71" i="14"/>
  <c r="AL70" i="14"/>
  <c r="AK70" i="14"/>
  <c r="AJ70" i="14"/>
  <c r="AL69" i="14"/>
  <c r="AK69" i="14"/>
  <c r="AJ69" i="14"/>
  <c r="AL68" i="14"/>
  <c r="AK68" i="14"/>
  <c r="AJ68" i="14"/>
  <c r="AL67" i="14"/>
  <c r="AK67" i="14"/>
  <c r="AJ67" i="14"/>
  <c r="AL66" i="14"/>
  <c r="AK66" i="14"/>
  <c r="AJ66" i="14"/>
  <c r="AL65" i="14"/>
  <c r="AK65" i="14"/>
  <c r="AJ65" i="14"/>
  <c r="AL64" i="14"/>
  <c r="AK64" i="14"/>
  <c r="AJ64" i="14"/>
  <c r="AL63" i="14"/>
  <c r="AK63" i="14"/>
  <c r="AJ63" i="14"/>
  <c r="AL62" i="14"/>
  <c r="AK62" i="14"/>
  <c r="AJ62" i="14"/>
  <c r="AL61" i="14"/>
  <c r="AK61" i="14"/>
  <c r="AJ61" i="14"/>
  <c r="AL60" i="14"/>
  <c r="AK60" i="14"/>
  <c r="AJ60" i="14"/>
  <c r="AL59" i="14"/>
  <c r="AK59" i="14"/>
  <c r="AJ59" i="14"/>
  <c r="AL58" i="14"/>
  <c r="AK58" i="14"/>
  <c r="AJ58" i="14"/>
  <c r="AL57" i="14"/>
  <c r="AK57" i="14"/>
  <c r="AJ57" i="14"/>
  <c r="AL56" i="14"/>
  <c r="AK56" i="14"/>
  <c r="AJ56" i="14"/>
  <c r="AL55" i="14"/>
  <c r="AK55" i="14"/>
  <c r="AJ55" i="14"/>
  <c r="AL54" i="14"/>
  <c r="AK54" i="14"/>
  <c r="AJ54" i="14"/>
  <c r="AL53" i="14"/>
  <c r="AK53" i="14"/>
  <c r="AJ53" i="14"/>
  <c r="AL52" i="14"/>
  <c r="AK52" i="14"/>
  <c r="AJ52" i="14"/>
  <c r="AL51" i="14"/>
  <c r="AK51" i="14"/>
  <c r="AJ51" i="14"/>
  <c r="AL50" i="14"/>
  <c r="AK50" i="14"/>
  <c r="AJ50" i="14"/>
  <c r="AL49" i="14"/>
  <c r="AK49" i="14"/>
  <c r="AJ49" i="14"/>
  <c r="AL48" i="14"/>
  <c r="AK48" i="14"/>
  <c r="AJ48" i="14"/>
  <c r="AL47" i="14"/>
  <c r="AK47" i="14"/>
  <c r="AJ47" i="14"/>
  <c r="AL46" i="14"/>
  <c r="AK46" i="14"/>
  <c r="AJ46" i="14"/>
  <c r="AL45" i="14"/>
  <c r="AK45" i="14"/>
  <c r="AJ45" i="14"/>
  <c r="AL44" i="14"/>
  <c r="AK44" i="14"/>
  <c r="AJ44" i="14"/>
  <c r="AL43" i="14"/>
  <c r="AK43" i="14"/>
  <c r="AJ43" i="14"/>
  <c r="AL42" i="14"/>
  <c r="AK42" i="14"/>
  <c r="AJ42" i="14"/>
  <c r="AL41" i="14"/>
  <c r="AK41" i="14"/>
  <c r="AJ41" i="14"/>
  <c r="AL40" i="14"/>
  <c r="AK40" i="14"/>
  <c r="AJ40" i="14"/>
  <c r="AL39" i="14"/>
  <c r="AK39" i="14"/>
  <c r="AJ39" i="14"/>
  <c r="AL38" i="14"/>
  <c r="AK38" i="14"/>
  <c r="AJ38" i="14"/>
  <c r="AL37" i="14"/>
  <c r="AK37" i="14"/>
  <c r="AJ37" i="14"/>
  <c r="AL36" i="14"/>
  <c r="AK36" i="14"/>
  <c r="AJ36" i="14"/>
  <c r="AL35" i="14"/>
  <c r="AK35" i="14"/>
  <c r="AJ35" i="14"/>
  <c r="AL34" i="14"/>
  <c r="AK34" i="14"/>
  <c r="AJ34" i="14"/>
  <c r="AL33" i="14"/>
  <c r="AK33" i="14"/>
  <c r="AJ33" i="14"/>
  <c r="AL32" i="14"/>
  <c r="AK32" i="14"/>
  <c r="AJ32" i="14"/>
  <c r="AL31" i="14"/>
  <c r="AK31" i="14"/>
  <c r="AJ31" i="14"/>
  <c r="AL30" i="14"/>
  <c r="AK30" i="14"/>
  <c r="AJ30" i="14"/>
  <c r="AL29" i="14"/>
  <c r="AK29" i="14"/>
  <c r="AJ29" i="14"/>
  <c r="AL28" i="14"/>
  <c r="AK28" i="14"/>
  <c r="AJ28" i="14"/>
  <c r="AL27" i="14"/>
  <c r="AK27" i="14"/>
  <c r="AJ27" i="14"/>
  <c r="AL26" i="14"/>
  <c r="AK26" i="14"/>
  <c r="AJ26" i="14"/>
  <c r="AL25" i="14"/>
  <c r="AK25" i="14"/>
  <c r="AJ25" i="14"/>
  <c r="AL24" i="14"/>
  <c r="AK24" i="14"/>
  <c r="AJ24" i="14"/>
  <c r="AL23" i="14"/>
  <c r="AK23" i="14"/>
  <c r="AJ23" i="14"/>
  <c r="AL22" i="14"/>
  <c r="AK22" i="14"/>
  <c r="AJ22" i="14"/>
  <c r="AL21" i="14"/>
  <c r="AK21" i="14"/>
  <c r="AJ21" i="14"/>
  <c r="AL20" i="14"/>
  <c r="AK20" i="14"/>
  <c r="AJ20" i="14"/>
  <c r="AH78" i="14"/>
  <c r="AG78" i="14"/>
  <c r="AF78" i="14"/>
  <c r="AH77" i="14"/>
  <c r="AG77" i="14"/>
  <c r="AF77" i="14"/>
  <c r="AH76" i="14"/>
  <c r="AG76" i="14"/>
  <c r="AF76" i="14"/>
  <c r="AH75" i="14"/>
  <c r="AG75" i="14"/>
  <c r="AF75" i="14"/>
  <c r="AH74" i="14"/>
  <c r="AG74" i="14"/>
  <c r="AF74" i="14"/>
  <c r="AH73" i="14"/>
  <c r="AG73" i="14"/>
  <c r="AF73" i="14"/>
  <c r="AH72" i="14"/>
  <c r="AG72" i="14"/>
  <c r="AF72" i="14"/>
  <c r="AH71" i="14"/>
  <c r="AG71" i="14"/>
  <c r="AF71" i="14"/>
  <c r="AH70" i="14"/>
  <c r="AG70" i="14"/>
  <c r="AF70" i="14"/>
  <c r="AH69" i="14"/>
  <c r="AG69" i="14"/>
  <c r="AF69" i="14"/>
  <c r="AH68" i="14"/>
  <c r="AG68" i="14"/>
  <c r="AF68" i="14"/>
  <c r="AH67" i="14"/>
  <c r="AG67" i="14"/>
  <c r="AF67" i="14"/>
  <c r="AH66" i="14"/>
  <c r="AG66" i="14"/>
  <c r="AF66" i="14"/>
  <c r="AH65" i="14"/>
  <c r="AG65" i="14"/>
  <c r="AF65" i="14"/>
  <c r="AH64" i="14"/>
  <c r="AG64" i="14"/>
  <c r="AF64" i="14"/>
  <c r="AH63" i="14"/>
  <c r="AG63" i="14"/>
  <c r="AF63" i="14"/>
  <c r="AH62" i="14"/>
  <c r="AG62" i="14"/>
  <c r="AF62" i="14"/>
  <c r="AH61" i="14"/>
  <c r="AG61" i="14"/>
  <c r="AF61" i="14"/>
  <c r="AH60" i="14"/>
  <c r="AG60" i="14"/>
  <c r="AF60" i="14"/>
  <c r="AH59" i="14"/>
  <c r="AG59" i="14"/>
  <c r="AF59" i="14"/>
  <c r="AH58" i="14"/>
  <c r="AG58" i="14"/>
  <c r="AF58" i="14"/>
  <c r="AH57" i="14"/>
  <c r="AG57" i="14"/>
  <c r="AF57" i="14"/>
  <c r="AH56" i="14"/>
  <c r="AG56" i="14"/>
  <c r="AF56" i="14"/>
  <c r="AH55" i="14"/>
  <c r="AG55" i="14"/>
  <c r="AF55" i="14"/>
  <c r="AH54" i="14"/>
  <c r="AG54" i="14"/>
  <c r="AF54" i="14"/>
  <c r="AH53" i="14"/>
  <c r="AG53" i="14"/>
  <c r="AF53" i="14"/>
  <c r="AH52" i="14"/>
  <c r="AG52" i="14"/>
  <c r="AF52" i="14"/>
  <c r="AH51" i="14"/>
  <c r="AG51" i="14"/>
  <c r="AF51" i="14"/>
  <c r="AH50" i="14"/>
  <c r="AG50" i="14"/>
  <c r="AF50" i="14"/>
  <c r="AH49" i="14"/>
  <c r="AG49" i="14"/>
  <c r="AF49" i="14"/>
  <c r="AH48" i="14"/>
  <c r="AG48" i="14"/>
  <c r="AF48" i="14"/>
  <c r="AH47" i="14"/>
  <c r="AG47" i="14"/>
  <c r="AF47" i="14"/>
  <c r="AH46" i="14"/>
  <c r="AG46" i="14"/>
  <c r="AF46" i="14"/>
  <c r="AH45" i="14"/>
  <c r="AG45" i="14"/>
  <c r="AF45" i="14"/>
  <c r="AH44" i="14"/>
  <c r="AG44" i="14"/>
  <c r="AF44" i="14"/>
  <c r="AH43" i="14"/>
  <c r="AG43" i="14"/>
  <c r="AF43" i="14"/>
  <c r="AH42" i="14"/>
  <c r="AG42" i="14"/>
  <c r="AF42" i="14"/>
  <c r="AH41" i="14"/>
  <c r="AG41" i="14"/>
  <c r="AF41" i="14"/>
  <c r="AH40" i="14"/>
  <c r="AG40" i="14"/>
  <c r="AF40" i="14"/>
  <c r="AH39" i="14"/>
  <c r="AG39" i="14"/>
  <c r="AF39" i="14"/>
  <c r="AH38" i="14"/>
  <c r="AG38" i="14"/>
  <c r="AF38" i="14"/>
  <c r="AH37" i="14"/>
  <c r="AG37" i="14"/>
  <c r="AF37" i="14"/>
  <c r="AH36" i="14"/>
  <c r="AG36" i="14"/>
  <c r="AF36" i="14"/>
  <c r="AH35" i="14"/>
  <c r="AG35" i="14"/>
  <c r="AF35" i="14"/>
  <c r="AH34" i="14"/>
  <c r="AG34" i="14"/>
  <c r="AF34" i="14"/>
  <c r="AH33" i="14"/>
  <c r="AG33" i="14"/>
  <c r="AF33" i="14"/>
  <c r="AH32" i="14"/>
  <c r="AG32" i="14"/>
  <c r="AF32" i="14"/>
  <c r="AH31" i="14"/>
  <c r="AG31" i="14"/>
  <c r="AF31" i="14"/>
  <c r="AH30" i="14"/>
  <c r="AG30" i="14"/>
  <c r="AF30" i="14"/>
  <c r="AH29" i="14"/>
  <c r="AG29" i="14"/>
  <c r="AF29" i="14"/>
  <c r="AH28" i="14"/>
  <c r="AG28" i="14"/>
  <c r="AF28" i="14"/>
  <c r="AH27" i="14"/>
  <c r="AG27" i="14"/>
  <c r="AF27" i="14"/>
  <c r="AH26" i="14"/>
  <c r="AG26" i="14"/>
  <c r="AF26" i="14"/>
  <c r="AH25" i="14"/>
  <c r="AG25" i="14"/>
  <c r="AF25" i="14"/>
  <c r="AH24" i="14"/>
  <c r="AG24" i="14"/>
  <c r="AF24" i="14"/>
  <c r="AH23" i="14"/>
  <c r="AG23" i="14"/>
  <c r="AF23" i="14"/>
  <c r="AH22" i="14"/>
  <c r="AG22" i="14"/>
  <c r="AF22" i="14"/>
  <c r="AH21" i="14"/>
  <c r="AG21" i="14"/>
  <c r="AF21" i="14"/>
  <c r="AH20" i="14"/>
  <c r="AG20" i="14"/>
  <c r="AF20" i="14"/>
  <c r="AD78" i="14"/>
  <c r="AC78" i="14"/>
  <c r="AB78" i="14"/>
  <c r="AD77" i="14"/>
  <c r="AC77" i="14"/>
  <c r="AB77" i="14"/>
  <c r="AD76" i="14"/>
  <c r="AC76" i="14"/>
  <c r="AB76" i="14"/>
  <c r="AD75" i="14"/>
  <c r="AC75" i="14"/>
  <c r="AB75" i="14"/>
  <c r="AD74" i="14"/>
  <c r="AC74" i="14"/>
  <c r="AB74" i="14"/>
  <c r="AD73" i="14"/>
  <c r="AC73" i="14"/>
  <c r="AB73" i="14"/>
  <c r="AD72" i="14"/>
  <c r="AC72" i="14"/>
  <c r="AB72" i="14"/>
  <c r="AD71" i="14"/>
  <c r="AC71" i="14"/>
  <c r="AB71" i="14"/>
  <c r="AD70" i="14"/>
  <c r="AC70" i="14"/>
  <c r="AB70" i="14"/>
  <c r="AD69" i="14"/>
  <c r="AC69" i="14"/>
  <c r="AB69" i="14"/>
  <c r="AD68" i="14"/>
  <c r="AC68" i="14"/>
  <c r="AB68" i="14"/>
  <c r="AD67" i="14"/>
  <c r="AC67" i="14"/>
  <c r="AB67" i="14"/>
  <c r="AD66" i="14"/>
  <c r="AC66" i="14"/>
  <c r="AB66" i="14"/>
  <c r="AD65" i="14"/>
  <c r="AC65" i="14"/>
  <c r="AB65" i="14"/>
  <c r="AD64" i="14"/>
  <c r="AC64" i="14"/>
  <c r="AB64" i="14"/>
  <c r="AD63" i="14"/>
  <c r="AC63" i="14"/>
  <c r="AB63" i="14"/>
  <c r="AD62" i="14"/>
  <c r="AC62" i="14"/>
  <c r="AB62" i="14"/>
  <c r="AD61" i="14"/>
  <c r="AC61" i="14"/>
  <c r="AB61" i="14"/>
  <c r="AD60" i="14"/>
  <c r="AC60" i="14"/>
  <c r="AB60" i="14"/>
  <c r="AD59" i="14"/>
  <c r="AC59" i="14"/>
  <c r="AB59" i="14"/>
  <c r="AD58" i="14"/>
  <c r="AC58" i="14"/>
  <c r="AB58" i="14"/>
  <c r="AD57" i="14"/>
  <c r="AC57" i="14"/>
  <c r="AB57" i="14"/>
  <c r="AD56" i="14"/>
  <c r="AC56" i="14"/>
  <c r="AB56" i="14"/>
  <c r="AD55" i="14"/>
  <c r="AC55" i="14"/>
  <c r="AB55" i="14"/>
  <c r="AD54" i="14"/>
  <c r="AC54" i="14"/>
  <c r="AB54" i="14"/>
  <c r="AD53" i="14"/>
  <c r="AC53" i="14"/>
  <c r="AB53" i="14"/>
  <c r="AD52" i="14"/>
  <c r="AC52" i="14"/>
  <c r="AB52" i="14"/>
  <c r="AD51" i="14"/>
  <c r="AC51" i="14"/>
  <c r="AB51" i="14"/>
  <c r="AD50" i="14"/>
  <c r="AC50" i="14"/>
  <c r="AB50" i="14"/>
  <c r="AD49" i="14"/>
  <c r="AC49" i="14"/>
  <c r="AB49" i="14"/>
  <c r="AD48" i="14"/>
  <c r="AC48" i="14"/>
  <c r="AB48" i="14"/>
  <c r="AD47" i="14"/>
  <c r="AC47" i="14"/>
  <c r="AB47" i="14"/>
  <c r="AD46" i="14"/>
  <c r="AC46" i="14"/>
  <c r="AB46" i="14"/>
  <c r="AD45" i="14"/>
  <c r="AC45" i="14"/>
  <c r="AB45" i="14"/>
  <c r="AD44" i="14"/>
  <c r="AC44" i="14"/>
  <c r="AB44" i="14"/>
  <c r="AD43" i="14"/>
  <c r="AC43" i="14"/>
  <c r="AB43" i="14"/>
  <c r="AD42" i="14"/>
  <c r="AC42" i="14"/>
  <c r="AB42" i="14"/>
  <c r="AD41" i="14"/>
  <c r="AC41" i="14"/>
  <c r="AB41" i="14"/>
  <c r="AD40" i="14"/>
  <c r="AC40" i="14"/>
  <c r="AB40" i="14"/>
  <c r="AD39" i="14"/>
  <c r="AC39" i="14"/>
  <c r="AB39" i="14"/>
  <c r="AD38" i="14"/>
  <c r="AC38" i="14"/>
  <c r="AB38" i="14"/>
  <c r="AD37" i="14"/>
  <c r="AC37" i="14"/>
  <c r="AB37" i="14"/>
  <c r="AD36" i="14"/>
  <c r="AC36" i="14"/>
  <c r="AB36" i="14"/>
  <c r="AD35" i="14"/>
  <c r="AC35" i="14"/>
  <c r="AB35" i="14"/>
  <c r="AD34" i="14"/>
  <c r="AC34" i="14"/>
  <c r="AB34" i="14"/>
  <c r="AD33" i="14"/>
  <c r="AC33" i="14"/>
  <c r="AB33" i="14"/>
  <c r="AD32" i="14"/>
  <c r="AC32" i="14"/>
  <c r="AB32" i="14"/>
  <c r="AD31" i="14"/>
  <c r="AC31" i="14"/>
  <c r="AB31" i="14"/>
  <c r="AD30" i="14"/>
  <c r="AC30" i="14"/>
  <c r="AB30" i="14"/>
  <c r="AD29" i="14"/>
  <c r="AC29" i="14"/>
  <c r="AB29" i="14"/>
  <c r="AD28" i="14"/>
  <c r="AC28" i="14"/>
  <c r="AB28" i="14"/>
  <c r="AD27" i="14"/>
  <c r="AC27" i="14"/>
  <c r="AB27" i="14"/>
  <c r="AD26" i="14"/>
  <c r="AC26" i="14"/>
  <c r="AB26" i="14"/>
  <c r="AD25" i="14"/>
  <c r="AC25" i="14"/>
  <c r="AB25" i="14"/>
  <c r="AD24" i="14"/>
  <c r="AC24" i="14"/>
  <c r="AB24" i="14"/>
  <c r="AD23" i="14"/>
  <c r="AC23" i="14"/>
  <c r="AB23" i="14"/>
  <c r="AD22" i="14"/>
  <c r="AC22" i="14"/>
  <c r="AB22" i="14"/>
  <c r="AD21" i="14"/>
  <c r="AC21" i="14"/>
  <c r="AB21" i="14"/>
  <c r="AD20" i="14"/>
  <c r="AC20" i="14"/>
  <c r="AB20" i="14"/>
  <c r="Z78" i="14"/>
  <c r="Y78" i="14"/>
  <c r="X78" i="14"/>
  <c r="Z77" i="14"/>
  <c r="Y77" i="14"/>
  <c r="X77" i="14"/>
  <c r="Z76" i="14"/>
  <c r="Y76" i="14"/>
  <c r="X76" i="14"/>
  <c r="Z75" i="14"/>
  <c r="Y75" i="14"/>
  <c r="X75" i="14"/>
  <c r="Z74" i="14"/>
  <c r="Y74" i="14"/>
  <c r="X74" i="14"/>
  <c r="Z73" i="14"/>
  <c r="Y73" i="14"/>
  <c r="X73" i="14"/>
  <c r="Z72" i="14"/>
  <c r="Y72" i="14"/>
  <c r="X72" i="14"/>
  <c r="Z71" i="14"/>
  <c r="Y71" i="14"/>
  <c r="X71" i="14"/>
  <c r="Z70" i="14"/>
  <c r="Y70" i="14"/>
  <c r="X70" i="14"/>
  <c r="Z69" i="14"/>
  <c r="Y69" i="14"/>
  <c r="X69" i="14"/>
  <c r="Z68" i="14"/>
  <c r="Y68" i="14"/>
  <c r="X68" i="14"/>
  <c r="Z67" i="14"/>
  <c r="Y67" i="14"/>
  <c r="X67" i="14"/>
  <c r="Z66" i="14"/>
  <c r="Y66" i="14"/>
  <c r="X66" i="14"/>
  <c r="Z65" i="14"/>
  <c r="Y65" i="14"/>
  <c r="X65" i="14"/>
  <c r="Z64" i="14"/>
  <c r="Y64" i="14"/>
  <c r="X64" i="14"/>
  <c r="Z63" i="14"/>
  <c r="Y63" i="14"/>
  <c r="X63" i="14"/>
  <c r="Z62" i="14"/>
  <c r="Y62" i="14"/>
  <c r="X62" i="14"/>
  <c r="Z61" i="14"/>
  <c r="Y61" i="14"/>
  <c r="X61" i="14"/>
  <c r="Z60" i="14"/>
  <c r="Y60" i="14"/>
  <c r="X60" i="14"/>
  <c r="Z59" i="14"/>
  <c r="Y59" i="14"/>
  <c r="X59" i="14"/>
  <c r="Z58" i="14"/>
  <c r="Y58" i="14"/>
  <c r="X58" i="14"/>
  <c r="Z57" i="14"/>
  <c r="Y57" i="14"/>
  <c r="X57" i="14"/>
  <c r="Z56" i="14"/>
  <c r="Y56" i="14"/>
  <c r="X56" i="14"/>
  <c r="Z55" i="14"/>
  <c r="Y55" i="14"/>
  <c r="X55" i="14"/>
  <c r="Z54" i="14"/>
  <c r="Y54" i="14"/>
  <c r="X54" i="14"/>
  <c r="Z53" i="14"/>
  <c r="Y53" i="14"/>
  <c r="X53" i="14"/>
  <c r="Z52" i="14"/>
  <c r="Y52" i="14"/>
  <c r="X52" i="14"/>
  <c r="Z51" i="14"/>
  <c r="Y51" i="14"/>
  <c r="X51" i="14"/>
  <c r="Z50" i="14"/>
  <c r="Y50" i="14"/>
  <c r="X50" i="14"/>
  <c r="Z49" i="14"/>
  <c r="Y49" i="14"/>
  <c r="X49" i="14"/>
  <c r="Z48" i="14"/>
  <c r="Y48" i="14"/>
  <c r="X48" i="14"/>
  <c r="Z47" i="14"/>
  <c r="Y47" i="14"/>
  <c r="X47" i="14"/>
  <c r="Z46" i="14"/>
  <c r="Y46" i="14"/>
  <c r="X46" i="14"/>
  <c r="Z45" i="14"/>
  <c r="Y45" i="14"/>
  <c r="X45" i="14"/>
  <c r="Z44" i="14"/>
  <c r="Y44" i="14"/>
  <c r="X44" i="14"/>
  <c r="Z43" i="14"/>
  <c r="Y43" i="14"/>
  <c r="X43" i="14"/>
  <c r="Z42" i="14"/>
  <c r="Y42" i="14"/>
  <c r="X42" i="14"/>
  <c r="Z41" i="14"/>
  <c r="Y41" i="14"/>
  <c r="X41" i="14"/>
  <c r="Z40" i="14"/>
  <c r="Y40" i="14"/>
  <c r="X40" i="14"/>
  <c r="Z39" i="14"/>
  <c r="Y39" i="14"/>
  <c r="X39" i="14"/>
  <c r="Z38" i="14"/>
  <c r="Y38" i="14"/>
  <c r="X38" i="14"/>
  <c r="Z37" i="14"/>
  <c r="Y37" i="14"/>
  <c r="X37" i="14"/>
  <c r="Z36" i="14"/>
  <c r="Y36" i="14"/>
  <c r="X36" i="14"/>
  <c r="Z35" i="14"/>
  <c r="Y35" i="14"/>
  <c r="X35" i="14"/>
  <c r="Z34" i="14"/>
  <c r="Y34" i="14"/>
  <c r="X34" i="14"/>
  <c r="Z33" i="14"/>
  <c r="Y33" i="14"/>
  <c r="X33" i="14"/>
  <c r="Z32" i="14"/>
  <c r="Y32" i="14"/>
  <c r="X32" i="14"/>
  <c r="Z31" i="14"/>
  <c r="Y31" i="14"/>
  <c r="X31" i="14"/>
  <c r="Z30" i="14"/>
  <c r="Y30" i="14"/>
  <c r="X30" i="14"/>
  <c r="Z29" i="14"/>
  <c r="Y29" i="14"/>
  <c r="X29" i="14"/>
  <c r="Z28" i="14"/>
  <c r="Y28" i="14"/>
  <c r="X28" i="14"/>
  <c r="Z27" i="14"/>
  <c r="Y27" i="14"/>
  <c r="X27" i="14"/>
  <c r="Z26" i="14"/>
  <c r="Y26" i="14"/>
  <c r="X26" i="14"/>
  <c r="Z25" i="14"/>
  <c r="Y25" i="14"/>
  <c r="X25" i="14"/>
  <c r="Z24" i="14"/>
  <c r="Y24" i="14"/>
  <c r="X24" i="14"/>
  <c r="Z23" i="14"/>
  <c r="Y23" i="14"/>
  <c r="X23" i="14"/>
  <c r="Z22" i="14"/>
  <c r="Y22" i="14"/>
  <c r="X22" i="14"/>
  <c r="Z21" i="14"/>
  <c r="Y21" i="14"/>
  <c r="X21" i="14"/>
  <c r="Z20" i="14"/>
  <c r="Y20" i="14"/>
  <c r="X20" i="14"/>
  <c r="V78" i="14"/>
  <c r="U78" i="14"/>
  <c r="T78" i="14"/>
  <c r="V77" i="14"/>
  <c r="U77" i="14"/>
  <c r="T77" i="14"/>
  <c r="V76" i="14"/>
  <c r="U76" i="14"/>
  <c r="T76" i="14"/>
  <c r="V75" i="14"/>
  <c r="U75" i="14"/>
  <c r="T75" i="14"/>
  <c r="V74" i="14"/>
  <c r="U74" i="14"/>
  <c r="T74" i="14"/>
  <c r="V73" i="14"/>
  <c r="U73" i="14"/>
  <c r="T73" i="14"/>
  <c r="V72" i="14"/>
  <c r="U72" i="14"/>
  <c r="T72" i="14"/>
  <c r="V71" i="14"/>
  <c r="U71" i="14"/>
  <c r="T71" i="14"/>
  <c r="V70" i="14"/>
  <c r="U70" i="14"/>
  <c r="T70" i="14"/>
  <c r="V69" i="14"/>
  <c r="U69" i="14"/>
  <c r="T69" i="14"/>
  <c r="V68" i="14"/>
  <c r="U68" i="14"/>
  <c r="T68" i="14"/>
  <c r="V67" i="14"/>
  <c r="U67" i="14"/>
  <c r="T67" i="14"/>
  <c r="V66" i="14"/>
  <c r="U66" i="14"/>
  <c r="T66" i="14"/>
  <c r="V65" i="14"/>
  <c r="U65" i="14"/>
  <c r="T65" i="14"/>
  <c r="V64" i="14"/>
  <c r="U64" i="14"/>
  <c r="T64" i="14"/>
  <c r="V63" i="14"/>
  <c r="U63" i="14"/>
  <c r="T63" i="14"/>
  <c r="V62" i="14"/>
  <c r="U62" i="14"/>
  <c r="T62" i="14"/>
  <c r="V61" i="14"/>
  <c r="U61" i="14"/>
  <c r="T61" i="14"/>
  <c r="V60" i="14"/>
  <c r="U60" i="14"/>
  <c r="T60" i="14"/>
  <c r="V59" i="14"/>
  <c r="U59" i="14"/>
  <c r="T59" i="14"/>
  <c r="V58" i="14"/>
  <c r="U58" i="14"/>
  <c r="T58" i="14"/>
  <c r="V57" i="14"/>
  <c r="U57" i="14"/>
  <c r="T57" i="14"/>
  <c r="V56" i="14"/>
  <c r="U56" i="14"/>
  <c r="T56" i="14"/>
  <c r="V55" i="14"/>
  <c r="U55" i="14"/>
  <c r="T55" i="14"/>
  <c r="V54" i="14"/>
  <c r="U54" i="14"/>
  <c r="T54" i="14"/>
  <c r="V53" i="14"/>
  <c r="U53" i="14"/>
  <c r="T53" i="14"/>
  <c r="V52" i="14"/>
  <c r="U52" i="14"/>
  <c r="T52" i="14"/>
  <c r="V51" i="14"/>
  <c r="U51" i="14"/>
  <c r="T51" i="14"/>
  <c r="V50" i="14"/>
  <c r="U50" i="14"/>
  <c r="T50" i="14"/>
  <c r="V49" i="14"/>
  <c r="U49" i="14"/>
  <c r="T49" i="14"/>
  <c r="V48" i="14"/>
  <c r="U48" i="14"/>
  <c r="T48" i="14"/>
  <c r="V47" i="14"/>
  <c r="U47" i="14"/>
  <c r="T47" i="14"/>
  <c r="V46" i="14"/>
  <c r="U46" i="14"/>
  <c r="T46" i="14"/>
  <c r="V45" i="14"/>
  <c r="U45" i="14"/>
  <c r="T45" i="14"/>
  <c r="V44" i="14"/>
  <c r="U44" i="14"/>
  <c r="T44" i="14"/>
  <c r="V43" i="14"/>
  <c r="U43" i="14"/>
  <c r="T43" i="14"/>
  <c r="V42" i="14"/>
  <c r="U42" i="14"/>
  <c r="T42" i="14"/>
  <c r="V41" i="14"/>
  <c r="U41" i="14"/>
  <c r="T41" i="14"/>
  <c r="V40" i="14"/>
  <c r="U40" i="14"/>
  <c r="T40" i="14"/>
  <c r="V39" i="14"/>
  <c r="U39" i="14"/>
  <c r="T39" i="14"/>
  <c r="V38" i="14"/>
  <c r="U38" i="14"/>
  <c r="T38" i="14"/>
  <c r="V37" i="14"/>
  <c r="U37" i="14"/>
  <c r="T37" i="14"/>
  <c r="V36" i="14"/>
  <c r="U36" i="14"/>
  <c r="T36" i="14"/>
  <c r="V35" i="14"/>
  <c r="U35" i="14"/>
  <c r="T35" i="14"/>
  <c r="V34" i="14"/>
  <c r="U34" i="14"/>
  <c r="T34" i="14"/>
  <c r="V33" i="14"/>
  <c r="U33" i="14"/>
  <c r="T33" i="14"/>
  <c r="V32" i="14"/>
  <c r="U32" i="14"/>
  <c r="T32" i="14"/>
  <c r="V31" i="14"/>
  <c r="U31" i="14"/>
  <c r="T31" i="14"/>
  <c r="V30" i="14"/>
  <c r="U30" i="14"/>
  <c r="T30" i="14"/>
  <c r="V29" i="14"/>
  <c r="U29" i="14"/>
  <c r="T29" i="14"/>
  <c r="V28" i="14"/>
  <c r="U28" i="14"/>
  <c r="T28" i="14"/>
  <c r="V27" i="14"/>
  <c r="U27" i="14"/>
  <c r="T27" i="14"/>
  <c r="V26" i="14"/>
  <c r="U26" i="14"/>
  <c r="T26" i="14"/>
  <c r="V25" i="14"/>
  <c r="U25" i="14"/>
  <c r="T25" i="14"/>
  <c r="V24" i="14"/>
  <c r="U24" i="14"/>
  <c r="T24" i="14"/>
  <c r="V23" i="14"/>
  <c r="U23" i="14"/>
  <c r="T23" i="14"/>
  <c r="V22" i="14"/>
  <c r="U22" i="14"/>
  <c r="T22" i="14"/>
  <c r="V21" i="14"/>
  <c r="U21" i="14"/>
  <c r="T21" i="14"/>
  <c r="V20" i="14"/>
  <c r="U20" i="14"/>
  <c r="T20" i="14"/>
  <c r="R78" i="14"/>
  <c r="Q78" i="14"/>
  <c r="P78" i="14"/>
  <c r="R77" i="14"/>
  <c r="Q77" i="14"/>
  <c r="P77" i="14"/>
  <c r="R76" i="14"/>
  <c r="Q76" i="14"/>
  <c r="P76" i="14"/>
  <c r="R75" i="14"/>
  <c r="Q75" i="14"/>
  <c r="P75" i="14"/>
  <c r="R74" i="14"/>
  <c r="Q74" i="14"/>
  <c r="P74" i="14"/>
  <c r="R73" i="14"/>
  <c r="Q73" i="14"/>
  <c r="P73" i="14"/>
  <c r="R72" i="14"/>
  <c r="Q72" i="14"/>
  <c r="P72" i="14"/>
  <c r="R71" i="14"/>
  <c r="Q71" i="14"/>
  <c r="P71" i="14"/>
  <c r="R70" i="14"/>
  <c r="Q70" i="14"/>
  <c r="P70" i="14"/>
  <c r="R69" i="14"/>
  <c r="Q69" i="14"/>
  <c r="P69" i="14"/>
  <c r="R68" i="14"/>
  <c r="Q68" i="14"/>
  <c r="P68" i="14"/>
  <c r="R67" i="14"/>
  <c r="Q67" i="14"/>
  <c r="P67" i="14"/>
  <c r="R66" i="14"/>
  <c r="Q66" i="14"/>
  <c r="P66" i="14"/>
  <c r="R65" i="14"/>
  <c r="Q65" i="14"/>
  <c r="P65" i="14"/>
  <c r="R64" i="14"/>
  <c r="Q64" i="14"/>
  <c r="P64" i="14"/>
  <c r="R63" i="14"/>
  <c r="Q63" i="14"/>
  <c r="P63" i="14"/>
  <c r="R62" i="14"/>
  <c r="Q62" i="14"/>
  <c r="P62" i="14"/>
  <c r="R61" i="14"/>
  <c r="Q61" i="14"/>
  <c r="P61" i="14"/>
  <c r="R60" i="14"/>
  <c r="Q60" i="14"/>
  <c r="P60" i="14"/>
  <c r="R59" i="14"/>
  <c r="Q59" i="14"/>
  <c r="P59" i="14"/>
  <c r="R58" i="14"/>
  <c r="Q58" i="14"/>
  <c r="P58" i="14"/>
  <c r="R57" i="14"/>
  <c r="Q57" i="14"/>
  <c r="P57" i="14"/>
  <c r="R56" i="14"/>
  <c r="Q56" i="14"/>
  <c r="P56" i="14"/>
  <c r="R55" i="14"/>
  <c r="Q55" i="14"/>
  <c r="P55" i="14"/>
  <c r="R54" i="14"/>
  <c r="Q54" i="14"/>
  <c r="P54" i="14"/>
  <c r="R53" i="14"/>
  <c r="Q53" i="14"/>
  <c r="P53" i="14"/>
  <c r="R52" i="14"/>
  <c r="Q52" i="14"/>
  <c r="P52" i="14"/>
  <c r="R51" i="14"/>
  <c r="Q51" i="14"/>
  <c r="P51" i="14"/>
  <c r="R50" i="14"/>
  <c r="Q50" i="14"/>
  <c r="P50" i="14"/>
  <c r="R49" i="14"/>
  <c r="Q49" i="14"/>
  <c r="P49" i="14"/>
  <c r="R48" i="14"/>
  <c r="Q48" i="14"/>
  <c r="P48" i="14"/>
  <c r="R47" i="14"/>
  <c r="Q47" i="14"/>
  <c r="P47" i="14"/>
  <c r="R46" i="14"/>
  <c r="Q46" i="14"/>
  <c r="P46" i="14"/>
  <c r="R45" i="14"/>
  <c r="Q45" i="14"/>
  <c r="P45" i="14"/>
  <c r="R44" i="14"/>
  <c r="Q44" i="14"/>
  <c r="P44" i="14"/>
  <c r="R43" i="14"/>
  <c r="Q43" i="14"/>
  <c r="P43" i="14"/>
  <c r="R42" i="14"/>
  <c r="Q42" i="14"/>
  <c r="P42" i="14"/>
  <c r="R41" i="14"/>
  <c r="Q41" i="14"/>
  <c r="P41" i="14"/>
  <c r="R40" i="14"/>
  <c r="Q40" i="14"/>
  <c r="P40" i="14"/>
  <c r="R39" i="14"/>
  <c r="Q39" i="14"/>
  <c r="P39" i="14"/>
  <c r="R38" i="14"/>
  <c r="Q38" i="14"/>
  <c r="P38" i="14"/>
  <c r="R37" i="14"/>
  <c r="Q37" i="14"/>
  <c r="P37" i="14"/>
  <c r="R36" i="14"/>
  <c r="Q36" i="14"/>
  <c r="P36" i="14"/>
  <c r="R35" i="14"/>
  <c r="Q35" i="14"/>
  <c r="P35" i="14"/>
  <c r="R34" i="14"/>
  <c r="Q34" i="14"/>
  <c r="P34" i="14"/>
  <c r="R33" i="14"/>
  <c r="Q33" i="14"/>
  <c r="P33" i="14"/>
  <c r="R32" i="14"/>
  <c r="Q32" i="14"/>
  <c r="P32" i="14"/>
  <c r="R31" i="14"/>
  <c r="Q31" i="14"/>
  <c r="P31" i="14"/>
  <c r="R30" i="14"/>
  <c r="Q30" i="14"/>
  <c r="P30" i="14"/>
  <c r="R29" i="14"/>
  <c r="Q29" i="14"/>
  <c r="P29" i="14"/>
  <c r="R28" i="14"/>
  <c r="Q28" i="14"/>
  <c r="P28" i="14"/>
  <c r="R27" i="14"/>
  <c r="Q27" i="14"/>
  <c r="P27" i="14"/>
  <c r="R26" i="14"/>
  <c r="Q26" i="14"/>
  <c r="P26" i="14"/>
  <c r="R25" i="14"/>
  <c r="Q25" i="14"/>
  <c r="P25" i="14"/>
  <c r="R24" i="14"/>
  <c r="Q24" i="14"/>
  <c r="P24" i="14"/>
  <c r="R23" i="14"/>
  <c r="Q23" i="14"/>
  <c r="P23" i="14"/>
  <c r="R22" i="14"/>
  <c r="Q22" i="14"/>
  <c r="P22" i="14"/>
  <c r="R21" i="14"/>
  <c r="Q21" i="14"/>
  <c r="P21" i="14"/>
  <c r="R20" i="14"/>
  <c r="Q20" i="14"/>
  <c r="P20" i="14"/>
  <c r="L20" i="14"/>
  <c r="M20" i="14"/>
  <c r="N20" i="14"/>
  <c r="L21" i="14"/>
  <c r="M21" i="14"/>
  <c r="N21" i="14"/>
  <c r="L22" i="14"/>
  <c r="M22" i="14"/>
  <c r="N22" i="14"/>
  <c r="L23" i="14"/>
  <c r="M23" i="14"/>
  <c r="N23" i="14"/>
  <c r="L24" i="14"/>
  <c r="M24" i="14"/>
  <c r="N24" i="14"/>
  <c r="L25" i="14"/>
  <c r="M25" i="14"/>
  <c r="N25" i="14"/>
  <c r="L26" i="14"/>
  <c r="M26" i="14"/>
  <c r="N26" i="14"/>
  <c r="L27" i="14"/>
  <c r="M27" i="14"/>
  <c r="N27" i="14"/>
  <c r="L28" i="14"/>
  <c r="M28" i="14"/>
  <c r="N28" i="14"/>
  <c r="L29" i="14"/>
  <c r="M29" i="14"/>
  <c r="N29" i="14"/>
  <c r="L30" i="14"/>
  <c r="M30" i="14"/>
  <c r="N30" i="14"/>
  <c r="L31" i="14"/>
  <c r="M31" i="14"/>
  <c r="N31" i="14"/>
  <c r="L32" i="14"/>
  <c r="M32" i="14"/>
  <c r="N32" i="14"/>
  <c r="L33" i="14"/>
  <c r="M33" i="14"/>
  <c r="N33" i="14"/>
  <c r="L34" i="14"/>
  <c r="M34" i="14"/>
  <c r="N34" i="14"/>
  <c r="L35" i="14"/>
  <c r="M35" i="14"/>
  <c r="N35" i="14"/>
  <c r="L36" i="14"/>
  <c r="M36" i="14"/>
  <c r="N36" i="14"/>
  <c r="L37" i="14"/>
  <c r="M37" i="14"/>
  <c r="N37" i="14"/>
  <c r="L38" i="14"/>
  <c r="M38" i="14"/>
  <c r="N38" i="14"/>
  <c r="L39" i="14"/>
  <c r="M39" i="14"/>
  <c r="N39" i="14"/>
  <c r="L40" i="14"/>
  <c r="M40" i="14"/>
  <c r="N40" i="14"/>
  <c r="L41" i="14"/>
  <c r="M41" i="14"/>
  <c r="N41" i="14"/>
  <c r="L42" i="14"/>
  <c r="M42" i="14"/>
  <c r="N42" i="14"/>
  <c r="L43" i="14"/>
  <c r="M43" i="14"/>
  <c r="N43" i="14"/>
  <c r="L44" i="14"/>
  <c r="M44" i="14"/>
  <c r="N44" i="14"/>
  <c r="L45" i="14"/>
  <c r="M45" i="14"/>
  <c r="N45" i="14"/>
  <c r="L46" i="14"/>
  <c r="M46" i="14"/>
  <c r="N46" i="14"/>
  <c r="L47" i="14"/>
  <c r="M47" i="14"/>
  <c r="N47" i="14"/>
  <c r="L48" i="14"/>
  <c r="M48" i="14"/>
  <c r="N48" i="14"/>
  <c r="L49" i="14"/>
  <c r="M49" i="14"/>
  <c r="N49" i="14"/>
  <c r="L50" i="14"/>
  <c r="M50" i="14"/>
  <c r="N50" i="14"/>
  <c r="L51" i="14"/>
  <c r="M51" i="14"/>
  <c r="N51" i="14"/>
  <c r="L52" i="14"/>
  <c r="M52" i="14"/>
  <c r="N52" i="14"/>
  <c r="L53" i="14"/>
  <c r="M53" i="14"/>
  <c r="N53" i="14"/>
  <c r="L54" i="14"/>
  <c r="M54" i="14"/>
  <c r="N54" i="14"/>
  <c r="L55" i="14"/>
  <c r="M55" i="14"/>
  <c r="N55" i="14"/>
  <c r="L56" i="14"/>
  <c r="M56" i="14"/>
  <c r="N56" i="14"/>
  <c r="L57" i="14"/>
  <c r="M57" i="14"/>
  <c r="N57" i="14"/>
  <c r="L58" i="14"/>
  <c r="M58" i="14"/>
  <c r="N58" i="14"/>
  <c r="L59" i="14"/>
  <c r="M59" i="14"/>
  <c r="N59" i="14"/>
  <c r="L60" i="14"/>
  <c r="M60" i="14"/>
  <c r="N60" i="14"/>
  <c r="L61" i="14"/>
  <c r="M61" i="14"/>
  <c r="N61" i="14"/>
  <c r="L62" i="14"/>
  <c r="M62" i="14"/>
  <c r="N62" i="14"/>
  <c r="L63" i="14"/>
  <c r="M63" i="14"/>
  <c r="N63" i="14"/>
  <c r="L64" i="14"/>
  <c r="M64" i="14"/>
  <c r="N64" i="14"/>
  <c r="L65" i="14"/>
  <c r="M65" i="14"/>
  <c r="N65" i="14"/>
  <c r="L66" i="14"/>
  <c r="M66" i="14"/>
  <c r="N66" i="14"/>
  <c r="L67" i="14"/>
  <c r="M67" i="14"/>
  <c r="N67" i="14"/>
  <c r="L68" i="14"/>
  <c r="M68" i="14"/>
  <c r="N68" i="14"/>
  <c r="L69" i="14"/>
  <c r="M69" i="14"/>
  <c r="N69" i="14"/>
  <c r="L70" i="14"/>
  <c r="M70" i="14"/>
  <c r="N70" i="14"/>
  <c r="L71" i="14"/>
  <c r="M71" i="14"/>
  <c r="N71" i="14"/>
  <c r="L72" i="14"/>
  <c r="M72" i="14"/>
  <c r="N72" i="14"/>
  <c r="L73" i="14"/>
  <c r="M73" i="14"/>
  <c r="N73" i="14"/>
  <c r="L74" i="14"/>
  <c r="M74" i="14"/>
  <c r="N74" i="14"/>
  <c r="L75" i="14"/>
  <c r="M75" i="14"/>
  <c r="N75" i="14"/>
  <c r="L76" i="14"/>
  <c r="M76" i="14"/>
  <c r="N76" i="14"/>
  <c r="L77" i="14"/>
  <c r="M77" i="14"/>
  <c r="N77" i="14"/>
  <c r="L78" i="14"/>
  <c r="M78" i="14"/>
  <c r="N78" i="14"/>
  <c r="J78" i="14"/>
  <c r="I78" i="14"/>
  <c r="H78" i="14"/>
  <c r="J77" i="14"/>
  <c r="I77" i="14"/>
  <c r="H77" i="14"/>
  <c r="J76" i="14"/>
  <c r="I76" i="14"/>
  <c r="H76" i="14"/>
  <c r="J75" i="14"/>
  <c r="I75" i="14"/>
  <c r="H75" i="14"/>
  <c r="J74" i="14"/>
  <c r="I74" i="14"/>
  <c r="H74" i="14"/>
  <c r="J73" i="14"/>
  <c r="I73" i="14"/>
  <c r="H73" i="14"/>
  <c r="J72" i="14"/>
  <c r="I72" i="14"/>
  <c r="H72" i="14"/>
  <c r="J71" i="14"/>
  <c r="I71" i="14"/>
  <c r="H71" i="14"/>
  <c r="J70" i="14"/>
  <c r="I70" i="14"/>
  <c r="H70" i="14"/>
  <c r="J69" i="14"/>
  <c r="I69" i="14"/>
  <c r="H69" i="14"/>
  <c r="J68" i="14"/>
  <c r="I68" i="14"/>
  <c r="H68" i="14"/>
  <c r="J67" i="14"/>
  <c r="I67" i="14"/>
  <c r="H67" i="14"/>
  <c r="J66" i="14"/>
  <c r="I66" i="14"/>
  <c r="H66" i="14"/>
  <c r="J65" i="14"/>
  <c r="I65" i="14"/>
  <c r="H65" i="14"/>
  <c r="J64" i="14"/>
  <c r="I64" i="14"/>
  <c r="H64" i="14"/>
  <c r="J63" i="14"/>
  <c r="I63" i="14"/>
  <c r="H63" i="14"/>
  <c r="J62" i="14"/>
  <c r="I62" i="14"/>
  <c r="H62" i="14"/>
  <c r="J61" i="14"/>
  <c r="I61" i="14"/>
  <c r="H61" i="14"/>
  <c r="J60" i="14"/>
  <c r="I60" i="14"/>
  <c r="H60" i="14"/>
  <c r="J59" i="14"/>
  <c r="I59" i="14"/>
  <c r="H59" i="14"/>
  <c r="J58" i="14"/>
  <c r="I58" i="14"/>
  <c r="H58" i="14"/>
  <c r="J57" i="14"/>
  <c r="I57" i="14"/>
  <c r="H57" i="14"/>
  <c r="J56" i="14"/>
  <c r="I56" i="14"/>
  <c r="H56" i="14"/>
  <c r="J55" i="14"/>
  <c r="I55" i="14"/>
  <c r="H55" i="14"/>
  <c r="J54" i="14"/>
  <c r="I54" i="14"/>
  <c r="H54" i="14"/>
  <c r="J53" i="14"/>
  <c r="I53" i="14"/>
  <c r="H53" i="14"/>
  <c r="J52" i="14"/>
  <c r="I52" i="14"/>
  <c r="H52" i="14"/>
  <c r="J51" i="14"/>
  <c r="I51" i="14"/>
  <c r="H51" i="14"/>
  <c r="J50" i="14"/>
  <c r="I50" i="14"/>
  <c r="H50" i="14"/>
  <c r="J49" i="14"/>
  <c r="I49" i="14"/>
  <c r="H49" i="14"/>
  <c r="J48" i="14"/>
  <c r="I48" i="14"/>
  <c r="H48" i="14"/>
  <c r="J47" i="14"/>
  <c r="I47" i="14"/>
  <c r="H47" i="14"/>
  <c r="J46" i="14"/>
  <c r="I46" i="14"/>
  <c r="H46" i="14"/>
  <c r="J45" i="14"/>
  <c r="I45" i="14"/>
  <c r="H45" i="14"/>
  <c r="J44" i="14"/>
  <c r="I44" i="14"/>
  <c r="H44" i="14"/>
  <c r="J43" i="14"/>
  <c r="I43" i="14"/>
  <c r="H43" i="14"/>
  <c r="J42" i="14"/>
  <c r="I42" i="14"/>
  <c r="H42" i="14"/>
  <c r="J41" i="14"/>
  <c r="I41" i="14"/>
  <c r="H41" i="14"/>
  <c r="J40" i="14"/>
  <c r="I40" i="14"/>
  <c r="H40" i="14"/>
  <c r="J39" i="14"/>
  <c r="I39" i="14"/>
  <c r="H39" i="14"/>
  <c r="J38" i="14"/>
  <c r="I38" i="14"/>
  <c r="H38" i="14"/>
  <c r="J37" i="14"/>
  <c r="I37" i="14"/>
  <c r="H37" i="14"/>
  <c r="J36" i="14"/>
  <c r="I36" i="14"/>
  <c r="H36" i="14"/>
  <c r="J35" i="14"/>
  <c r="I35" i="14"/>
  <c r="H35" i="14"/>
  <c r="J34" i="14"/>
  <c r="I34" i="14"/>
  <c r="H34" i="14"/>
  <c r="J33" i="14"/>
  <c r="I33" i="14"/>
  <c r="H33" i="14"/>
  <c r="J32" i="14"/>
  <c r="I32" i="14"/>
  <c r="H32" i="14"/>
  <c r="J31" i="14"/>
  <c r="I31" i="14"/>
  <c r="H31" i="14"/>
  <c r="J30" i="14"/>
  <c r="I30" i="14"/>
  <c r="H30" i="14"/>
  <c r="J29" i="14"/>
  <c r="I29" i="14"/>
  <c r="H29" i="14"/>
  <c r="J28" i="14"/>
  <c r="I28" i="14"/>
  <c r="H28" i="14"/>
  <c r="J27" i="14"/>
  <c r="I27" i="14"/>
  <c r="H27" i="14"/>
  <c r="J26" i="14"/>
  <c r="I26" i="14"/>
  <c r="H26" i="14"/>
  <c r="J25" i="14"/>
  <c r="I25" i="14"/>
  <c r="H25" i="14"/>
  <c r="J24" i="14"/>
  <c r="I24" i="14"/>
  <c r="H24" i="14"/>
  <c r="J23" i="14"/>
  <c r="I23" i="14"/>
  <c r="H23" i="14"/>
  <c r="J22" i="14"/>
  <c r="I22" i="14"/>
  <c r="H22" i="14"/>
  <c r="J21" i="14"/>
  <c r="I21" i="14"/>
  <c r="H21" i="14"/>
  <c r="J20" i="14"/>
  <c r="I20" i="14"/>
  <c r="H20" i="14"/>
  <c r="F78" i="14"/>
  <c r="E78" i="14"/>
  <c r="D78" i="14"/>
  <c r="F77" i="14"/>
  <c r="E77" i="14"/>
  <c r="D77" i="14"/>
  <c r="F76" i="14"/>
  <c r="E76" i="14"/>
  <c r="D76" i="14"/>
  <c r="F75" i="14"/>
  <c r="E75" i="14"/>
  <c r="D75" i="14"/>
  <c r="F74" i="14"/>
  <c r="E74" i="14"/>
  <c r="D74" i="14"/>
  <c r="F73" i="14"/>
  <c r="E73" i="14"/>
  <c r="D73" i="14"/>
  <c r="F72" i="14"/>
  <c r="E72" i="14"/>
  <c r="D72" i="14"/>
  <c r="F71" i="14"/>
  <c r="E71" i="14"/>
  <c r="D71" i="14"/>
  <c r="F70" i="14"/>
  <c r="E70" i="14"/>
  <c r="D70" i="14"/>
  <c r="F69" i="14"/>
  <c r="E69" i="14"/>
  <c r="D69" i="14"/>
  <c r="F68" i="14"/>
  <c r="E68" i="14"/>
  <c r="D68" i="14"/>
  <c r="F67" i="14"/>
  <c r="E67" i="14"/>
  <c r="D67" i="14"/>
  <c r="F66" i="14"/>
  <c r="E66" i="14"/>
  <c r="D66" i="14"/>
  <c r="F65" i="14"/>
  <c r="E65" i="14"/>
  <c r="D65" i="14"/>
  <c r="F64" i="14"/>
  <c r="E64" i="14"/>
  <c r="D64" i="14"/>
  <c r="F63" i="14"/>
  <c r="E63" i="14"/>
  <c r="D63" i="14"/>
  <c r="F62" i="14"/>
  <c r="E62" i="14"/>
  <c r="D62" i="14"/>
  <c r="F61" i="14"/>
  <c r="E61" i="14"/>
  <c r="D61" i="14"/>
  <c r="F60" i="14"/>
  <c r="E60" i="14"/>
  <c r="D60" i="14"/>
  <c r="F59" i="14"/>
  <c r="E59" i="14"/>
  <c r="D59" i="14"/>
  <c r="F58" i="14"/>
  <c r="E58" i="14"/>
  <c r="D58" i="14"/>
  <c r="F57" i="14"/>
  <c r="E57" i="14"/>
  <c r="D57" i="14"/>
  <c r="F56" i="14"/>
  <c r="E56" i="14"/>
  <c r="D56" i="14"/>
  <c r="F55" i="14"/>
  <c r="E55" i="14"/>
  <c r="D55" i="14"/>
  <c r="F54" i="14"/>
  <c r="E54" i="14"/>
  <c r="D54" i="14"/>
  <c r="F53" i="14"/>
  <c r="E53" i="14"/>
  <c r="D53" i="14"/>
  <c r="F52" i="14"/>
  <c r="E52" i="14"/>
  <c r="D52" i="14"/>
  <c r="F51" i="14"/>
  <c r="E51" i="14"/>
  <c r="D51" i="14"/>
  <c r="F50" i="14"/>
  <c r="E50" i="14"/>
  <c r="D50" i="14"/>
  <c r="F49" i="14"/>
  <c r="E49" i="14"/>
  <c r="D49" i="14"/>
  <c r="F48" i="14"/>
  <c r="E48" i="14"/>
  <c r="D48" i="14"/>
  <c r="F47" i="14"/>
  <c r="E47" i="14"/>
  <c r="D47" i="14"/>
  <c r="F46" i="14"/>
  <c r="E46" i="14"/>
  <c r="D46" i="14"/>
  <c r="F45" i="14"/>
  <c r="E45" i="14"/>
  <c r="D45" i="14"/>
  <c r="F44" i="14"/>
  <c r="E44" i="14"/>
  <c r="D44" i="14"/>
  <c r="F43" i="14"/>
  <c r="E43" i="14"/>
  <c r="D43" i="14"/>
  <c r="F42" i="14"/>
  <c r="E42" i="14"/>
  <c r="D42" i="14"/>
  <c r="F41" i="14"/>
  <c r="E41" i="14"/>
  <c r="D41" i="14"/>
  <c r="F40" i="14"/>
  <c r="E40" i="14"/>
  <c r="D40" i="14"/>
  <c r="F39" i="14"/>
  <c r="E39" i="14"/>
  <c r="D39" i="14"/>
  <c r="F38" i="14"/>
  <c r="E38" i="14"/>
  <c r="D38" i="14"/>
  <c r="F37" i="14"/>
  <c r="E37" i="14"/>
  <c r="D37" i="14"/>
  <c r="F36" i="14"/>
  <c r="E36" i="14"/>
  <c r="D36" i="14"/>
  <c r="F35" i="14"/>
  <c r="E35" i="14"/>
  <c r="D35" i="14"/>
  <c r="F34" i="14"/>
  <c r="E34" i="14"/>
  <c r="D34" i="14"/>
  <c r="F33" i="14"/>
  <c r="E33" i="14"/>
  <c r="D33" i="14"/>
  <c r="F32" i="14"/>
  <c r="E32" i="14"/>
  <c r="D32" i="14"/>
  <c r="F31" i="14"/>
  <c r="E31" i="14"/>
  <c r="D31" i="14"/>
  <c r="F30" i="14"/>
  <c r="E30" i="14"/>
  <c r="D30" i="14"/>
  <c r="F29" i="14"/>
  <c r="E29" i="14"/>
  <c r="D29" i="14"/>
  <c r="F28" i="14"/>
  <c r="E28" i="14"/>
  <c r="D28" i="14"/>
  <c r="F27" i="14"/>
  <c r="E27" i="14"/>
  <c r="D27" i="14"/>
  <c r="F26" i="14"/>
  <c r="E26" i="14"/>
  <c r="D26" i="14"/>
  <c r="F25" i="14"/>
  <c r="E25" i="14"/>
  <c r="D25" i="14"/>
  <c r="F24" i="14"/>
  <c r="E24" i="14"/>
  <c r="D24" i="14"/>
  <c r="F23" i="14"/>
  <c r="E23" i="14"/>
  <c r="D23" i="14"/>
  <c r="F22" i="14"/>
  <c r="E22" i="14"/>
  <c r="D22" i="14"/>
  <c r="F21" i="14"/>
  <c r="E21" i="14"/>
  <c r="D21" i="14"/>
  <c r="F20" i="14"/>
  <c r="E20" i="14"/>
  <c r="D20" i="14"/>
  <c r="M124" i="5"/>
  <c r="N124" i="5"/>
  <c r="M123" i="5"/>
  <c r="N123" i="5"/>
  <c r="M122" i="5"/>
  <c r="N122" i="5"/>
  <c r="M121" i="5"/>
  <c r="N121" i="5"/>
  <c r="M120" i="5"/>
  <c r="N120" i="5"/>
  <c r="M119" i="5"/>
  <c r="N119" i="5"/>
  <c r="M118" i="5"/>
  <c r="N118" i="5"/>
  <c r="M117" i="5"/>
  <c r="N117" i="5"/>
  <c r="Z3" i="6"/>
  <c r="Y3" i="6"/>
  <c r="X3" i="6"/>
  <c r="A27" i="5"/>
  <c r="A3" i="6"/>
  <c r="B3" i="6"/>
  <c r="C3" i="6"/>
  <c r="D3" i="6"/>
  <c r="E3" i="6"/>
  <c r="F3" i="6"/>
  <c r="G3" i="6"/>
  <c r="H3" i="6"/>
  <c r="I3" i="6"/>
  <c r="J3" i="6"/>
  <c r="K3" i="6"/>
  <c r="L3" i="6"/>
  <c r="M3" i="6"/>
  <c r="N3" i="6"/>
  <c r="O3" i="6"/>
  <c r="P3" i="6"/>
  <c r="Q3" i="6"/>
  <c r="R3" i="6"/>
  <c r="G27" i="5"/>
  <c r="R4" i="6"/>
  <c r="Q4" i="6"/>
  <c r="P4" i="6"/>
  <c r="O4" i="6"/>
  <c r="N4" i="6"/>
  <c r="M4" i="6"/>
  <c r="L11" i="6"/>
  <c r="K11" i="6"/>
  <c r="L10" i="6"/>
  <c r="K10" i="6"/>
  <c r="L9" i="6"/>
  <c r="K9" i="6"/>
  <c r="K8" i="6"/>
  <c r="L7" i="6"/>
  <c r="K7" i="6"/>
  <c r="L6" i="6"/>
  <c r="K6" i="6"/>
  <c r="L5" i="6"/>
  <c r="K5" i="6"/>
  <c r="L4" i="6"/>
  <c r="K4" i="6"/>
  <c r="J9" i="6"/>
  <c r="J14" i="6"/>
  <c r="J11" i="6"/>
  <c r="J10" i="6"/>
  <c r="J7" i="6"/>
  <c r="J6" i="6"/>
  <c r="J5" i="6"/>
  <c r="J4" i="6"/>
  <c r="I11" i="6"/>
  <c r="I9" i="6"/>
  <c r="I8" i="6"/>
  <c r="I7" i="6"/>
  <c r="I6" i="6"/>
  <c r="I5" i="6"/>
  <c r="I14" i="6"/>
  <c r="I10" i="6"/>
  <c r="I4" i="6"/>
  <c r="H14" i="6"/>
  <c r="H10" i="6"/>
  <c r="H4" i="6"/>
  <c r="G14" i="6"/>
  <c r="G8" i="6"/>
  <c r="G10" i="6"/>
  <c r="G4" i="6"/>
  <c r="F10" i="6"/>
  <c r="F4" i="6"/>
  <c r="E8" i="6"/>
  <c r="E10" i="6"/>
  <c r="E4" i="6"/>
  <c r="R11" i="6"/>
  <c r="Q11" i="6"/>
  <c r="R9" i="6"/>
  <c r="Q9" i="6"/>
  <c r="Q8" i="6"/>
  <c r="R6" i="6"/>
  <c r="Q6" i="6"/>
  <c r="R5" i="6"/>
  <c r="Q5" i="6"/>
  <c r="R10" i="6"/>
  <c r="Q10" i="6"/>
  <c r="P10" i="6"/>
  <c r="O8" i="6"/>
  <c r="O10" i="6"/>
  <c r="M8" i="6"/>
  <c r="N13" i="6"/>
  <c r="N12" i="6"/>
  <c r="N10" i="6"/>
  <c r="M13" i="6"/>
  <c r="M12" i="6"/>
  <c r="M10" i="6"/>
  <c r="D14" i="6"/>
  <c r="C14" i="6"/>
  <c r="D10" i="6"/>
  <c r="C10" i="6"/>
  <c r="B10" i="6"/>
  <c r="A10" i="6"/>
  <c r="C8" i="6"/>
  <c r="A8" i="6"/>
  <c r="L27" i="5"/>
  <c r="G10" i="15"/>
  <c r="A28" i="5"/>
  <c r="L28" i="5"/>
  <c r="D27" i="5"/>
  <c r="I27" i="5"/>
  <c r="K27" i="5"/>
  <c r="E27" i="5"/>
  <c r="C27" i="5"/>
  <c r="G11" i="15"/>
  <c r="G15" i="15"/>
  <c r="G12" i="15"/>
  <c r="C13" i="15"/>
  <c r="G9" i="15"/>
  <c r="K9" i="15"/>
  <c r="G14" i="15"/>
  <c r="K14" i="15"/>
  <c r="C3" i="15"/>
  <c r="F62" i="5"/>
  <c r="K5" i="15"/>
  <c r="J64" i="5"/>
  <c r="C12" i="15"/>
  <c r="K10" i="15"/>
  <c r="C11" i="15"/>
  <c r="C14" i="15"/>
  <c r="K15" i="15"/>
  <c r="C10" i="15"/>
  <c r="K13" i="15"/>
  <c r="C15" i="15"/>
  <c r="G4" i="15"/>
  <c r="H63" i="5"/>
  <c r="C9" i="15"/>
  <c r="K12" i="15"/>
  <c r="G13" i="15"/>
  <c r="K11" i="15"/>
  <c r="K4" i="15"/>
  <c r="J63" i="5"/>
  <c r="K8" i="14"/>
  <c r="J44" i="5"/>
  <c r="K3" i="14"/>
  <c r="J39" i="5"/>
  <c r="C5" i="14"/>
  <c r="F41" i="5"/>
  <c r="K7" i="14"/>
  <c r="J43" i="5"/>
  <c r="C9" i="14"/>
  <c r="F45" i="5"/>
  <c r="G12" i="14"/>
  <c r="H48" i="5"/>
  <c r="K15" i="14"/>
  <c r="J51" i="5"/>
  <c r="K6" i="14"/>
  <c r="J42" i="5"/>
  <c r="C8" i="14"/>
  <c r="F44" i="5"/>
  <c r="G6" i="14"/>
  <c r="H42" i="5"/>
  <c r="C7" i="14"/>
  <c r="F43" i="5"/>
  <c r="K9" i="14"/>
  <c r="J45" i="5"/>
  <c r="C7" i="15"/>
  <c r="F66" i="5"/>
  <c r="C5" i="15"/>
  <c r="F64" i="5"/>
  <c r="C4" i="15"/>
  <c r="F63" i="5"/>
  <c r="G5" i="15"/>
  <c r="H64" i="5"/>
  <c r="K6" i="15"/>
  <c r="J65" i="5"/>
  <c r="G7" i="15"/>
  <c r="H66" i="5"/>
  <c r="K8" i="15"/>
  <c r="J67" i="5"/>
  <c r="G8" i="15"/>
  <c r="H67" i="5"/>
  <c r="C8" i="15"/>
  <c r="F67" i="5"/>
  <c r="K7" i="15"/>
  <c r="J66" i="5"/>
  <c r="C6" i="15"/>
  <c r="F65" i="5"/>
  <c r="G6" i="15"/>
  <c r="H65" i="5"/>
  <c r="K3" i="15"/>
  <c r="J62" i="5"/>
  <c r="G3" i="15"/>
  <c r="H62" i="5"/>
  <c r="J60" i="5"/>
  <c r="H60" i="5"/>
  <c r="F60" i="5"/>
  <c r="H61" i="5"/>
  <c r="F61" i="5"/>
  <c r="J61" i="5"/>
  <c r="C15" i="14"/>
  <c r="F51" i="5"/>
  <c r="G11" i="14"/>
  <c r="H47" i="5"/>
  <c r="G5" i="14"/>
  <c r="H41" i="5"/>
  <c r="G15" i="14"/>
  <c r="H51" i="5"/>
  <c r="K14" i="14"/>
  <c r="J50" i="5"/>
  <c r="C12" i="14"/>
  <c r="F48" i="5"/>
  <c r="K10" i="14"/>
  <c r="J46" i="5"/>
  <c r="G10" i="14"/>
  <c r="H46" i="5"/>
  <c r="G7" i="14"/>
  <c r="H43" i="5"/>
  <c r="K4" i="14"/>
  <c r="J40" i="5"/>
  <c r="G3" i="14"/>
  <c r="H39" i="5"/>
  <c r="C13" i="14"/>
  <c r="F49" i="5"/>
  <c r="G9" i="14"/>
  <c r="H45" i="5"/>
  <c r="C10" i="14"/>
  <c r="F46" i="5"/>
  <c r="K12" i="14"/>
  <c r="J48" i="5"/>
  <c r="G13" i="14"/>
  <c r="H49" i="5"/>
  <c r="C14" i="14"/>
  <c r="F50" i="5"/>
  <c r="G14" i="14"/>
  <c r="H50" i="5"/>
  <c r="K13" i="14"/>
  <c r="J49" i="5"/>
  <c r="G8" i="14"/>
  <c r="H44" i="5"/>
  <c r="C6" i="14"/>
  <c r="F42" i="5"/>
  <c r="K5" i="14"/>
  <c r="J41" i="5"/>
  <c r="C4" i="14"/>
  <c r="F40" i="5"/>
  <c r="G4" i="14"/>
  <c r="H40" i="5"/>
  <c r="C3" i="14"/>
  <c r="F39" i="5"/>
  <c r="K11" i="14"/>
  <c r="J47" i="5"/>
  <c r="C11" i="14"/>
  <c r="F47" i="5"/>
  <c r="M112" i="5"/>
  <c r="M116" i="5"/>
  <c r="N116" i="5"/>
  <c r="M115" i="5"/>
  <c r="N115" i="5"/>
  <c r="M113" i="5"/>
  <c r="N113" i="5"/>
  <c r="M114" i="5"/>
  <c r="N114" i="5"/>
  <c r="N112" i="5"/>
  <c r="R25" i="5"/>
  <c r="A29" i="5"/>
  <c r="E29" i="5"/>
  <c r="I28" i="5"/>
  <c r="C28" i="5"/>
  <c r="K28" i="5"/>
  <c r="E28" i="5"/>
  <c r="D28" i="5"/>
  <c r="G28" i="5"/>
  <c r="M27" i="5"/>
  <c r="N27" i="5"/>
  <c r="I29" i="5"/>
  <c r="C29" i="5"/>
  <c r="G29" i="5"/>
  <c r="L29" i="5"/>
  <c r="D29" i="5"/>
  <c r="K29" i="5"/>
  <c r="A30" i="5"/>
  <c r="A31" i="5"/>
  <c r="L31" i="5"/>
  <c r="M28" i="5"/>
  <c r="N28" i="5"/>
  <c r="M29" i="5"/>
  <c r="A32" i="5"/>
  <c r="L32" i="5"/>
  <c r="K30" i="5"/>
  <c r="G31" i="5"/>
  <c r="D31" i="5"/>
  <c r="C30" i="5"/>
  <c r="D30" i="5"/>
  <c r="C31" i="5"/>
  <c r="E30" i="5"/>
  <c r="G30" i="5"/>
  <c r="I31" i="5"/>
  <c r="K31" i="5"/>
  <c r="I30" i="5"/>
  <c r="E31" i="5"/>
  <c r="L30" i="5"/>
  <c r="N29" i="5"/>
  <c r="K32" i="5"/>
  <c r="I32" i="5"/>
  <c r="A33" i="5"/>
  <c r="L33" i="5"/>
  <c r="G32" i="5"/>
  <c r="D32" i="5"/>
  <c r="E32" i="5"/>
  <c r="C32" i="5"/>
  <c r="M31" i="5"/>
  <c r="N31" i="5"/>
  <c r="M30" i="5"/>
  <c r="N30" i="5"/>
  <c r="C33" i="5"/>
  <c r="M32" i="5"/>
  <c r="N32" i="5"/>
  <c r="I33" i="5"/>
  <c r="A34" i="5"/>
  <c r="L34" i="5"/>
  <c r="E33" i="5"/>
  <c r="D33" i="5"/>
  <c r="G33" i="5"/>
  <c r="K33" i="5"/>
  <c r="D34" i="5"/>
  <c r="I34" i="5"/>
  <c r="E34" i="5"/>
  <c r="G34" i="5"/>
  <c r="K34" i="5"/>
  <c r="A35" i="5"/>
  <c r="L35" i="5"/>
  <c r="C34" i="5"/>
  <c r="M33" i="5"/>
  <c r="N33" i="5"/>
  <c r="C35" i="5"/>
  <c r="K35" i="5"/>
  <c r="D35" i="5"/>
  <c r="A36" i="5"/>
  <c r="L36" i="5"/>
  <c r="I35" i="5"/>
  <c r="E35" i="5"/>
  <c r="G35" i="5"/>
  <c r="M34" i="5"/>
  <c r="N34" i="5"/>
  <c r="D36" i="5"/>
  <c r="I36" i="5"/>
  <c r="G36" i="5"/>
  <c r="K36" i="5"/>
  <c r="A37" i="5"/>
  <c r="L37" i="5"/>
  <c r="C36" i="5"/>
  <c r="M35" i="5"/>
  <c r="N35" i="5"/>
  <c r="E36" i="5"/>
  <c r="K37" i="5"/>
  <c r="I37" i="5"/>
  <c r="C37" i="5"/>
  <c r="M36" i="5"/>
  <c r="N36" i="5"/>
  <c r="D37" i="5"/>
  <c r="E37" i="5"/>
  <c r="A38" i="5"/>
  <c r="L38" i="5"/>
  <c r="G37" i="5"/>
  <c r="G38" i="5"/>
  <c r="K38" i="5"/>
  <c r="M37" i="5"/>
  <c r="N37" i="5"/>
  <c r="D38" i="5"/>
  <c r="A39" i="5"/>
  <c r="L39" i="5"/>
  <c r="E38" i="5"/>
  <c r="C38" i="5"/>
  <c r="I38" i="5"/>
  <c r="G39" i="5"/>
  <c r="M38" i="5"/>
  <c r="D39" i="5"/>
  <c r="I39" i="5"/>
  <c r="E39" i="5"/>
  <c r="K39" i="5"/>
  <c r="A40" i="5"/>
  <c r="I40" i="5"/>
  <c r="C39" i="5"/>
  <c r="M39" i="5"/>
  <c r="N38" i="5"/>
  <c r="J18" i="5"/>
  <c r="A41" i="5"/>
  <c r="I41" i="5"/>
  <c r="K40" i="5"/>
  <c r="C40" i="5"/>
  <c r="G40" i="5"/>
  <c r="D40" i="5"/>
  <c r="L40" i="5"/>
  <c r="E40" i="5"/>
  <c r="E41" i="5"/>
  <c r="D41" i="5"/>
  <c r="L41" i="5"/>
  <c r="K41" i="5"/>
  <c r="A42" i="5"/>
  <c r="G42" i="5"/>
  <c r="G41" i="5"/>
  <c r="C41" i="5"/>
  <c r="M40" i="5"/>
  <c r="L42" i="5"/>
  <c r="A43" i="5"/>
  <c r="N40" i="5"/>
  <c r="D42" i="5"/>
  <c r="E42" i="5"/>
  <c r="C42" i="5"/>
  <c r="I42" i="5"/>
  <c r="K42" i="5"/>
  <c r="M41" i="5"/>
  <c r="N41" i="5"/>
  <c r="L43" i="5"/>
  <c r="G43" i="5"/>
  <c r="I43" i="5"/>
  <c r="D43" i="5"/>
  <c r="E43" i="5"/>
  <c r="C43" i="5"/>
  <c r="K43" i="5"/>
  <c r="A44" i="5"/>
  <c r="M42" i="5"/>
  <c r="N42" i="5"/>
  <c r="L44" i="5"/>
  <c r="G44" i="5"/>
  <c r="I44" i="5"/>
  <c r="C44" i="5"/>
  <c r="K44" i="5"/>
  <c r="E44" i="5"/>
  <c r="D44" i="5"/>
  <c r="M43" i="5"/>
  <c r="N43" i="5"/>
  <c r="A45" i="5"/>
  <c r="L45" i="5"/>
  <c r="I45" i="5"/>
  <c r="G45" i="5"/>
  <c r="K45" i="5"/>
  <c r="D45" i="5"/>
  <c r="C45" i="5"/>
  <c r="E45" i="5"/>
  <c r="M44" i="5"/>
  <c r="N44" i="5"/>
  <c r="A46" i="5"/>
  <c r="L46" i="5"/>
  <c r="G46" i="5"/>
  <c r="I46" i="5"/>
  <c r="E46" i="5"/>
  <c r="D46" i="5"/>
  <c r="C46" i="5"/>
  <c r="K46" i="5"/>
  <c r="M45" i="5"/>
  <c r="N45" i="5"/>
  <c r="A47" i="5"/>
  <c r="L47" i="5"/>
  <c r="G47" i="5"/>
  <c r="I47" i="5"/>
  <c r="K47" i="5"/>
  <c r="C47" i="5"/>
  <c r="E47" i="5"/>
  <c r="D47" i="5"/>
  <c r="M46" i="5"/>
  <c r="N46" i="5"/>
  <c r="A48" i="5"/>
  <c r="L48" i="5"/>
  <c r="I48" i="5"/>
  <c r="G48" i="5"/>
  <c r="C48" i="5"/>
  <c r="D48" i="5"/>
  <c r="E48" i="5"/>
  <c r="K48" i="5"/>
  <c r="M47" i="5"/>
  <c r="N47" i="5"/>
  <c r="A49" i="5"/>
  <c r="L49" i="5"/>
  <c r="I49" i="5"/>
  <c r="G49" i="5"/>
  <c r="K49" i="5"/>
  <c r="D49" i="5"/>
  <c r="E49" i="5"/>
  <c r="C49" i="5"/>
  <c r="M48" i="5"/>
  <c r="N48" i="5"/>
  <c r="A50" i="5"/>
  <c r="L50" i="5"/>
  <c r="I50" i="5"/>
  <c r="G50" i="5"/>
  <c r="E50" i="5"/>
  <c r="K50" i="5"/>
  <c r="C50" i="5"/>
  <c r="D50" i="5"/>
  <c r="M49" i="5"/>
  <c r="N49" i="5"/>
  <c r="A51" i="5"/>
  <c r="L51" i="5"/>
  <c r="G51" i="5"/>
  <c r="I51" i="5"/>
  <c r="D51" i="5"/>
  <c r="C51" i="5"/>
  <c r="E51" i="5"/>
  <c r="K51" i="5"/>
  <c r="M50" i="5"/>
  <c r="N50" i="5"/>
  <c r="A52" i="5"/>
  <c r="L52" i="5"/>
  <c r="G52" i="5"/>
  <c r="I52" i="5"/>
  <c r="C52" i="5"/>
  <c r="E52" i="5"/>
  <c r="K52" i="5"/>
  <c r="D52" i="5"/>
  <c r="M51" i="5"/>
  <c r="N51" i="5"/>
  <c r="A53" i="5"/>
  <c r="L53" i="5"/>
  <c r="I53" i="5"/>
  <c r="G53" i="5"/>
  <c r="K53" i="5"/>
  <c r="D53" i="5"/>
  <c r="C53" i="5"/>
  <c r="E53" i="5"/>
  <c r="M52" i="5"/>
  <c r="N52" i="5"/>
  <c r="A54" i="5"/>
  <c r="L54" i="5"/>
  <c r="E54" i="5"/>
  <c r="I54" i="5"/>
  <c r="G54" i="5"/>
  <c r="D54" i="5"/>
  <c r="K54" i="5"/>
  <c r="C54" i="5"/>
  <c r="M53" i="5"/>
  <c r="N53" i="5"/>
  <c r="A55" i="5"/>
  <c r="L55" i="5"/>
  <c r="G55" i="5"/>
  <c r="E55" i="5"/>
  <c r="D55" i="5"/>
  <c r="K55" i="5"/>
  <c r="C55" i="5"/>
  <c r="I55" i="5"/>
  <c r="A56" i="5"/>
  <c r="L56" i="5"/>
  <c r="M54" i="5"/>
  <c r="N54" i="5"/>
  <c r="I56" i="5"/>
  <c r="C56" i="5"/>
  <c r="D56" i="5"/>
  <c r="K56" i="5"/>
  <c r="G56" i="5"/>
  <c r="E56" i="5"/>
  <c r="A57" i="5"/>
  <c r="L57" i="5"/>
  <c r="M55" i="5"/>
  <c r="K57" i="5"/>
  <c r="D57" i="5"/>
  <c r="I57" i="5"/>
  <c r="G57" i="5"/>
  <c r="E57" i="5"/>
  <c r="C57" i="5"/>
  <c r="M56" i="5"/>
  <c r="N56" i="5"/>
  <c r="N55" i="5"/>
  <c r="A58" i="5"/>
  <c r="L58" i="5"/>
  <c r="E58" i="5"/>
  <c r="G58" i="5"/>
  <c r="D58" i="5"/>
  <c r="K58" i="5"/>
  <c r="C58" i="5"/>
  <c r="I58" i="5"/>
  <c r="A59" i="5"/>
  <c r="L59" i="5"/>
  <c r="M57" i="5"/>
  <c r="N57" i="5"/>
  <c r="G59" i="5"/>
  <c r="D59" i="5"/>
  <c r="K59" i="5"/>
  <c r="C59" i="5"/>
  <c r="I59" i="5"/>
  <c r="E59" i="5"/>
  <c r="A60" i="5"/>
  <c r="L60" i="5"/>
  <c r="M58" i="5"/>
  <c r="N58" i="5"/>
  <c r="I60" i="5"/>
  <c r="C60" i="5"/>
  <c r="K60" i="5"/>
  <c r="G60" i="5"/>
  <c r="E60" i="5"/>
  <c r="D60" i="5"/>
  <c r="M59" i="5"/>
  <c r="N59" i="5"/>
  <c r="A61" i="5"/>
  <c r="L61" i="5"/>
  <c r="K61" i="5"/>
  <c r="D61" i="5"/>
  <c r="G61" i="5"/>
  <c r="E61" i="5"/>
  <c r="C61" i="5"/>
  <c r="I61" i="5"/>
  <c r="M60" i="5"/>
  <c r="N60" i="5"/>
  <c r="A62" i="5"/>
  <c r="L62" i="5"/>
  <c r="E62" i="5"/>
  <c r="D62" i="5"/>
  <c r="K62" i="5"/>
  <c r="C62" i="5"/>
  <c r="I62" i="5"/>
  <c r="G62" i="5"/>
  <c r="M61" i="5"/>
  <c r="N61" i="5"/>
  <c r="A63" i="5"/>
  <c r="L63" i="5"/>
  <c r="G63" i="5"/>
  <c r="I63" i="5"/>
  <c r="K63" i="5"/>
  <c r="C63" i="5"/>
  <c r="E63" i="5"/>
  <c r="D63" i="5"/>
  <c r="M62" i="5"/>
  <c r="N62" i="5"/>
  <c r="A64" i="5"/>
  <c r="L64" i="5"/>
  <c r="I64" i="5"/>
  <c r="G64" i="5"/>
  <c r="C64" i="5"/>
  <c r="E64" i="5"/>
  <c r="D64" i="5"/>
  <c r="K64" i="5"/>
  <c r="M63" i="5"/>
  <c r="N63" i="5"/>
  <c r="A65" i="5"/>
  <c r="L65" i="5"/>
  <c r="I65" i="5"/>
  <c r="G65" i="5"/>
  <c r="K65" i="5"/>
  <c r="D65" i="5"/>
  <c r="E65" i="5"/>
  <c r="C65" i="5"/>
  <c r="M64" i="5"/>
  <c r="N64" i="5"/>
  <c r="A66" i="5"/>
  <c r="L66" i="5"/>
  <c r="G66" i="5"/>
  <c r="I66" i="5"/>
  <c r="E66" i="5"/>
  <c r="K66" i="5"/>
  <c r="C66" i="5"/>
  <c r="D66" i="5"/>
  <c r="M65" i="5"/>
  <c r="N65" i="5"/>
  <c r="A67" i="5"/>
  <c r="L67" i="5"/>
  <c r="G67" i="5"/>
  <c r="I67" i="5"/>
  <c r="E67" i="5"/>
  <c r="D67" i="5"/>
  <c r="K67" i="5"/>
  <c r="C67" i="5"/>
  <c r="M66" i="5"/>
  <c r="N66" i="5"/>
  <c r="A68" i="5"/>
  <c r="L68" i="5"/>
  <c r="I68" i="5"/>
  <c r="C68" i="5"/>
  <c r="E68" i="5"/>
  <c r="D68" i="5"/>
  <c r="K68" i="5"/>
  <c r="G68" i="5"/>
  <c r="M67" i="5"/>
  <c r="N67" i="5"/>
  <c r="A69" i="5"/>
  <c r="L69" i="5"/>
  <c r="K69" i="5"/>
  <c r="D69" i="5"/>
  <c r="C69" i="5"/>
  <c r="I69" i="5"/>
  <c r="G69" i="5"/>
  <c r="E69" i="5"/>
  <c r="M68" i="5"/>
  <c r="N68" i="5"/>
  <c r="A70" i="5"/>
  <c r="L70" i="5"/>
  <c r="E70" i="5"/>
  <c r="K70" i="5"/>
  <c r="I70" i="5"/>
  <c r="G70" i="5"/>
  <c r="D70" i="5"/>
  <c r="C70" i="5"/>
  <c r="M69" i="5"/>
  <c r="N69" i="5"/>
  <c r="A71" i="5"/>
  <c r="L71" i="5"/>
  <c r="G71" i="5"/>
  <c r="E71" i="5"/>
  <c r="K71" i="5"/>
  <c r="I71" i="5"/>
  <c r="D71" i="5"/>
  <c r="C71" i="5"/>
  <c r="M70" i="5"/>
  <c r="N70" i="5"/>
  <c r="A72" i="5"/>
  <c r="A107" i="5"/>
  <c r="L72" i="5"/>
  <c r="A73" i="5"/>
  <c r="I72" i="5"/>
  <c r="C72" i="5"/>
  <c r="G72" i="5"/>
  <c r="K72" i="5"/>
  <c r="E72" i="5"/>
  <c r="D72" i="5"/>
  <c r="M71" i="5"/>
  <c r="N71" i="5"/>
  <c r="L73" i="5"/>
  <c r="D73" i="5"/>
  <c r="A74" i="5"/>
  <c r="D74" i="5"/>
  <c r="K73" i="5"/>
  <c r="G73" i="5"/>
  <c r="C73" i="5"/>
  <c r="I73" i="5"/>
  <c r="E73" i="5"/>
  <c r="M72" i="5"/>
  <c r="N72" i="5"/>
  <c r="E74" i="5"/>
  <c r="A75" i="5"/>
  <c r="D75" i="5"/>
  <c r="K74" i="5"/>
  <c r="G74" i="5"/>
  <c r="C74" i="5"/>
  <c r="I74" i="5"/>
  <c r="L74" i="5"/>
  <c r="M73" i="5"/>
  <c r="N73" i="5"/>
  <c r="R29" i="5"/>
  <c r="M74" i="5"/>
  <c r="C75" i="5"/>
  <c r="E75" i="5"/>
  <c r="I75" i="5"/>
  <c r="L75" i="5"/>
  <c r="A76" i="5"/>
  <c r="D76" i="5"/>
  <c r="K75" i="5"/>
  <c r="G75" i="5"/>
  <c r="N74" i="5"/>
  <c r="C76" i="5"/>
  <c r="I76" i="5"/>
  <c r="E76" i="5"/>
  <c r="L76" i="5"/>
  <c r="A77" i="5"/>
  <c r="C77" i="5"/>
  <c r="K76" i="5"/>
  <c r="G76" i="5"/>
  <c r="M75" i="5"/>
  <c r="M76" i="5"/>
  <c r="N76" i="5"/>
  <c r="N75" i="5"/>
  <c r="L77" i="5"/>
  <c r="D77" i="5"/>
  <c r="A78" i="5"/>
  <c r="C78" i="5"/>
  <c r="K77" i="5"/>
  <c r="G77" i="5"/>
  <c r="I77" i="5"/>
  <c r="E77" i="5"/>
  <c r="M77" i="5"/>
  <c r="A79" i="5"/>
  <c r="K78" i="5"/>
  <c r="G78" i="5"/>
  <c r="I78" i="5"/>
  <c r="E78" i="5"/>
  <c r="L78" i="5"/>
  <c r="D78" i="5"/>
  <c r="M78" i="5"/>
  <c r="N78" i="5"/>
  <c r="A80" i="5"/>
  <c r="L80" i="5"/>
  <c r="C79" i="5"/>
  <c r="I79" i="5"/>
  <c r="E79" i="5"/>
  <c r="L79" i="5"/>
  <c r="D79" i="5"/>
  <c r="K79" i="5"/>
  <c r="G79" i="5"/>
  <c r="N77" i="5"/>
  <c r="D80" i="5"/>
  <c r="C80" i="5"/>
  <c r="G80" i="5"/>
  <c r="M79" i="5"/>
  <c r="N79" i="5"/>
  <c r="I80" i="5"/>
  <c r="E80" i="5"/>
  <c r="A81" i="5"/>
  <c r="G81" i="5"/>
  <c r="K80" i="5"/>
  <c r="L81" i="5"/>
  <c r="M80" i="5"/>
  <c r="N80" i="5"/>
  <c r="K81" i="5"/>
  <c r="I81" i="5"/>
  <c r="A82" i="5"/>
  <c r="A83" i="5"/>
  <c r="E81" i="5"/>
  <c r="C81" i="5"/>
  <c r="D81" i="5"/>
  <c r="L82" i="5"/>
  <c r="M81" i="5"/>
  <c r="N81" i="5"/>
  <c r="E82" i="5"/>
  <c r="C82" i="5"/>
  <c r="I82" i="5"/>
  <c r="D82" i="5"/>
  <c r="G82" i="5"/>
  <c r="K82" i="5"/>
  <c r="I83" i="5"/>
  <c r="E83" i="5"/>
  <c r="A84" i="5"/>
  <c r="G83" i="5"/>
  <c r="L83" i="5"/>
  <c r="D83" i="5"/>
  <c r="K83" i="5"/>
  <c r="C83" i="5"/>
  <c r="M82" i="5"/>
  <c r="N82" i="5"/>
  <c r="M83" i="5"/>
  <c r="N83" i="5"/>
  <c r="L84" i="5"/>
  <c r="D84" i="5"/>
  <c r="E84" i="5"/>
  <c r="A85" i="5"/>
  <c r="K84" i="5"/>
  <c r="G84" i="5"/>
  <c r="C84" i="5"/>
  <c r="I84" i="5"/>
  <c r="M84" i="5"/>
  <c r="N84" i="5"/>
  <c r="A86" i="5"/>
  <c r="A87" i="5"/>
  <c r="K85" i="5"/>
  <c r="G85" i="5"/>
  <c r="C85" i="5"/>
  <c r="E85" i="5"/>
  <c r="L85" i="5"/>
  <c r="I85" i="5"/>
  <c r="D85" i="5"/>
  <c r="A88" i="5"/>
  <c r="K87" i="5"/>
  <c r="G87" i="5"/>
  <c r="C87" i="5"/>
  <c r="I87" i="5"/>
  <c r="D87" i="5"/>
  <c r="L87" i="5"/>
  <c r="E87" i="5"/>
  <c r="M85" i="5"/>
  <c r="K86" i="5"/>
  <c r="C86" i="5"/>
  <c r="I86" i="5"/>
  <c r="E86" i="5"/>
  <c r="L86" i="5"/>
  <c r="D86" i="5"/>
  <c r="G86" i="5"/>
  <c r="M86" i="5"/>
  <c r="N86" i="5"/>
  <c r="M87" i="5"/>
  <c r="N87" i="5"/>
  <c r="I88" i="5"/>
  <c r="E88" i="5"/>
  <c r="A89" i="5"/>
  <c r="C88" i="5"/>
  <c r="L88" i="5"/>
  <c r="G88" i="5"/>
  <c r="K88" i="5"/>
  <c r="D88" i="5"/>
  <c r="N85" i="5"/>
  <c r="I89" i="5"/>
  <c r="E89" i="5"/>
  <c r="L89" i="5"/>
  <c r="D89" i="5"/>
  <c r="A90" i="5"/>
  <c r="G89" i="5"/>
  <c r="K89" i="5"/>
  <c r="C89" i="5"/>
  <c r="M88" i="5"/>
  <c r="M89" i="5"/>
  <c r="N89" i="5"/>
  <c r="N88" i="5"/>
  <c r="L90" i="5"/>
  <c r="D90" i="5"/>
  <c r="A91" i="5"/>
  <c r="K90" i="5"/>
  <c r="G90" i="5"/>
  <c r="C90" i="5"/>
  <c r="I90" i="5"/>
  <c r="E90" i="5"/>
  <c r="M90" i="5"/>
  <c r="N90" i="5"/>
  <c r="A92" i="5"/>
  <c r="K91" i="5"/>
  <c r="G91" i="5"/>
  <c r="C91" i="5"/>
  <c r="I91" i="5"/>
  <c r="D91" i="5"/>
  <c r="L91" i="5"/>
  <c r="E91" i="5"/>
  <c r="M91" i="5"/>
  <c r="N91" i="5"/>
  <c r="I92" i="5"/>
  <c r="E92" i="5"/>
  <c r="A93" i="5"/>
  <c r="C92" i="5"/>
  <c r="L92" i="5"/>
  <c r="G92" i="5"/>
  <c r="K92" i="5"/>
  <c r="D92" i="5"/>
  <c r="M92" i="5"/>
  <c r="N92" i="5"/>
  <c r="I93" i="5"/>
  <c r="E93" i="5"/>
  <c r="L93" i="5"/>
  <c r="D93" i="5"/>
  <c r="A94" i="5"/>
  <c r="G93" i="5"/>
  <c r="K93" i="5"/>
  <c r="C93" i="5"/>
  <c r="M93" i="5"/>
  <c r="N93" i="5"/>
  <c r="L94" i="5"/>
  <c r="D94" i="5"/>
  <c r="A95" i="5"/>
  <c r="K94" i="5"/>
  <c r="G94" i="5"/>
  <c r="C94" i="5"/>
  <c r="I94" i="5"/>
  <c r="E94" i="5"/>
  <c r="M94" i="5"/>
  <c r="N94" i="5"/>
  <c r="A96" i="5"/>
  <c r="K95" i="5"/>
  <c r="G95" i="5"/>
  <c r="C95" i="5"/>
  <c r="I95" i="5"/>
  <c r="E95" i="5"/>
  <c r="L95" i="5"/>
  <c r="D95" i="5"/>
  <c r="M95" i="5"/>
  <c r="N95" i="5"/>
  <c r="I96" i="5"/>
  <c r="E96" i="5"/>
  <c r="L96" i="5"/>
  <c r="D96" i="5"/>
  <c r="A97" i="5"/>
  <c r="G96" i="5"/>
  <c r="K96" i="5"/>
  <c r="C96" i="5"/>
  <c r="M96" i="5"/>
  <c r="N96" i="5"/>
  <c r="I97" i="5"/>
  <c r="E97" i="5"/>
  <c r="L97" i="5"/>
  <c r="D97" i="5"/>
  <c r="A98" i="5"/>
  <c r="K97" i="5"/>
  <c r="G97" i="5"/>
  <c r="C97" i="5"/>
  <c r="L98" i="5"/>
  <c r="D98" i="5"/>
  <c r="A99" i="5"/>
  <c r="K98" i="5"/>
  <c r="G98" i="5"/>
  <c r="C98" i="5"/>
  <c r="E98" i="5"/>
  <c r="I98" i="5"/>
  <c r="M97" i="5"/>
  <c r="N97" i="5"/>
  <c r="A100" i="5"/>
  <c r="A101" i="5"/>
  <c r="K99" i="5"/>
  <c r="G99" i="5"/>
  <c r="C99" i="5"/>
  <c r="I99" i="5"/>
  <c r="E99" i="5"/>
  <c r="L99" i="5"/>
  <c r="D99" i="5"/>
  <c r="M98" i="5"/>
  <c r="N98" i="5"/>
  <c r="I101" i="5"/>
  <c r="E101" i="5"/>
  <c r="L101" i="5"/>
  <c r="D101" i="5"/>
  <c r="A102" i="5"/>
  <c r="K101" i="5"/>
  <c r="G101" i="5"/>
  <c r="C101" i="5"/>
  <c r="M99" i="5"/>
  <c r="N99" i="5"/>
  <c r="I100" i="5"/>
  <c r="E100" i="5"/>
  <c r="L100" i="5"/>
  <c r="D100" i="5"/>
  <c r="K100" i="5"/>
  <c r="C100" i="5"/>
  <c r="G100" i="5"/>
  <c r="M101" i="5"/>
  <c r="N101" i="5"/>
  <c r="L102" i="5"/>
  <c r="D102" i="5"/>
  <c r="A103" i="5"/>
  <c r="K102" i="5"/>
  <c r="G102" i="5"/>
  <c r="C102" i="5"/>
  <c r="I102" i="5"/>
  <c r="E102" i="5"/>
  <c r="M100" i="5"/>
  <c r="N100" i="5"/>
  <c r="M102" i="5"/>
  <c r="N102" i="5"/>
  <c r="A104" i="5"/>
  <c r="K103" i="5"/>
  <c r="G103" i="5"/>
  <c r="C103" i="5"/>
  <c r="I103" i="5"/>
  <c r="E103" i="5"/>
  <c r="L103" i="5"/>
  <c r="D103" i="5"/>
  <c r="M103" i="5"/>
  <c r="I104" i="5"/>
  <c r="E104" i="5"/>
  <c r="L104" i="5"/>
  <c r="D104" i="5"/>
  <c r="A105" i="5"/>
  <c r="A106" i="5"/>
  <c r="K104" i="5"/>
  <c r="G104" i="5"/>
  <c r="C104" i="5"/>
  <c r="M104" i="5"/>
  <c r="N104" i="5"/>
  <c r="I106" i="5"/>
  <c r="E106" i="5"/>
  <c r="L106" i="5"/>
  <c r="D106" i="5"/>
  <c r="K106" i="5"/>
  <c r="G106" i="5"/>
  <c r="C106" i="5"/>
  <c r="I105" i="5"/>
  <c r="E105" i="5"/>
  <c r="L105" i="5"/>
  <c r="D105" i="5"/>
  <c r="K105" i="5"/>
  <c r="G105" i="5"/>
  <c r="C105" i="5"/>
  <c r="N103" i="5"/>
  <c r="M106" i="5"/>
  <c r="M105" i="5"/>
  <c r="N105" i="5"/>
  <c r="R24" i="5"/>
  <c r="N39" i="5"/>
  <c r="J10" i="5"/>
  <c r="J15" i="5"/>
  <c r="K15" i="5"/>
  <c r="Q52" i="5"/>
  <c r="N106" i="5"/>
  <c r="K10" i="5"/>
  <c r="K18" i="5"/>
  <c r="R35" i="5"/>
  <c r="R50" i="5"/>
  <c r="R32" i="5"/>
  <c r="R44" i="5"/>
  <c r="R41" i="5"/>
  <c r="R47" i="5"/>
  <c r="R38" i="5"/>
  <c r="J11" i="5"/>
  <c r="K11" i="5"/>
  <c r="J12" i="5"/>
  <c r="K12" i="5"/>
  <c r="K13" i="5"/>
  <c r="J16" i="5"/>
  <c r="K16" i="5"/>
  <c r="M15" i="5"/>
  <c r="J17" i="5"/>
  <c r="K17" i="5"/>
  <c r="G6" i="5"/>
</calcChain>
</file>

<file path=xl/comments1.xml><?xml version="1.0" encoding="utf-8"?>
<comments xmlns="http://schemas.openxmlformats.org/spreadsheetml/2006/main">
  <authors>
    <author>leandro.cazzolato</author>
  </authors>
  <commentList>
    <comment ref="C19" authorId="0">
      <text>
        <r>
          <rPr>
            <b/>
            <sz val="9"/>
            <color indexed="81"/>
            <rFont val="Segoe UI"/>
            <charset val="1"/>
          </rPr>
          <t>Quantidade de campos que constarão no formulário. No caso de pai e filho, considerar somente a primeira linha da tabela.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G19" authorId="0">
      <text>
        <r>
          <rPr>
            <b/>
            <sz val="9"/>
            <color indexed="81"/>
            <rFont val="Segoe UI"/>
            <charset val="1"/>
          </rPr>
          <t>Quantidade de campos que constarão no formulário que será utilizado no mobile. No caso de pai e filho, considerar somente a primeira linha da tabela.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K19" authorId="0">
      <text>
        <r>
          <rPr>
            <b/>
            <sz val="9"/>
            <color indexed="81"/>
            <rFont val="Segoe UI"/>
            <charset val="1"/>
          </rPr>
          <t>Quantidade de validações que ocorrer por campo ou por formulário. Ex: consistencia do CPF, Data, Decimal.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O19" authorId="0">
      <text>
        <r>
          <rPr>
            <b/>
            <sz val="9"/>
            <color indexed="81"/>
            <rFont val="Segoe UI"/>
            <charset val="1"/>
          </rPr>
          <t>Quantidade de validações que ocorrer por campo ou por formulário. Ex: consistencia do CPF, Data, Decimal.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S19" authorId="0">
      <text>
        <r>
          <rPr>
            <b/>
            <sz val="9"/>
            <color indexed="81"/>
            <rFont val="Segoe UI"/>
            <charset val="1"/>
          </rPr>
          <t>Quantidade de pesquisas (Zoom) que serão desenvolvidas utilizando o recurso padrão do produto. O tempo de construção do Dataset não deve ser colocado neste campo. Use o campo Consumo de Dataset.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W19" authorId="0">
      <text>
        <r>
          <rPr>
            <b/>
            <sz val="9"/>
            <color indexed="81"/>
            <rFont val="Segoe UI"/>
            <charset val="1"/>
          </rPr>
          <t>Quantidade de eventos desenvolvidos para customizar a execução do envio do formulário. Ex: Display-fields, Enable-fields. Caso seja necessario a utilização de datasets o  tempo de construção do Dataset não deve ser colocado neste campo. Use o campo Consumo de Dataset.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AA19" authorId="0">
      <text>
        <r>
          <rPr>
            <b/>
            <sz val="9"/>
            <color indexed="81"/>
            <rFont val="Segoe UI"/>
            <charset val="1"/>
          </rPr>
          <t>Quantidade de eventos desenvolvidos para customizar a execução do processo workflow. Exemplo: Before-Task-Entry, After-Proecess-Create e etc.Caso seja necessario a utilização de datasets o  tempo de construção do Dataset não deve ser colocado neste campo. Use o campo Consumo de Dataset.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AE19" authorId="0">
      <text>
        <r>
          <rPr>
            <b/>
            <sz val="9"/>
            <color indexed="81"/>
            <rFont val="Segoe UI"/>
            <charset val="1"/>
          </rPr>
          <t>Quantidade de Atividades do Processo. Deve ser considerado o tempo de cadastro e configuração das ativdidades do workflow. Não deve ser considerada codificação.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AI19" authorId="0">
      <text>
        <r>
          <rPr>
            <b/>
            <sz val="9"/>
            <color indexed="81"/>
            <rFont val="Segoe UI"/>
            <charset val="1"/>
          </rPr>
          <t>Quantidade de Atividades Automáticas do Processo. Importante avaliar número de decisões configurados dentro da atividade automática.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AM19" authorId="0">
      <text>
        <r>
          <rPr>
            <b/>
            <sz val="9"/>
            <color indexed="81"/>
            <rFont val="Segoe UI"/>
            <charset val="1"/>
          </rPr>
          <t>Quantidade de Datasets Internos que serão utilizados nos processos.Exemplo: Dataset de colaboradores, Grupos, Comunidades e etc.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AQ19" authorId="0">
      <text>
        <r>
          <rPr>
            <b/>
            <sz val="9"/>
            <color indexed="81"/>
            <rFont val="Segoe UI"/>
            <charset val="1"/>
          </rPr>
          <t>Quantidade de Datasets para integração com web services internos ou externos. Exemplos acesso aos serviços dos ERPs TOTVS ou não TOTVS, Fluig e etc. A complexidade deste item depende do numero de web services consumidos, quantidade de informações enviadas/retornadas pelos web services e suas tratativas.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AY19" authorId="0">
      <text>
        <r>
          <rPr>
            <b/>
            <sz val="9"/>
            <color indexed="81"/>
            <rFont val="Segoe UI"/>
            <charset val="1"/>
          </rPr>
          <t xml:space="preserve">Quantidade de serviços que deveram ser construidos para o projeto. Os serviços são customizações necessarias para diponibilizar funcionalidades  que o produto não atende por padrão. Essas customizações podem ser logicas de negocios, envio de e-mail, chamada a outros serviços, acesso a banco de dados e etc. 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BC19" authorId="0">
      <text>
        <r>
          <rPr>
            <b/>
            <sz val="9"/>
            <color indexed="81"/>
            <rFont val="Segoe UI"/>
            <charset val="1"/>
          </rPr>
          <t>Quantidade de relatórios customizados no Analytics necessarios para o projeto.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BG19" authorId="0">
      <text>
        <r>
          <rPr>
            <b/>
            <sz val="9"/>
            <color indexed="81"/>
            <rFont val="Segoe UI"/>
            <charset val="1"/>
          </rPr>
          <t>Quantidade de relatórios customizados no Birt necessarios para o projeto. Os relatorios Birts são baseados em web services e datasets customizados ou padrões do produto.</t>
        </r>
        <r>
          <rPr>
            <sz val="9"/>
            <color indexed="81"/>
            <rFont val="Segoe UI"/>
            <charset val="1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leandro.cazzolato</author>
  </authors>
  <commentList>
    <comment ref="C17" authorId="0">
      <text>
        <r>
          <rPr>
            <b/>
            <sz val="9"/>
            <color indexed="81"/>
            <rFont val="Segoe UI"/>
            <charset val="1"/>
          </rPr>
          <t>Quantidade de Widgets customizadas. Componente que pode ser disponibilizado em qualquer ponto do portal Fluig.</t>
        </r>
      </text>
    </comment>
    <comment ref="G17" authorId="0">
      <text>
        <r>
          <rPr>
            <b/>
            <sz val="9"/>
            <color indexed="81"/>
            <rFont val="Segoe UI"/>
            <charset val="1"/>
          </rPr>
          <t>Quantidades de paginas customizadas. Para cada pagina é possivel desenvolver um novo Layout, onde os Layouts são responsaveis por armazenar as widgets.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K17" authorId="0">
      <text>
        <r>
          <rPr>
            <b/>
            <sz val="9"/>
            <color indexed="81"/>
            <rFont val="Segoe UI"/>
            <charset val="1"/>
          </rPr>
          <t>Quantidade de validações JavaScript.</t>
        </r>
      </text>
    </comment>
    <comment ref="S17" authorId="0">
      <text>
        <r>
          <rPr>
            <b/>
            <sz val="9"/>
            <color indexed="81"/>
            <rFont val="Segoe UI"/>
            <charset val="1"/>
          </rPr>
          <t>Quantidade de Datasets para integração com web services internos ou externos. Exemplos acesso aos serviços dos ERPs TOTVS ou não TOTVS, Fluig e etc. A complexidade deste item depende do numero de web services consumidos, quantidade de informações enviadas/retornadas pelos web services e suas tratativas.</t>
        </r>
      </text>
    </comment>
    <comment ref="AA17" authorId="0">
      <text>
        <r>
          <rPr>
            <b/>
            <sz val="9"/>
            <color indexed="81"/>
            <rFont val="Segoe UI"/>
            <charset val="1"/>
          </rPr>
          <t xml:space="preserve">Quantidade de serviços que deveram ser construidos para o projeto. Os serviços são customizações necessarias para diponibilizar funcionalidades  que o produto não atende por padrão. Essas customizações podem ser logicas de negocios, envio de e-mail, chamada a outros serviços, acesso a banco de dados e etc. </t>
        </r>
      </text>
    </comment>
  </commentList>
</comments>
</file>

<file path=xl/sharedStrings.xml><?xml version="1.0" encoding="utf-8"?>
<sst xmlns="http://schemas.openxmlformats.org/spreadsheetml/2006/main" count="852" uniqueCount="261">
  <si>
    <t>Item</t>
  </si>
  <si>
    <t>Baixo</t>
  </si>
  <si>
    <t>Médio</t>
  </si>
  <si>
    <t>Alta</t>
  </si>
  <si>
    <t>Atividades Automaticas</t>
  </si>
  <si>
    <t>Dataset Interno</t>
  </si>
  <si>
    <t>Dataset para integração</t>
  </si>
  <si>
    <t>Capacitação</t>
  </si>
  <si>
    <t>Atividades Processo BPM</t>
  </si>
  <si>
    <t xml:space="preserve">Web Services Interno </t>
  </si>
  <si>
    <t>Web Services Externo para integração</t>
  </si>
  <si>
    <t>Por turna</t>
  </si>
  <si>
    <t>Por Instalação</t>
  </si>
  <si>
    <t>Número Campos</t>
  </si>
  <si>
    <t>Número Validações</t>
  </si>
  <si>
    <t>Número Atividades</t>
  </si>
  <si>
    <t>Número Eventos</t>
  </si>
  <si>
    <t>Número Datasets</t>
  </si>
  <si>
    <t>Número Web Services</t>
  </si>
  <si>
    <t xml:space="preserve">Migração TOTVS ECM 3.0  para FLUIG (Processos) </t>
  </si>
  <si>
    <t>Número Processos</t>
  </si>
  <si>
    <t xml:space="preserve">Migração TOTVS ECM 3.0  para FLUIG (Instalação e Documentos) </t>
  </si>
  <si>
    <t>Número Relatórios</t>
  </si>
  <si>
    <t>Consultoria Implantação Fluig Identity</t>
  </si>
  <si>
    <t>Consultoria de Implantação Fluig Plataforma</t>
  </si>
  <si>
    <t>Instalação Fluig Plataforma (On-Premisses)</t>
  </si>
  <si>
    <t>Consultoria</t>
  </si>
  <si>
    <t>Desenvolvimento</t>
  </si>
  <si>
    <t>Eventos do processo</t>
  </si>
  <si>
    <t>Por Portal</t>
  </si>
  <si>
    <t>Tipo</t>
  </si>
  <si>
    <t>Unidade</t>
  </si>
  <si>
    <t>Número Pesquisa</t>
  </si>
  <si>
    <t>1-Implantação Basica Nuvem Privada</t>
  </si>
  <si>
    <t>2-Implantação Basica Nuvem Publica</t>
  </si>
  <si>
    <t>3-Implantação Basica+Portais Nuvem Privada</t>
  </si>
  <si>
    <t>4-Implantação Basica+Portais Nuvem Publica</t>
  </si>
  <si>
    <t>5-Implantação Básica+Avançada Nuvem Privada</t>
  </si>
  <si>
    <t>6-Implantação Básica+Avançada Nuvem Publica</t>
  </si>
  <si>
    <t>11-Implantação Básica+Avançada Todos os Cards Nuvem Privada</t>
  </si>
  <si>
    <t>12-Implantação Básica+Avançada Todos os Cards Nuvem Publica</t>
  </si>
  <si>
    <t>13-Implantação Básica+Avançada+Migração+Desenvolvimento BPM Nuvem Privada</t>
  </si>
  <si>
    <t>14-Implantação Básica+Avançada+Migração+Desenvolvimento BPM Nuvem Publica</t>
  </si>
  <si>
    <t>15-Implantação Básica+Avançada+Desenvolvimento BPM Nuvem Privada</t>
  </si>
  <si>
    <t>16-Implantação Básica+Avançada+Desenvolvimento BPM Nuvem Publica</t>
  </si>
  <si>
    <t>17-Implantação Básica+Avançada+Desenvolvimento BPM Todos os Cards Nuvem Privada</t>
  </si>
  <si>
    <t>18-Implantação Básica+Avançada+Desenvolvimento BPM Todos os Cards Nuvem Publica</t>
  </si>
  <si>
    <t>7-Implantação Básica+Avançada+ Desenvolvimento Portais Nuvem Privada</t>
  </si>
  <si>
    <t>8-Implantação Básica+Avançada+Desenvolvimento Portais Nuvem Pubilica</t>
  </si>
  <si>
    <t>9-Implantação Básica+Avançada+Desenvolvimento Portais Todos os Cards Nuvem Privada</t>
  </si>
  <si>
    <t>10-Implantação Básica+Avançada+Desenvolvimento Portais Todos os Cards Nuvem Publica</t>
  </si>
  <si>
    <t>Vl Hora</t>
  </si>
  <si>
    <t>1-Baixa</t>
  </si>
  <si>
    <t>3-Alta</t>
  </si>
  <si>
    <t>2-Media</t>
  </si>
  <si>
    <t>Vl Total</t>
  </si>
  <si>
    <t>Qt Hora Total</t>
  </si>
  <si>
    <t xml:space="preserve">Item </t>
  </si>
  <si>
    <t>Valor Hora</t>
  </si>
  <si>
    <t>Quantidade Baixa Complexidade</t>
  </si>
  <si>
    <t>Quantidade Media Complexidade</t>
  </si>
  <si>
    <t>Quantidade  Alta  Complexidade</t>
  </si>
  <si>
    <t>Unidade Medida</t>
  </si>
  <si>
    <t>Qt Hr Baixa</t>
  </si>
  <si>
    <t>Qt Hr Média</t>
  </si>
  <si>
    <t>QT Hr Alta</t>
  </si>
  <si>
    <t>Tipo de Serviço</t>
  </si>
  <si>
    <t>Hr Especificação Funcional</t>
  </si>
  <si>
    <t>Hr Especificação Técnica</t>
  </si>
  <si>
    <t>Horas de Teste Unitário</t>
  </si>
  <si>
    <t>Horas Manuais Usuário</t>
  </si>
  <si>
    <t>Horas Treinamento Usuário</t>
  </si>
  <si>
    <t>Horas Instalação Cliente</t>
  </si>
  <si>
    <t>Horas Operação Assistida</t>
  </si>
  <si>
    <t>Horas</t>
  </si>
  <si>
    <t>Consultoria e Capacitação</t>
  </si>
  <si>
    <t>Horas Desenvolvimento</t>
  </si>
  <si>
    <t>Gerenciamento Projeto</t>
  </si>
  <si>
    <t>Premissas</t>
  </si>
  <si>
    <t>Margem Risco Projeto</t>
  </si>
  <si>
    <t>Valores</t>
  </si>
  <si>
    <t xml:space="preserve">Complexidade Gerencialmento </t>
  </si>
  <si>
    <t>Total do Projeto</t>
  </si>
  <si>
    <t>Valor Hr Infraestrutura</t>
  </si>
  <si>
    <t>Valor Hr Desenvolvimento</t>
  </si>
  <si>
    <t>Valor Hr Gestão Projeto</t>
  </si>
  <si>
    <t>Prazo</t>
  </si>
  <si>
    <t>Qt Recursos Desenvolvimento</t>
  </si>
  <si>
    <t>Prazo Meses</t>
  </si>
  <si>
    <t>Hr de Codifitação</t>
  </si>
  <si>
    <r>
      <t xml:space="preserve">Esta planilha tem o objetivo de orientar o arquiteto nos escopos e valores de orçamento de projetos Fluig.
</t>
    </r>
    <r>
      <rPr>
        <b/>
        <i/>
        <sz val="14"/>
        <color indexed="10"/>
        <rFont val="Calibri"/>
        <family val="2"/>
      </rPr>
      <t xml:space="preserve">IMPORTANTE: Ela gera valores de referência, que devem ser validados por especialistas certificados Fluig e com experiencia em desenvolvimento software. 
 </t>
    </r>
  </si>
  <si>
    <t>Passo 2: Preencha os campos em Amarelo das Premissas</t>
  </si>
  <si>
    <t>Passo 1: Escolha o escopo</t>
  </si>
  <si>
    <t>Qt Recursos Consultoria Capacitação</t>
  </si>
  <si>
    <t>Painel de Totais</t>
  </si>
  <si>
    <t>20% Baixa</t>
  </si>
  <si>
    <t xml:space="preserve">30% Média </t>
  </si>
  <si>
    <t>40% Alta</t>
  </si>
  <si>
    <t>&lt;-Sugestão Gerenciamento</t>
  </si>
  <si>
    <t>Nome do Processo</t>
  </si>
  <si>
    <t>Totais</t>
  </si>
  <si>
    <t>Complexidade</t>
  </si>
  <si>
    <t>Número de Conectores</t>
  </si>
  <si>
    <t>Número de Tipos Mensagens</t>
  </si>
  <si>
    <t>Nome da Integração ESB</t>
  </si>
  <si>
    <t>ESB-Transformação XML</t>
  </si>
  <si>
    <t>ESB-Transformação Arquivo</t>
  </si>
  <si>
    <t>ESB-Transformação Customizada Java</t>
  </si>
  <si>
    <t>ESB-Conectares Padrões</t>
  </si>
  <si>
    <t>ESB-Conectores Customizados</t>
  </si>
  <si>
    <t>BPM-Formulario HTML</t>
  </si>
  <si>
    <t>BPM-Formulario Mobile</t>
  </si>
  <si>
    <t>BPM-Pesquisa (Zoom)</t>
  </si>
  <si>
    <t>BPM-Eventos de formulário</t>
  </si>
  <si>
    <t>BPM-Eventos do processo</t>
  </si>
  <si>
    <t>BPM-Atividades Automaticas</t>
  </si>
  <si>
    <t>BPM-Dataset Interno</t>
  </si>
  <si>
    <t>BPM-Dataset para integração</t>
  </si>
  <si>
    <t>BPM-Web Services Externo para integração</t>
  </si>
  <si>
    <t>BPM-Desenvolvimento Relatório Analytics</t>
  </si>
  <si>
    <t>WCM-Desenvolvimento Widget</t>
  </si>
  <si>
    <t>BPM-Relatorio BIRT</t>
  </si>
  <si>
    <t>BPM-Atividades Processo</t>
  </si>
  <si>
    <t>Qt Horas Baixa Complexidade</t>
  </si>
  <si>
    <t>Qt Horas  Media Complexidade</t>
  </si>
  <si>
    <t>Qt Horas   Alta  Complexidade</t>
  </si>
  <si>
    <t>Horas de Referência</t>
  </si>
  <si>
    <t>Qt Recrusos Gerenciamento Projeto</t>
  </si>
  <si>
    <t>Prazo Consultoria e Capacitação</t>
  </si>
  <si>
    <t>Prazo Desenvolvimento</t>
  </si>
  <si>
    <t>Prazo Gestão Projeto</t>
  </si>
  <si>
    <t>WCM-Desenvolvimento Página</t>
  </si>
  <si>
    <t>Número Layouts</t>
  </si>
  <si>
    <t>Número Widgets</t>
  </si>
  <si>
    <t>WCM-Validações Java Scrip no Widget</t>
  </si>
  <si>
    <t>WCM-Dataset para integração</t>
  </si>
  <si>
    <t>WCM-Web Services Externo para integração</t>
  </si>
  <si>
    <t>21-Desnevolvimento Fluig ESB</t>
  </si>
  <si>
    <t>22-Desnevolvimento Fluig Identity</t>
  </si>
  <si>
    <t>ECM-Evento da Gestão de Documentos</t>
  </si>
  <si>
    <t>19-Implantação Básica+Avançada+Desenvolvimento BPM e ECM e Portal Todos os Cards Nuvem Privada</t>
  </si>
  <si>
    <t>19-Implantação Básica+Avançada+Desenvolvimento BPM e ECM e Portal Todos os Cards Nuvem Pública</t>
  </si>
  <si>
    <t>Número de Sistemas</t>
  </si>
  <si>
    <t>IDM-Integração Identity SSO</t>
  </si>
  <si>
    <t>IDM-Integração Identity Provisionamento / Desprovisionamento</t>
  </si>
  <si>
    <t>IDM-Integração Identity Menus e Segurança (RAC)</t>
  </si>
  <si>
    <t>IDM-Relatórios Identity de Auditoria</t>
  </si>
  <si>
    <t>23-Todos os Itens Serviços</t>
  </si>
  <si>
    <t>WCM-Consultoria de Portais/Intranets/Redes Sociais</t>
  </si>
  <si>
    <t>IDM-Integração Desktop Launcher</t>
  </si>
  <si>
    <t>IDM-Integração Pluging Browser</t>
  </si>
  <si>
    <t>Nome do Integração Identity</t>
  </si>
  <si>
    <t>Nome do Componente WCM</t>
  </si>
  <si>
    <t>Catálogo de Itens de Serviço</t>
  </si>
  <si>
    <t>Passo 6: Caso tenha algum item faltente no escopo padrão incerrir texto na área indicada no fim da planilha (busque sugestões aba Catalogo)</t>
  </si>
  <si>
    <t xml:space="preserve">Quantidade  </t>
  </si>
  <si>
    <t>QT Hr</t>
  </si>
  <si>
    <t>Insira aqui itens que estejam fora do escopo padrão (informe Qt Componentes, Qt Horas, Vl Hora)</t>
  </si>
  <si>
    <t>Alerta: Valores sem impostos e sem despesas</t>
  </si>
  <si>
    <t>Qt Dias  (Hr/8hs)</t>
  </si>
  <si>
    <t>Qt Meses (Dias/20 Dias Útiles)</t>
  </si>
  <si>
    <t>X</t>
  </si>
  <si>
    <t>ESB-E-mail Customizado de Alerta</t>
  </si>
  <si>
    <t>Passo 5: Ajuste os percentuais dos complementos do projeto "Componentes Adicionais de Desenvolvimento".</t>
  </si>
  <si>
    <t>Percentuais sugeridos Componentes Adicionais de Densenvolvimento</t>
  </si>
  <si>
    <t xml:space="preserve">Passo 3: Preencha os campos em Amarelo dos componentes do escopo com as Quantidades obedecendo as unidades de medida e complexidade </t>
  </si>
  <si>
    <t>Descrição</t>
  </si>
  <si>
    <t>Treinamento Funcional Fluig Plataforma</t>
  </si>
  <si>
    <t>Treinamento Desenvolvimento Fluig Plataforma</t>
  </si>
  <si>
    <t>Treinamento Funcional Fluig Identity</t>
  </si>
  <si>
    <t>Treinamento Desenvolvimento Fluig Identity</t>
  </si>
  <si>
    <t>Treinamento Desenvolvimento Fluig ESB</t>
  </si>
  <si>
    <t>Instalação  Fluig ESB (On-Premisses)</t>
  </si>
  <si>
    <t>Treinamento que habilita o usuário chaves a utilizar e configurar a plataforma. Não são abordados temas de desenvolvimento.</t>
  </si>
  <si>
    <t>Treinamento que habilita desenvolvedores a construir componentes na plataforma.</t>
  </si>
  <si>
    <t>Quantidade de validações que ocorrer por campo ou por formulário. Ex: consistencia do CPF, Data, Decimal.</t>
  </si>
  <si>
    <t>Quantidade de Atividades do Processo. Deve ser considerado o tempo de cadastro e configuração das ativdidades do workflow. Não deve ser considerada codificação.</t>
  </si>
  <si>
    <t>Quantidade de Atividades Automáticas do Processo. Importante avaliar número de decisões configurados dentro da atividade automática.</t>
  </si>
  <si>
    <t xml:space="preserve">Quantidade de instalações de Fluig necessarios para o cliente, lembrando que um projeto padrão possui pelo menos duas instalações, ambiente de testes e produção. </t>
  </si>
  <si>
    <t xml:space="preserve">Quantidade de instalações de ESB necessarios para o cliente, lembrando que um projeto padrão possui pelo menos duas instalações, ambiente de testes e produção. </t>
  </si>
  <si>
    <t xml:space="preserve">A implantação do produto é referente a importação dos usuarios, grupos de segurança, papéis, estrutura de pastas (Taxonomia) e documentos. A complexidade deve ser medida pelo volume de documentos, cadastro de usuarios, grupos de segurança e papeis. </t>
  </si>
  <si>
    <t>A implantação do produto é referente a quantidade de sistemas que serão integrados ao Identity e o tipo de integração(SAML/SCIM) Provisionamento/desprovisionamento de cada sistema.</t>
  </si>
  <si>
    <t>A migração do produto ECM para Fluig utilizando ferramenta de migração padrão do produto</t>
  </si>
  <si>
    <t>Implantação do conceito</t>
  </si>
  <si>
    <t>Quantidade de campos que constarão no formulário. No caso de pai e filho, considerar somente a primeira linha da tabela.</t>
  </si>
  <si>
    <t>Quantidade de campos que constarão no formulário que será utilizado no mobile. No caso de pai e filho, considerar somente a primeira linha da tabela.</t>
  </si>
  <si>
    <t>Quantidade de pesquisas (Zoom) que serão desenvolvidas utilizando o recurso padrão do produto. O tempo de construção do Dataset não deve ser colocado neste campo. Use o campo Consumo de Dataset.</t>
  </si>
  <si>
    <t>Quantidade de eventos desenvolvidos para customizar a execução do envio do formulário. Ex: Display-fields, Enable-fields. Caso seja necessario a utilização de datasets o  tempo de construção do Dataset não deve ser colocado neste campo. Use o campo Consumo de Dataset.</t>
  </si>
  <si>
    <t>Quantidade de eventos desenvolvidos para customizar a execução do processo workflow. Exemplo: Before-Task-Entry, After-Proecess-Create e etc.Caso seja necessario a utilização de datasets o  tempo de construção do Dataset não deve ser colocado neste campo. Use o campo Consumo de Dataset.</t>
  </si>
  <si>
    <t>Quantidade de Datasets Internos que serão utilizados nos processos.Exemplo: Dataset de colaboradores, Grupos, Comunidades e etc.</t>
  </si>
  <si>
    <t>Quantidade de Datasets para integração com web services internos ou externos. Exemplos acesso aos serviços dos ERPs TOTVS ou não TOTVS, Fluig e etc. A complexidade deste item depende do numero de web services consumidos, quantidade de informações enviadas/retornadas pelos web services e suas tratativas.</t>
  </si>
  <si>
    <t xml:space="preserve">Quantidade de serviços que deveram ser construidos para o projeto. Os serviços são customizações necessarias para diponibilizar funcionalidades  que o produto não atende por padrão. Essas customizações podem ser logicas de negocios, envio de e-mail, chamada a outros serviços, acesso a banco de dados e etc. </t>
  </si>
  <si>
    <t>Quantidade de relatórios customizados no Analytics necessarios para o projeto.</t>
  </si>
  <si>
    <t>Quantidade de relatórios customizados no Birt necessarios para o projeto. Os relatorios Birts são baseados em web services e datasets customizados ou padrões do produto.</t>
  </si>
  <si>
    <t>Quantidade de eventos cutomizados para interagir com os metadados dos documentos. Exemplo: Evento de inclusão, exclusão e alteração do documento.</t>
  </si>
  <si>
    <t>Quantidade de Widgets customizadas. Componente que pode ser disponibilizado em qualquer ponto do portal Fluig.</t>
  </si>
  <si>
    <t>Quantidades de paginas customizadas. Para cada pagina é possivel desenvolver um novo Layout, onde os Layouts são responsaveis por armazenar as widgets.</t>
  </si>
  <si>
    <t>Quantidade de validações JavaScript.</t>
  </si>
  <si>
    <t>?</t>
  </si>
  <si>
    <t>Não utilizar</t>
  </si>
  <si>
    <t>BPM-Validações Java Script  no Formulario</t>
  </si>
  <si>
    <t>BPM-Validações Java Script no Mobile</t>
  </si>
  <si>
    <t>Parametrização Inicial</t>
  </si>
  <si>
    <t>Levantamento do projeto</t>
  </si>
  <si>
    <t>Cadastrar e configurar 1 certificado</t>
  </si>
  <si>
    <t>Cadastrar e configurar a conta padrão</t>
  </si>
  <si>
    <t>Cadastro de Avaliações Externas</t>
  </si>
  <si>
    <t>Adicionar Widget : Quadro de avisos</t>
  </si>
  <si>
    <t>Treinamentos</t>
  </si>
  <si>
    <t>Homologação final do cliente</t>
  </si>
  <si>
    <t>Ajustes finais</t>
  </si>
  <si>
    <t>Por projeto</t>
  </si>
  <si>
    <t>LMS</t>
  </si>
  <si>
    <t>Passo 4: Para BPM, WCM, ESB, IDENTITY, LMS e detalhe cada integração nas abas correspondentes</t>
  </si>
  <si>
    <t>Data: 07/04/2015 - versão 13.0 - Válido até</t>
  </si>
  <si>
    <t>Por Conteudo</t>
  </si>
  <si>
    <t>Cadastrar Conteúdo</t>
  </si>
  <si>
    <t>Por Certificado</t>
  </si>
  <si>
    <t>Por Conta</t>
  </si>
  <si>
    <t>Cadastrar e configurar conta do tipo tempo</t>
  </si>
  <si>
    <t>Cadastrar e configurar conta do tipo crédito</t>
  </si>
  <si>
    <t>Cadastrar Pastas no Catálogo de Treinamento</t>
  </si>
  <si>
    <t>Por Pasta</t>
  </si>
  <si>
    <t>Cadastrar Pastas no Catálogo de Disciplinas/Turmas</t>
  </si>
  <si>
    <t>Cadastrar Treinamento com Pré-Teste, Conteúdo e Pós-Teste</t>
  </si>
  <si>
    <t>Por Treinametno</t>
  </si>
  <si>
    <t>Cadastrar Trilha de Aprendizado</t>
  </si>
  <si>
    <t>Por Trilha</t>
  </si>
  <si>
    <t>Cadastrar e Configurar Disciplinas</t>
  </si>
  <si>
    <t>Por Diciplina</t>
  </si>
  <si>
    <t xml:space="preserve">Cadastrar e Configurar  Turmas na Disciplina </t>
  </si>
  <si>
    <t>Por Turma</t>
  </si>
  <si>
    <t xml:space="preserve">Cadastrar e Configurar Turmas Modelo na Disciplina </t>
  </si>
  <si>
    <t>Por Topico</t>
  </si>
  <si>
    <t>Adicionar e Configurar Tópico (Aulas)</t>
  </si>
  <si>
    <t>Adicionar e Configurar  Itens de Tópico, incluindo Entrega de trabalho e Link Externo</t>
  </si>
  <si>
    <t>Cadastrar e Configurar  Eventos Colaborativo</t>
  </si>
  <si>
    <t>Por Evento</t>
  </si>
  <si>
    <t>Cadastrar novas sessões</t>
  </si>
  <si>
    <t>Por Sessão</t>
  </si>
  <si>
    <t>Por Habilidade</t>
  </si>
  <si>
    <t>Cadastrar e Configurar Habilidade</t>
  </si>
  <si>
    <t>Cadastro e Configuração deTópicos</t>
  </si>
  <si>
    <t>Cadastro e Configuração de Questões</t>
  </si>
  <si>
    <t>Por Questão</t>
  </si>
  <si>
    <t>Cadastro e Configuração de  Blocos</t>
  </si>
  <si>
    <t>Por Bloco</t>
  </si>
  <si>
    <t>Cadastro e Configuração de Avaliações</t>
  </si>
  <si>
    <t>Por Avaliação</t>
  </si>
  <si>
    <t>Cadastro de  Agendamento de Avaliações</t>
  </si>
  <si>
    <t>Por Agendamento</t>
  </si>
  <si>
    <t>Matricular usuários em Turma</t>
  </si>
  <si>
    <t>Matricular usuários em Treinamento</t>
  </si>
  <si>
    <t>Por Matricula</t>
  </si>
  <si>
    <t>Por usuario</t>
  </si>
  <si>
    <t>Matricular  usuários em Trilha</t>
  </si>
  <si>
    <t>Por Widget</t>
  </si>
  <si>
    <t>Cadastro e Configuração de  Avisos</t>
  </si>
  <si>
    <t>Por Aviso</t>
  </si>
  <si>
    <t>Prestacao de Contas</t>
  </si>
  <si>
    <t>Cadastro de despesas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</si>
</sst>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&quot;R$&quot;\ * #,##0.00_-;\-&quot;R$&quot;\ * #,##0.00_-;_-&quot;R$&quot;\ * &quot;-&quot;??_-;_-@_-"/>
    <numFmt numFmtId="165" formatCode="_-* #,##0.00_-;\-* #,##0.00_-;_-* &quot;-&quot;??_-;_-@_-"/>
  </numFmts>
  <fonts count="26" x14ac:knownFonts="1">
    <font>
      <sz val="11"/>
      <color theme="1"/>
      <name val="Calibri"/>
      <family val="2"/>
      <scheme val="minor"/>
    </font>
    <font>
      <b/>
      <i/>
      <sz val="14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8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11"/>
      <color theme="1" tint="0.3499862666707357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13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3" xfId="0" applyFill="1" applyBorder="1" applyAlignment="1">
      <alignment horizontal="center"/>
    </xf>
    <xf numFmtId="0" fontId="0" fillId="2" borderId="5" xfId="0" applyFill="1" applyBorder="1"/>
    <xf numFmtId="0" fontId="3" fillId="2" borderId="0" xfId="0" applyFont="1" applyFill="1"/>
    <xf numFmtId="0" fontId="0" fillId="2" borderId="0" xfId="0" applyFill="1" applyAlignment="1">
      <alignment horizontal="center"/>
    </xf>
    <xf numFmtId="0" fontId="0" fillId="2" borderId="0" xfId="0" applyFill="1" applyBorder="1"/>
    <xf numFmtId="0" fontId="0" fillId="2" borderId="1" xfId="0" applyFill="1" applyBorder="1" applyAlignment="1">
      <alignment horizontal="center"/>
    </xf>
    <xf numFmtId="0" fontId="3" fillId="2" borderId="1" xfId="0" applyFont="1" applyFill="1" applyBorder="1"/>
    <xf numFmtId="0" fontId="3" fillId="2" borderId="0" xfId="0" applyFont="1" applyFill="1" applyBorder="1"/>
    <xf numFmtId="0" fontId="3" fillId="2" borderId="3" xfId="0" applyFont="1" applyFill="1" applyBorder="1"/>
    <xf numFmtId="0" fontId="6" fillId="0" borderId="0" xfId="0" applyFont="1" applyAlignment="1">
      <alignment textRotation="90"/>
    </xf>
    <xf numFmtId="0" fontId="0" fillId="3" borderId="8" xfId="0" applyFill="1" applyBorder="1"/>
    <xf numFmtId="0" fontId="0" fillId="3" borderId="8" xfId="0" applyFill="1" applyBorder="1" applyAlignment="1">
      <alignment horizontal="center"/>
    </xf>
    <xf numFmtId="0" fontId="5" fillId="4" borderId="8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/>
    </xf>
    <xf numFmtId="0" fontId="5" fillId="5" borderId="8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10" xfId="0" applyNumberFormat="1" applyFill="1" applyBorder="1" applyAlignment="1"/>
    <xf numFmtId="0" fontId="5" fillId="5" borderId="12" xfId="0" applyFont="1" applyFill="1" applyBorder="1" applyAlignment="1">
      <alignment horizontal="center"/>
    </xf>
    <xf numFmtId="9" fontId="0" fillId="9" borderId="0" xfId="0" applyNumberFormat="1" applyFill="1" applyBorder="1"/>
    <xf numFmtId="0" fontId="0" fillId="9" borderId="0" xfId="0" applyFill="1" applyBorder="1"/>
    <xf numFmtId="0" fontId="8" fillId="2" borderId="0" xfId="0" applyFont="1" applyFill="1" applyAlignment="1">
      <alignment horizontal="left" vertical="center" wrapText="1"/>
    </xf>
    <xf numFmtId="0" fontId="9" fillId="2" borderId="0" xfId="0" applyFont="1" applyFill="1"/>
    <xf numFmtId="0" fontId="10" fillId="2" borderId="0" xfId="0" applyFont="1" applyFill="1"/>
    <xf numFmtId="1" fontId="0" fillId="3" borderId="13" xfId="0" applyNumberFormat="1" applyFill="1" applyBorder="1" applyAlignment="1"/>
    <xf numFmtId="0" fontId="5" fillId="8" borderId="14" xfId="0" applyFont="1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11" fillId="8" borderId="16" xfId="0" applyFont="1" applyFill="1" applyBorder="1" applyAlignment="1">
      <alignment horizontal="left"/>
    </xf>
    <xf numFmtId="0" fontId="11" fillId="8" borderId="17" xfId="0" applyFont="1" applyFill="1" applyBorder="1" applyAlignment="1">
      <alignment horizontal="left"/>
    </xf>
    <xf numFmtId="0" fontId="11" fillId="8" borderId="18" xfId="0" applyFont="1" applyFill="1" applyBorder="1" applyAlignment="1">
      <alignment horizontal="left"/>
    </xf>
    <xf numFmtId="1" fontId="0" fillId="3" borderId="20" xfId="0" applyNumberFormat="1" applyFill="1" applyBorder="1" applyAlignment="1">
      <alignment horizontal="center"/>
    </xf>
    <xf numFmtId="1" fontId="0" fillId="3" borderId="21" xfId="0" applyNumberFormat="1" applyFill="1" applyBorder="1" applyAlignment="1"/>
    <xf numFmtId="1" fontId="0" fillId="3" borderId="22" xfId="0" applyNumberFormat="1" applyFill="1" applyBorder="1" applyAlignment="1"/>
    <xf numFmtId="0" fontId="5" fillId="5" borderId="14" xfId="0" applyFont="1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13" fillId="10" borderId="8" xfId="0" applyFont="1" applyFill="1" applyBorder="1"/>
    <xf numFmtId="0" fontId="15" fillId="2" borderId="0" xfId="0" applyFont="1" applyFill="1" applyAlignment="1">
      <alignment horizontal="center"/>
    </xf>
    <xf numFmtId="0" fontId="16" fillId="2" borderId="0" xfId="0" applyFont="1" applyFill="1"/>
    <xf numFmtId="9" fontId="5" fillId="9" borderId="8" xfId="2" applyFont="1" applyFill="1" applyBorder="1" applyAlignment="1" applyProtection="1">
      <alignment horizontal="center"/>
      <protection locked="0"/>
    </xf>
    <xf numFmtId="164" fontId="5" fillId="9" borderId="8" xfId="1" applyFont="1" applyFill="1" applyBorder="1" applyAlignment="1" applyProtection="1">
      <alignment horizontal="center"/>
      <protection locked="0"/>
    </xf>
    <xf numFmtId="0" fontId="5" fillId="9" borderId="8" xfId="0" applyFont="1" applyFill="1" applyBorder="1" applyAlignment="1" applyProtection="1">
      <alignment horizontal="center"/>
      <protection locked="0"/>
    </xf>
    <xf numFmtId="0" fontId="0" fillId="9" borderId="8" xfId="0" applyFill="1" applyBorder="1" applyAlignment="1" applyProtection="1">
      <alignment horizontal="center"/>
      <protection locked="0"/>
    </xf>
    <xf numFmtId="0" fontId="0" fillId="10" borderId="8" xfId="0" applyFill="1" applyBorder="1" applyAlignment="1" applyProtection="1">
      <alignment horizontal="center"/>
      <protection locked="0"/>
    </xf>
    <xf numFmtId="0" fontId="0" fillId="9" borderId="0" xfId="0" applyFill="1" applyBorder="1" applyProtection="1">
      <protection locked="0"/>
    </xf>
    <xf numFmtId="9" fontId="0" fillId="9" borderId="0" xfId="0" applyNumberFormat="1" applyFill="1" applyBorder="1" applyProtection="1">
      <protection locked="0"/>
    </xf>
    <xf numFmtId="0" fontId="17" fillId="2" borderId="26" xfId="0" applyFont="1" applyFill="1" applyBorder="1"/>
    <xf numFmtId="0" fontId="17" fillId="2" borderId="1" xfId="0" applyFont="1" applyFill="1" applyBorder="1"/>
    <xf numFmtId="0" fontId="17" fillId="2" borderId="1" xfId="0" applyFont="1" applyFill="1" applyBorder="1" applyAlignment="1">
      <alignment horizontal="center"/>
    </xf>
    <xf numFmtId="0" fontId="5" fillId="4" borderId="27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5" fillId="5" borderId="11" xfId="0" applyFont="1" applyFill="1" applyBorder="1" applyAlignment="1">
      <alignment horizontal="center" vertical="center" wrapText="1"/>
    </xf>
    <xf numFmtId="0" fontId="5" fillId="7" borderId="11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0" fillId="2" borderId="0" xfId="0" applyFont="1" applyFill="1"/>
    <xf numFmtId="0" fontId="19" fillId="2" borderId="0" xfId="0" applyFont="1" applyFill="1" applyAlignment="1">
      <alignment horizontal="left"/>
    </xf>
    <xf numFmtId="0" fontId="3" fillId="2" borderId="0" xfId="0" applyFont="1" applyFill="1" applyBorder="1" applyAlignment="1"/>
    <xf numFmtId="0" fontId="9" fillId="4" borderId="8" xfId="0" applyFont="1" applyFill="1" applyBorder="1" applyAlignment="1">
      <alignment horizontal="center" vertical="center" wrapText="1"/>
    </xf>
    <xf numFmtId="0" fontId="0" fillId="0" borderId="8" xfId="0" applyBorder="1"/>
    <xf numFmtId="0" fontId="0" fillId="0" borderId="0" xfId="0" applyAlignment="1">
      <alignment horizontal="right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5" fillId="4" borderId="10" xfId="0" applyFont="1" applyFill="1" applyBorder="1" applyAlignment="1">
      <alignment horizontal="right"/>
    </xf>
    <xf numFmtId="0" fontId="5" fillId="4" borderId="14" xfId="0" applyFont="1" applyFill="1" applyBorder="1" applyAlignment="1">
      <alignment horizontal="right"/>
    </xf>
    <xf numFmtId="0" fontId="0" fillId="0" borderId="8" xfId="0" applyBorder="1" applyProtection="1">
      <protection locked="0"/>
    </xf>
    <xf numFmtId="0" fontId="0" fillId="11" borderId="8" xfId="0" applyFill="1" applyBorder="1" applyAlignment="1" applyProtection="1">
      <alignment horizontal="center"/>
    </xf>
    <xf numFmtId="0" fontId="5" fillId="4" borderId="8" xfId="0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4" borderId="10" xfId="0" applyFont="1" applyFill="1" applyBorder="1" applyAlignment="1"/>
    <xf numFmtId="0" fontId="5" fillId="4" borderId="10" xfId="0" applyFont="1" applyFill="1" applyBorder="1" applyAlignment="1">
      <alignment horizontal="left"/>
    </xf>
    <xf numFmtId="0" fontId="9" fillId="4" borderId="10" xfId="0" applyFont="1" applyFill="1" applyBorder="1" applyAlignment="1">
      <alignment vertical="center"/>
    </xf>
    <xf numFmtId="0" fontId="9" fillId="11" borderId="8" xfId="0" applyFont="1" applyFill="1" applyBorder="1" applyAlignment="1">
      <alignment vertical="center"/>
    </xf>
    <xf numFmtId="0" fontId="5" fillId="11" borderId="8" xfId="0" applyFont="1" applyFill="1" applyBorder="1" applyAlignment="1"/>
    <xf numFmtId="0" fontId="5" fillId="11" borderId="10" xfId="0" applyFont="1" applyFill="1" applyBorder="1" applyAlignment="1">
      <alignment horizontal="left"/>
    </xf>
    <xf numFmtId="1" fontId="20" fillId="2" borderId="9" xfId="0" applyNumberFormat="1" applyFon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5" fillId="4" borderId="9" xfId="0" applyNumberFormat="1" applyFont="1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0" fontId="5" fillId="11" borderId="11" xfId="0" applyFont="1" applyFill="1" applyBorder="1" applyAlignment="1">
      <alignment horizontal="center" vertical="center" wrapText="1"/>
    </xf>
    <xf numFmtId="0" fontId="7" fillId="11" borderId="11" xfId="0" applyFont="1" applyFill="1" applyBorder="1" applyAlignment="1">
      <alignment horizontal="center" vertical="center" wrapText="1"/>
    </xf>
    <xf numFmtId="0" fontId="0" fillId="11" borderId="8" xfId="0" applyFill="1" applyBorder="1"/>
    <xf numFmtId="0" fontId="5" fillId="11" borderId="28" xfId="0" applyFont="1" applyFill="1" applyBorder="1" applyAlignment="1">
      <alignment horizontal="center" vertical="center" wrapText="1"/>
    </xf>
    <xf numFmtId="0" fontId="7" fillId="11" borderId="28" xfId="0" applyFont="1" applyFill="1" applyBorder="1" applyAlignment="1">
      <alignment horizontal="center" vertical="center" wrapText="1"/>
    </xf>
    <xf numFmtId="0" fontId="5" fillId="11" borderId="23" xfId="0" applyFont="1" applyFill="1" applyBorder="1"/>
    <xf numFmtId="0" fontId="5" fillId="11" borderId="24" xfId="0" applyFont="1" applyFill="1" applyBorder="1"/>
    <xf numFmtId="0" fontId="5" fillId="11" borderId="25" xfId="0" applyFont="1" applyFill="1" applyBorder="1"/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1" fontId="0" fillId="3" borderId="15" xfId="0" applyNumberFormat="1" applyFill="1" applyBorder="1" applyAlignment="1"/>
    <xf numFmtId="0" fontId="5" fillId="8" borderId="27" xfId="0" applyFont="1" applyFill="1" applyBorder="1" applyAlignment="1">
      <alignment horizontal="center"/>
    </xf>
    <xf numFmtId="0" fontId="5" fillId="8" borderId="29" xfId="0" applyFont="1" applyFill="1" applyBorder="1" applyAlignment="1">
      <alignment horizontal="left"/>
    </xf>
    <xf numFmtId="0" fontId="5" fillId="8" borderId="30" xfId="0" applyFont="1" applyFill="1" applyBorder="1" applyAlignment="1">
      <alignment horizontal="left"/>
    </xf>
    <xf numFmtId="164" fontId="4" fillId="2" borderId="0" xfId="0" applyNumberFormat="1" applyFont="1" applyFill="1"/>
    <xf numFmtId="0" fontId="9" fillId="2" borderId="0" xfId="0" applyFont="1" applyFill="1" applyAlignment="1">
      <alignment horizontal="left" vertical="center" wrapText="1"/>
    </xf>
    <xf numFmtId="0" fontId="0" fillId="9" borderId="10" xfId="0" applyFill="1" applyBorder="1" applyAlignment="1" applyProtection="1">
      <protection locked="0"/>
    </xf>
    <xf numFmtId="0" fontId="0" fillId="9" borderId="13" xfId="0" applyFill="1" applyBorder="1" applyAlignment="1" applyProtection="1">
      <protection locked="0"/>
    </xf>
    <xf numFmtId="0" fontId="0" fillId="9" borderId="14" xfId="0" applyFill="1" applyBorder="1" applyAlignment="1" applyProtection="1">
      <protection locked="0"/>
    </xf>
    <xf numFmtId="0" fontId="0" fillId="9" borderId="0" xfId="0" applyFill="1"/>
    <xf numFmtId="0" fontId="6" fillId="9" borderId="0" xfId="0" applyFont="1" applyFill="1" applyAlignment="1">
      <alignment textRotation="90"/>
    </xf>
    <xf numFmtId="0" fontId="4" fillId="2" borderId="0" xfId="0" applyFont="1" applyFill="1"/>
    <xf numFmtId="0" fontId="4" fillId="2" borderId="0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0" fillId="12" borderId="8" xfId="0" applyFill="1" applyBorder="1" applyAlignment="1" applyProtection="1">
      <alignment horizontal="center"/>
    </xf>
    <xf numFmtId="0" fontId="0" fillId="13" borderId="8" xfId="0" applyFill="1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0" fillId="8" borderId="8" xfId="0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0" fontId="0" fillId="14" borderId="8" xfId="0" applyFill="1" applyBorder="1" applyProtection="1"/>
    <xf numFmtId="0" fontId="0" fillId="12" borderId="8" xfId="0" applyFill="1" applyBorder="1" applyProtection="1"/>
    <xf numFmtId="0" fontId="0" fillId="13" borderId="8" xfId="0" applyFill="1" applyBorder="1" applyProtection="1"/>
    <xf numFmtId="0" fontId="0" fillId="8" borderId="8" xfId="0" applyFill="1" applyBorder="1" applyProtection="1"/>
    <xf numFmtId="1" fontId="4" fillId="2" borderId="0" xfId="0" applyNumberFormat="1" applyFont="1" applyFill="1"/>
    <xf numFmtId="0" fontId="5" fillId="10" borderId="8" xfId="0" applyFont="1" applyFill="1" applyBorder="1" applyAlignment="1" applyProtection="1">
      <alignment horizontal="center" vertical="center" wrapText="1"/>
    </xf>
    <xf numFmtId="0" fontId="0" fillId="10" borderId="8" xfId="0" applyFill="1" applyBorder="1" applyAlignment="1" applyProtection="1">
      <alignment horizontal="center"/>
    </xf>
    <xf numFmtId="0" fontId="5" fillId="8" borderId="8" xfId="0" applyFont="1" applyFill="1" applyBorder="1" applyAlignment="1">
      <alignment horizontal="center" vertical="center" wrapText="1"/>
    </xf>
    <xf numFmtId="14" fontId="21" fillId="14" borderId="0" xfId="0" applyNumberFormat="1" applyFont="1" applyFill="1" applyAlignment="1">
      <alignment horizontal="left" vertical="center" wrapText="1"/>
    </xf>
    <xf numFmtId="0" fontId="0" fillId="0" borderId="0" xfId="0" applyBorder="1"/>
    <xf numFmtId="165" fontId="12" fillId="3" borderId="0" xfId="3" applyFont="1" applyFill="1" applyBorder="1" applyAlignment="1">
      <alignment horizontal="center"/>
    </xf>
    <xf numFmtId="165" fontId="12" fillId="3" borderId="14" xfId="3" applyFont="1" applyFill="1" applyBorder="1" applyAlignment="1">
      <alignment horizontal="center"/>
    </xf>
    <xf numFmtId="165" fontId="12" fillId="3" borderId="27" xfId="3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9" borderId="12" xfId="0" applyFill="1" applyBorder="1" applyAlignment="1">
      <alignment vertical="center"/>
    </xf>
    <xf numFmtId="0" fontId="0" fillId="9" borderId="12" xfId="0" applyFill="1" applyBorder="1" applyAlignment="1">
      <alignment vertical="center" wrapText="1"/>
    </xf>
    <xf numFmtId="0" fontId="0" fillId="0" borderId="8" xfId="0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9" borderId="8" xfId="0" applyFill="1" applyBorder="1" applyAlignment="1">
      <alignment vertical="center"/>
    </xf>
    <xf numFmtId="0" fontId="0" fillId="0" borderId="8" xfId="0" applyFill="1" applyBorder="1" applyAlignment="1" applyProtection="1">
      <alignment vertical="center" wrapText="1"/>
    </xf>
    <xf numFmtId="0" fontId="0" fillId="15" borderId="8" xfId="0" applyFill="1" applyBorder="1" applyAlignment="1" applyProtection="1">
      <alignment vertical="center" wrapText="1"/>
    </xf>
    <xf numFmtId="0" fontId="5" fillId="15" borderId="8" xfId="0" applyFont="1" applyFill="1" applyBorder="1" applyAlignment="1">
      <alignment horizontal="center" vertical="center" wrapText="1"/>
    </xf>
    <xf numFmtId="0" fontId="0" fillId="9" borderId="10" xfId="0" applyFill="1" applyBorder="1" applyAlignment="1" applyProtection="1">
      <protection locked="0"/>
    </xf>
    <xf numFmtId="0" fontId="0" fillId="9" borderId="13" xfId="0" applyFill="1" applyBorder="1" applyAlignment="1" applyProtection="1">
      <protection locked="0"/>
    </xf>
    <xf numFmtId="0" fontId="0" fillId="9" borderId="14" xfId="0" applyFill="1" applyBorder="1" applyAlignment="1" applyProtection="1">
      <protection locked="0"/>
    </xf>
    <xf numFmtId="0" fontId="0" fillId="16" borderId="8" xfId="0" applyFill="1" applyBorder="1" applyProtection="1"/>
    <xf numFmtId="0" fontId="0" fillId="16" borderId="8" xfId="0" applyFill="1" applyBorder="1" applyAlignment="1" applyProtection="1">
      <alignment horizontal="center"/>
    </xf>
    <xf numFmtId="0" fontId="25" fillId="2" borderId="0" xfId="0" applyFont="1" applyFill="1"/>
    <xf numFmtId="0" fontId="3" fillId="2" borderId="1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5" fillId="2" borderId="0" xfId="0" applyFont="1" applyFill="1" applyAlignment="1">
      <alignment horizontal="left"/>
    </xf>
    <xf numFmtId="1" fontId="9" fillId="6" borderId="37" xfId="0" applyNumberFormat="1" applyFont="1" applyFill="1" applyBorder="1" applyAlignment="1">
      <alignment horizontal="center" vertical="center"/>
    </xf>
    <xf numFmtId="1" fontId="9" fillId="6" borderId="38" xfId="0" applyNumberFormat="1" applyFont="1" applyFill="1" applyBorder="1" applyAlignment="1">
      <alignment horizontal="center" vertical="center"/>
    </xf>
    <xf numFmtId="1" fontId="9" fillId="6" borderId="39" xfId="0" applyNumberFormat="1" applyFont="1" applyFill="1" applyBorder="1" applyAlignment="1">
      <alignment horizontal="center" vertical="center"/>
    </xf>
    <xf numFmtId="1" fontId="9" fillId="6" borderId="5" xfId="0" applyNumberFormat="1" applyFont="1" applyFill="1" applyBorder="1" applyAlignment="1">
      <alignment horizontal="center" vertical="center"/>
    </xf>
    <xf numFmtId="1" fontId="9" fillId="6" borderId="40" xfId="0" applyNumberFormat="1" applyFont="1" applyFill="1" applyBorder="1" applyAlignment="1">
      <alignment horizontal="center" vertical="center"/>
    </xf>
    <xf numFmtId="1" fontId="9" fillId="6" borderId="4" xfId="0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left" vertical="center" wrapText="1"/>
    </xf>
    <xf numFmtId="0" fontId="5" fillId="8" borderId="30" xfId="0" applyFont="1" applyFill="1" applyBorder="1" applyAlignment="1">
      <alignment horizontal="left"/>
    </xf>
    <xf numFmtId="0" fontId="5" fillId="8" borderId="13" xfId="0" applyFont="1" applyFill="1" applyBorder="1" applyAlignment="1">
      <alignment horizontal="left"/>
    </xf>
    <xf numFmtId="0" fontId="5" fillId="8" borderId="14" xfId="0" applyFont="1" applyFill="1" applyBorder="1" applyAlignment="1">
      <alignment horizontal="left"/>
    </xf>
    <xf numFmtId="0" fontId="5" fillId="8" borderId="41" xfId="0" applyFont="1" applyFill="1" applyBorder="1" applyAlignment="1">
      <alignment horizontal="left"/>
    </xf>
    <xf numFmtId="0" fontId="5" fillId="8" borderId="22" xfId="0" applyFont="1" applyFill="1" applyBorder="1" applyAlignment="1">
      <alignment horizontal="left"/>
    </xf>
    <xf numFmtId="0" fontId="5" fillId="8" borderId="42" xfId="0" applyFont="1" applyFill="1" applyBorder="1" applyAlignment="1">
      <alignment horizontal="left"/>
    </xf>
    <xf numFmtId="0" fontId="5" fillId="9" borderId="0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left" vertical="center" wrapText="1"/>
    </xf>
    <xf numFmtId="164" fontId="12" fillId="3" borderId="10" xfId="1" applyFont="1" applyFill="1" applyBorder="1" applyAlignment="1">
      <alignment horizontal="center"/>
    </xf>
    <xf numFmtId="164" fontId="12" fillId="3" borderId="13" xfId="1" applyFont="1" applyFill="1" applyBorder="1" applyAlignment="1">
      <alignment horizontal="center"/>
    </xf>
    <xf numFmtId="164" fontId="12" fillId="3" borderId="31" xfId="1" applyFont="1" applyFill="1" applyBorder="1" applyAlignment="1">
      <alignment horizontal="center"/>
    </xf>
    <xf numFmtId="1" fontId="14" fillId="6" borderId="10" xfId="0" applyNumberFormat="1" applyFont="1" applyFill="1" applyBorder="1" applyAlignment="1">
      <alignment horizontal="center" vertical="center"/>
    </xf>
    <xf numFmtId="1" fontId="14" fillId="6" borderId="31" xfId="0" applyNumberFormat="1" applyFont="1" applyFill="1" applyBorder="1" applyAlignment="1">
      <alignment horizontal="center" vertical="center"/>
    </xf>
    <xf numFmtId="0" fontId="9" fillId="6" borderId="18" xfId="0" applyFont="1" applyFill="1" applyBorder="1" applyAlignment="1">
      <alignment horizontal="center"/>
    </xf>
    <xf numFmtId="0" fontId="9" fillId="6" borderId="17" xfId="0" applyFont="1" applyFill="1" applyBorder="1" applyAlignment="1">
      <alignment horizontal="center"/>
    </xf>
    <xf numFmtId="0" fontId="9" fillId="6" borderId="14" xfId="0" applyFont="1" applyFill="1" applyBorder="1" applyAlignment="1">
      <alignment horizontal="center"/>
    </xf>
    <xf numFmtId="0" fontId="9" fillId="8" borderId="30" xfId="0" applyFont="1" applyFill="1" applyBorder="1" applyAlignment="1">
      <alignment horizontal="center" vertical="center"/>
    </xf>
    <xf numFmtId="0" fontId="9" fillId="8" borderId="13" xfId="0" applyFont="1" applyFill="1" applyBorder="1" applyAlignment="1">
      <alignment horizontal="center" vertical="center"/>
    </xf>
    <xf numFmtId="0" fontId="9" fillId="8" borderId="14" xfId="0" applyFont="1" applyFill="1" applyBorder="1" applyAlignment="1">
      <alignment horizontal="center" vertical="center"/>
    </xf>
    <xf numFmtId="0" fontId="12" fillId="9" borderId="0" xfId="0" applyFont="1" applyFill="1" applyAlignment="1" applyProtection="1">
      <alignment horizontal="left"/>
      <protection locked="0"/>
    </xf>
    <xf numFmtId="0" fontId="9" fillId="8" borderId="2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8" borderId="32" xfId="0" applyFont="1" applyFill="1" applyBorder="1" applyAlignment="1">
      <alignment horizontal="center"/>
    </xf>
    <xf numFmtId="0" fontId="10" fillId="5" borderId="11" xfId="0" applyFont="1" applyFill="1" applyBorder="1" applyAlignment="1">
      <alignment horizontal="center" vertical="top"/>
    </xf>
    <xf numFmtId="0" fontId="10" fillId="5" borderId="12" xfId="0" applyFont="1" applyFill="1" applyBorder="1" applyAlignment="1">
      <alignment horizontal="center" vertical="top"/>
    </xf>
    <xf numFmtId="164" fontId="14" fillId="6" borderId="10" xfId="1" applyFont="1" applyFill="1" applyBorder="1" applyAlignment="1">
      <alignment horizontal="center"/>
    </xf>
    <xf numFmtId="164" fontId="14" fillId="6" borderId="13" xfId="1" applyFont="1" applyFill="1" applyBorder="1" applyAlignment="1">
      <alignment horizontal="center"/>
    </xf>
    <xf numFmtId="164" fontId="14" fillId="6" borderId="31" xfId="1" applyFont="1" applyFill="1" applyBorder="1" applyAlignment="1">
      <alignment horizontal="center"/>
    </xf>
    <xf numFmtId="0" fontId="18" fillId="8" borderId="34" xfId="0" applyFont="1" applyFill="1" applyBorder="1" applyAlignment="1">
      <alignment horizontal="center" vertical="center"/>
    </xf>
    <xf numFmtId="0" fontId="18" fillId="8" borderId="35" xfId="0" applyFont="1" applyFill="1" applyBorder="1" applyAlignment="1">
      <alignment horizontal="center" vertical="center"/>
    </xf>
    <xf numFmtId="0" fontId="18" fillId="8" borderId="36" xfId="0" applyFont="1" applyFill="1" applyBorder="1" applyAlignment="1">
      <alignment horizontal="center" vertical="center"/>
    </xf>
    <xf numFmtId="0" fontId="5" fillId="8" borderId="10" xfId="0" applyFont="1" applyFill="1" applyBorder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31" xfId="0" applyFont="1" applyFill="1" applyBorder="1" applyAlignment="1">
      <alignment horizontal="center"/>
    </xf>
    <xf numFmtId="0" fontId="22" fillId="2" borderId="0" xfId="0" applyFont="1" applyFill="1" applyAlignment="1">
      <alignment horizontal="center" wrapText="1"/>
    </xf>
    <xf numFmtId="0" fontId="5" fillId="8" borderId="10" xfId="0" applyFont="1" applyFill="1" applyBorder="1" applyAlignment="1">
      <alignment horizontal="center"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0" fillId="9" borderId="10" xfId="0" applyFill="1" applyBorder="1" applyAlignment="1" applyProtection="1">
      <protection locked="0"/>
    </xf>
    <xf numFmtId="0" fontId="0" fillId="9" borderId="13" xfId="0" applyFill="1" applyBorder="1" applyAlignment="1" applyProtection="1">
      <protection locked="0"/>
    </xf>
    <xf numFmtId="0" fontId="0" fillId="9" borderId="14" xfId="0" applyFill="1" applyBorder="1" applyAlignment="1" applyProtection="1">
      <protection locked="0"/>
    </xf>
    <xf numFmtId="0" fontId="0" fillId="9" borderId="10" xfId="0" applyFill="1" applyBorder="1" applyAlignment="1" applyProtection="1">
      <alignment horizontal="left"/>
      <protection locked="0"/>
    </xf>
    <xf numFmtId="0" fontId="0" fillId="9" borderId="13" xfId="0" applyFill="1" applyBorder="1" applyAlignment="1" applyProtection="1">
      <alignment horizontal="left"/>
      <protection locked="0"/>
    </xf>
    <xf numFmtId="0" fontId="0" fillId="9" borderId="14" xfId="0" applyFill="1" applyBorder="1" applyAlignment="1" applyProtection="1">
      <alignment horizontal="left"/>
      <protection locked="0"/>
    </xf>
    <xf numFmtId="0" fontId="0" fillId="9" borderId="10" xfId="0" applyFill="1" applyBorder="1" applyAlignment="1" applyProtection="1">
      <alignment horizontal="center"/>
      <protection locked="0"/>
    </xf>
    <xf numFmtId="0" fontId="0" fillId="9" borderId="13" xfId="0" applyFill="1" applyBorder="1" applyAlignment="1" applyProtection="1">
      <alignment horizontal="center"/>
      <protection locked="0"/>
    </xf>
    <xf numFmtId="0" fontId="0" fillId="9" borderId="14" xfId="0" applyFill="1" applyBorder="1" applyAlignment="1" applyProtection="1">
      <alignment horizontal="center"/>
      <protection locked="0"/>
    </xf>
    <xf numFmtId="0" fontId="5" fillId="4" borderId="10" xfId="0" applyFont="1" applyFill="1" applyBorder="1" applyAlignment="1">
      <alignment horizontal="center" vertical="center" wrapText="1"/>
    </xf>
    <xf numFmtId="0" fontId="5" fillId="4" borderId="13" xfId="0" applyFont="1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21" fillId="14" borderId="0" xfId="0" applyFont="1" applyFill="1" applyAlignment="1">
      <alignment horizontal="left" vertical="center" wrapText="1"/>
    </xf>
    <xf numFmtId="0" fontId="9" fillId="4" borderId="19" xfId="0" applyFont="1" applyFill="1" applyBorder="1" applyAlignment="1">
      <alignment horizontal="center" vertical="center" wrapText="1"/>
    </xf>
    <xf numFmtId="0" fontId="9" fillId="4" borderId="33" xfId="0" applyFont="1" applyFill="1" applyBorder="1" applyAlignment="1">
      <alignment horizontal="center" vertical="center" wrapText="1"/>
    </xf>
    <xf numFmtId="0" fontId="14" fillId="0" borderId="23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0"/>
  <tableStyles count="0" defaultTableStyle="TableStyleMedium9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504825</xdr:colOff>
      <xdr:row>0</xdr:row>
      <xdr:rowOff>28575</xdr:rowOff>
    </xdr:from>
    <xdr:to>
      <xdr:col>2</xdr:col>
      <xdr:colOff>2257425</xdr:colOff>
      <xdr:row>0</xdr:row>
      <xdr:rowOff>866775</xdr:rowOff>
    </xdr:to>
    <xdr:pic>
      <xdr:nvPicPr>
        <xdr:cNvPr id="1031" name="Imagem 1" descr="http://www.dtsconsultoria.com.br/site/admin/smarty/templates/cms-1/upload_arquivos/noticias/thumb_6b875ab3fc949d4464eb085db3efec17_fluig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28575"/>
          <a:ext cx="17526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272143</xdr:colOff>
      <xdr:row>20</xdr:row>
      <xdr:rowOff>81643</xdr:rowOff>
    </xdr:from>
    <xdr:to>
      <xdr:col>17</xdr:col>
      <xdr:colOff>1306286</xdr:colOff>
      <xdr:row>24</xdr:row>
      <xdr:rowOff>231321</xdr:rowOff>
    </xdr:to>
    <xdr:sp macro="" textlink="">
      <xdr:nvSpPr>
        <xdr:cNvPr id="4" name="Seta dobrada para cima 3"/>
        <xdr:cNvSpPr/>
      </xdr:nvSpPr>
      <xdr:spPr>
        <a:xfrm flipV="1">
          <a:off x="10926536" y="6681107"/>
          <a:ext cx="6858000" cy="1292678"/>
        </a:xfrm>
        <a:prstGeom prst="bentUpArrow">
          <a:avLst>
            <a:gd name="adj1" fmla="val 14474"/>
            <a:gd name="adj2" fmla="val 25000"/>
            <a:gd name="adj3" fmla="val 281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285749</xdr:colOff>
      <xdr:row>2</xdr:row>
      <xdr:rowOff>81643</xdr:rowOff>
    </xdr:from>
    <xdr:to>
      <xdr:col>7</xdr:col>
      <xdr:colOff>802821</xdr:colOff>
      <xdr:row>4</xdr:row>
      <xdr:rowOff>149678</xdr:rowOff>
    </xdr:to>
    <xdr:sp macro="" textlink="">
      <xdr:nvSpPr>
        <xdr:cNvPr id="2" name="Seta para a esquerda 1"/>
        <xdr:cNvSpPr/>
      </xdr:nvSpPr>
      <xdr:spPr>
        <a:xfrm>
          <a:off x="8953499" y="1510393"/>
          <a:ext cx="1156608" cy="50346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1</a:t>
          </a:r>
          <a:endParaRPr lang="pt-BR" sz="1100" b="1"/>
        </a:p>
      </xdr:txBody>
    </xdr:sp>
    <xdr:clientData/>
  </xdr:twoCellAnchor>
  <xdr:twoCellAnchor>
    <xdr:from>
      <xdr:col>3</xdr:col>
      <xdr:colOff>410937</xdr:colOff>
      <xdr:row>5</xdr:row>
      <xdr:rowOff>503463</xdr:rowOff>
    </xdr:from>
    <xdr:to>
      <xdr:col>3</xdr:col>
      <xdr:colOff>914401</xdr:colOff>
      <xdr:row>8</xdr:row>
      <xdr:rowOff>43542</xdr:rowOff>
    </xdr:to>
    <xdr:sp macro="" textlink="">
      <xdr:nvSpPr>
        <xdr:cNvPr id="5" name="Seta para a esquerda 4"/>
        <xdr:cNvSpPr/>
      </xdr:nvSpPr>
      <xdr:spPr>
        <a:xfrm rot="16200000">
          <a:off x="4777468" y="2600325"/>
          <a:ext cx="587829" cy="50346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t"/>
        <a:lstStyle/>
        <a:p>
          <a:pPr algn="l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2</a:t>
          </a:r>
          <a:endParaRPr lang="pt-BR" sz="1100"/>
        </a:p>
      </xdr:txBody>
    </xdr:sp>
    <xdr:clientData/>
  </xdr:twoCellAnchor>
  <xdr:twoCellAnchor>
    <xdr:from>
      <xdr:col>6</xdr:col>
      <xdr:colOff>138792</xdr:colOff>
      <xdr:row>1</xdr:row>
      <xdr:rowOff>43543</xdr:rowOff>
    </xdr:from>
    <xdr:to>
      <xdr:col>6</xdr:col>
      <xdr:colOff>598714</xdr:colOff>
      <xdr:row>1</xdr:row>
      <xdr:rowOff>547007</xdr:rowOff>
    </xdr:to>
    <xdr:sp macro="" textlink="">
      <xdr:nvSpPr>
        <xdr:cNvPr id="6" name="Seta para a esquerda 5"/>
        <xdr:cNvSpPr/>
      </xdr:nvSpPr>
      <xdr:spPr>
        <a:xfrm rot="10800000">
          <a:off x="8806542" y="914400"/>
          <a:ext cx="459922" cy="503464"/>
        </a:xfrm>
        <a:prstGeom prst="leftArrow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34017</xdr:colOff>
      <xdr:row>47</xdr:row>
      <xdr:rowOff>163286</xdr:rowOff>
    </xdr:from>
    <xdr:to>
      <xdr:col>21</xdr:col>
      <xdr:colOff>4653642</xdr:colOff>
      <xdr:row>50</xdr:row>
      <xdr:rowOff>163287</xdr:rowOff>
    </xdr:to>
    <xdr:grpSp>
      <xdr:nvGrpSpPr>
        <xdr:cNvPr id="8" name="Grupo 7"/>
        <xdr:cNvGrpSpPr/>
      </xdr:nvGrpSpPr>
      <xdr:grpSpPr>
        <a:xfrm>
          <a:off x="21425580" y="13326307"/>
          <a:ext cx="5201708" cy="674688"/>
          <a:chOff x="18675802" y="13389433"/>
          <a:chExt cx="5082268" cy="911682"/>
        </a:xfrm>
      </xdr:grpSpPr>
      <xdr:sp macro="" textlink="">
        <xdr:nvSpPr>
          <xdr:cNvPr id="3" name="Texto explicativo em seta para baixo 2"/>
          <xdr:cNvSpPr/>
        </xdr:nvSpPr>
        <xdr:spPr>
          <a:xfrm rot="5400000" flipH="1">
            <a:off x="20761095" y="11304140"/>
            <a:ext cx="911682" cy="5082268"/>
          </a:xfrm>
          <a:prstGeom prst="downArrowCallout">
            <a:avLst>
              <a:gd name="adj1" fmla="val 25000"/>
              <a:gd name="adj2" fmla="val 25000"/>
              <a:gd name="adj3" fmla="val 25000"/>
              <a:gd name="adj4" fmla="val 89609"/>
            </a:avLst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000"/>
          </a:p>
        </xdr:txBody>
      </xdr:sp>
      <xdr:sp macro="" textlink="">
        <xdr:nvSpPr>
          <xdr:cNvPr id="7" name="CaixaDeTexto 6"/>
          <xdr:cNvSpPr txBox="1"/>
        </xdr:nvSpPr>
        <xdr:spPr>
          <a:xfrm>
            <a:off x="19240501" y="13430251"/>
            <a:ext cx="4422321" cy="835111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50"/>
              <a:t>A</a:t>
            </a:r>
            <a:r>
              <a:rPr lang="pt-BR" sz="1050" baseline="0"/>
              <a:t> operação assistida é tempo que constores estarão junto ao cliente, depois da implantação. Ajuste o percentual para que seja algo compatível com a realidade do projeto. </a:t>
            </a:r>
            <a:r>
              <a:rPr lang="pt-BR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(Valor de Referencia: 20%) </a:t>
            </a:r>
            <a:endParaRPr lang="pt-BR" sz="1050"/>
          </a:p>
        </xdr:txBody>
      </xdr:sp>
    </xdr:grpSp>
    <xdr:clientData/>
  </xdr:twoCellAnchor>
  <xdr:twoCellAnchor>
    <xdr:from>
      <xdr:col>18</xdr:col>
      <xdr:colOff>23133</xdr:colOff>
      <xdr:row>44</xdr:row>
      <xdr:rowOff>152413</xdr:rowOff>
    </xdr:from>
    <xdr:to>
      <xdr:col>21</xdr:col>
      <xdr:colOff>4642758</xdr:colOff>
      <xdr:row>47</xdr:row>
      <xdr:rowOff>107644</xdr:rowOff>
    </xdr:to>
    <xdr:grpSp>
      <xdr:nvGrpSpPr>
        <xdr:cNvPr id="13" name="Grupo 12"/>
        <xdr:cNvGrpSpPr/>
      </xdr:nvGrpSpPr>
      <xdr:grpSpPr>
        <a:xfrm>
          <a:off x="21414696" y="12640746"/>
          <a:ext cx="5201708" cy="629919"/>
          <a:chOff x="18675803" y="13389417"/>
          <a:chExt cx="5082268" cy="713059"/>
        </a:xfrm>
      </xdr:grpSpPr>
      <xdr:sp macro="" textlink="">
        <xdr:nvSpPr>
          <xdr:cNvPr id="14" name="Texto explicativo em seta para baixo 13"/>
          <xdr:cNvSpPr/>
        </xdr:nvSpPr>
        <xdr:spPr>
          <a:xfrm rot="5400000" flipH="1">
            <a:off x="20860407" y="11204813"/>
            <a:ext cx="713059" cy="5082268"/>
          </a:xfrm>
          <a:prstGeom prst="downArrowCallout">
            <a:avLst>
              <a:gd name="adj1" fmla="val 25000"/>
              <a:gd name="adj2" fmla="val 25000"/>
              <a:gd name="adj3" fmla="val 25000"/>
              <a:gd name="adj4" fmla="val 89609"/>
            </a:avLst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/>
          <xdr:cNvSpPr txBox="1"/>
        </xdr:nvSpPr>
        <xdr:spPr>
          <a:xfrm>
            <a:off x="19240501" y="13430242"/>
            <a:ext cx="4422321" cy="554008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50"/>
              <a:t>São</a:t>
            </a:r>
            <a:r>
              <a:rPr lang="pt-BR" sz="1050" baseline="0"/>
              <a:t> as horas necessárias para treinar o cliente sobre tudo que foi desenvolvido especifico para o cliente. Produto padrão esta em outras linhas. </a:t>
            </a:r>
            <a:r>
              <a:rPr lang="pt-BR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(Valor de Referencia: 5%) </a:t>
            </a:r>
            <a:endParaRPr lang="pt-BR" sz="1050"/>
          </a:p>
        </xdr:txBody>
      </xdr:sp>
    </xdr:grpSp>
    <xdr:clientData/>
  </xdr:twoCellAnchor>
  <xdr:twoCellAnchor>
    <xdr:from>
      <xdr:col>18</xdr:col>
      <xdr:colOff>25855</xdr:colOff>
      <xdr:row>41</xdr:row>
      <xdr:rowOff>141527</xdr:rowOff>
    </xdr:from>
    <xdr:to>
      <xdr:col>21</xdr:col>
      <xdr:colOff>4645480</xdr:colOff>
      <xdr:row>44</xdr:row>
      <xdr:rowOff>96758</xdr:rowOff>
    </xdr:to>
    <xdr:grpSp>
      <xdr:nvGrpSpPr>
        <xdr:cNvPr id="19" name="Grupo 18"/>
        <xdr:cNvGrpSpPr/>
      </xdr:nvGrpSpPr>
      <xdr:grpSpPr>
        <a:xfrm>
          <a:off x="21417418" y="11955173"/>
          <a:ext cx="5201708" cy="629918"/>
          <a:chOff x="18675803" y="13389417"/>
          <a:chExt cx="5082268" cy="713059"/>
        </a:xfrm>
      </xdr:grpSpPr>
      <xdr:sp macro="" textlink="">
        <xdr:nvSpPr>
          <xdr:cNvPr id="20" name="Texto explicativo em seta para baixo 19"/>
          <xdr:cNvSpPr/>
        </xdr:nvSpPr>
        <xdr:spPr>
          <a:xfrm rot="5400000" flipH="1">
            <a:off x="20860407" y="11204813"/>
            <a:ext cx="713059" cy="5082268"/>
          </a:xfrm>
          <a:prstGeom prst="downArrowCallout">
            <a:avLst>
              <a:gd name="adj1" fmla="val 25000"/>
              <a:gd name="adj2" fmla="val 25000"/>
              <a:gd name="adj3" fmla="val 25000"/>
              <a:gd name="adj4" fmla="val 89609"/>
            </a:avLst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/>
          <xdr:cNvSpPr txBox="1"/>
        </xdr:nvSpPr>
        <xdr:spPr>
          <a:xfrm>
            <a:off x="19240501" y="13430242"/>
            <a:ext cx="4422321" cy="554008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50"/>
              <a:t>São</a:t>
            </a:r>
            <a:r>
              <a:rPr lang="pt-BR" sz="1050" baseline="0"/>
              <a:t> as horas necessárias instalar tudo que desenvolvido de forma especifica para o cliente. A instalação do produto padrão esta em outras linhas. </a:t>
            </a:r>
            <a:r>
              <a:rPr lang="pt-BR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(Valor de Referencia: 5%) </a:t>
            </a:r>
            <a:endParaRPr lang="pt-BR" sz="1050"/>
          </a:p>
        </xdr:txBody>
      </xdr:sp>
    </xdr:grpSp>
    <xdr:clientData/>
  </xdr:twoCellAnchor>
  <xdr:twoCellAnchor>
    <xdr:from>
      <xdr:col>18</xdr:col>
      <xdr:colOff>28576</xdr:colOff>
      <xdr:row>38</xdr:row>
      <xdr:rowOff>89820</xdr:rowOff>
    </xdr:from>
    <xdr:to>
      <xdr:col>21</xdr:col>
      <xdr:colOff>4648201</xdr:colOff>
      <xdr:row>41</xdr:row>
      <xdr:rowOff>99479</xdr:rowOff>
    </xdr:to>
    <xdr:grpSp>
      <xdr:nvGrpSpPr>
        <xdr:cNvPr id="22" name="Grupo 21"/>
        <xdr:cNvGrpSpPr/>
      </xdr:nvGrpSpPr>
      <xdr:grpSpPr>
        <a:xfrm>
          <a:off x="21420139" y="11281695"/>
          <a:ext cx="5201708" cy="631430"/>
          <a:chOff x="18675803" y="13389417"/>
          <a:chExt cx="5082268" cy="713059"/>
        </a:xfrm>
      </xdr:grpSpPr>
      <xdr:sp macro="" textlink="">
        <xdr:nvSpPr>
          <xdr:cNvPr id="23" name="Texto explicativo em seta para baixo 22"/>
          <xdr:cNvSpPr/>
        </xdr:nvSpPr>
        <xdr:spPr>
          <a:xfrm rot="5400000" flipH="1">
            <a:off x="20860407" y="11204813"/>
            <a:ext cx="713059" cy="5082268"/>
          </a:xfrm>
          <a:prstGeom prst="downArrowCallout">
            <a:avLst>
              <a:gd name="adj1" fmla="val 25000"/>
              <a:gd name="adj2" fmla="val 25000"/>
              <a:gd name="adj3" fmla="val 25000"/>
              <a:gd name="adj4" fmla="val 89609"/>
            </a:avLst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CaixaDeTexto 23"/>
          <xdr:cNvSpPr txBox="1"/>
        </xdr:nvSpPr>
        <xdr:spPr>
          <a:xfrm>
            <a:off x="19240501" y="13430242"/>
            <a:ext cx="4422321" cy="554008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50"/>
              <a:t>São</a:t>
            </a:r>
            <a:r>
              <a:rPr lang="pt-BR" sz="1050" baseline="0"/>
              <a:t> as horas necessárias para desenvolver manuais de utilização do que foi desenvolvido em especifico para o cliente.</a:t>
            </a:r>
            <a:r>
              <a:rPr lang="pt-BR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(Valor de Referencia: 5%) </a:t>
            </a:r>
            <a:endParaRPr lang="pt-BR" sz="1050"/>
          </a:p>
        </xdr:txBody>
      </xdr:sp>
    </xdr:grpSp>
    <xdr:clientData/>
  </xdr:twoCellAnchor>
  <xdr:twoCellAnchor>
    <xdr:from>
      <xdr:col>18</xdr:col>
      <xdr:colOff>31297</xdr:colOff>
      <xdr:row>35</xdr:row>
      <xdr:rowOff>174189</xdr:rowOff>
    </xdr:from>
    <xdr:to>
      <xdr:col>21</xdr:col>
      <xdr:colOff>4650922</xdr:colOff>
      <xdr:row>38</xdr:row>
      <xdr:rowOff>40822</xdr:rowOff>
    </xdr:to>
    <xdr:grpSp>
      <xdr:nvGrpSpPr>
        <xdr:cNvPr id="25" name="Grupo 24"/>
        <xdr:cNvGrpSpPr/>
      </xdr:nvGrpSpPr>
      <xdr:grpSpPr>
        <a:xfrm>
          <a:off x="21422860" y="10731064"/>
          <a:ext cx="5201708" cy="501633"/>
          <a:chOff x="18675803" y="13389418"/>
          <a:chExt cx="5082268" cy="451346"/>
        </a:xfrm>
      </xdr:grpSpPr>
      <xdr:sp macro="" textlink="">
        <xdr:nvSpPr>
          <xdr:cNvPr id="26" name="Texto explicativo em seta para baixo 25"/>
          <xdr:cNvSpPr/>
        </xdr:nvSpPr>
        <xdr:spPr>
          <a:xfrm rot="5400000" flipH="1">
            <a:off x="20991264" y="11073957"/>
            <a:ext cx="451346" cy="5082268"/>
          </a:xfrm>
          <a:prstGeom prst="downArrowCallout">
            <a:avLst>
              <a:gd name="adj1" fmla="val 25000"/>
              <a:gd name="adj2" fmla="val 25000"/>
              <a:gd name="adj3" fmla="val 25000"/>
              <a:gd name="adj4" fmla="val 89609"/>
            </a:avLst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/>
          <xdr:cNvSpPr txBox="1"/>
        </xdr:nvSpPr>
        <xdr:spPr>
          <a:xfrm>
            <a:off x="19240501" y="13400353"/>
            <a:ext cx="4422321" cy="410521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50"/>
              <a:t>São</a:t>
            </a:r>
            <a:r>
              <a:rPr lang="pt-BR" sz="1050" baseline="0"/>
              <a:t> as horas necessárias para testar tudo que foi desenvolvido para o proejto.</a:t>
            </a:r>
            <a:r>
              <a:rPr lang="pt-BR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(Valor de Referencia: 10%) </a:t>
            </a:r>
            <a:endParaRPr lang="pt-BR" sz="1050"/>
          </a:p>
        </xdr:txBody>
      </xdr:sp>
    </xdr:grpSp>
    <xdr:clientData/>
  </xdr:twoCellAnchor>
  <xdr:twoCellAnchor>
    <xdr:from>
      <xdr:col>18</xdr:col>
      <xdr:colOff>34018</xdr:colOff>
      <xdr:row>32</xdr:row>
      <xdr:rowOff>108870</xdr:rowOff>
    </xdr:from>
    <xdr:to>
      <xdr:col>21</xdr:col>
      <xdr:colOff>4653643</xdr:colOff>
      <xdr:row>35</xdr:row>
      <xdr:rowOff>104922</xdr:rowOff>
    </xdr:to>
    <xdr:grpSp>
      <xdr:nvGrpSpPr>
        <xdr:cNvPr id="31" name="Grupo 30"/>
        <xdr:cNvGrpSpPr/>
      </xdr:nvGrpSpPr>
      <xdr:grpSpPr>
        <a:xfrm>
          <a:off x="21425581" y="10030745"/>
          <a:ext cx="5201708" cy="631052"/>
          <a:chOff x="18675803" y="13389417"/>
          <a:chExt cx="5082268" cy="713059"/>
        </a:xfrm>
      </xdr:grpSpPr>
      <xdr:sp macro="" textlink="">
        <xdr:nvSpPr>
          <xdr:cNvPr id="32" name="Texto explicativo em seta para baixo 31"/>
          <xdr:cNvSpPr/>
        </xdr:nvSpPr>
        <xdr:spPr>
          <a:xfrm rot="5400000" flipH="1">
            <a:off x="20860407" y="11204813"/>
            <a:ext cx="713059" cy="5082268"/>
          </a:xfrm>
          <a:prstGeom prst="downArrowCallout">
            <a:avLst>
              <a:gd name="adj1" fmla="val 25000"/>
              <a:gd name="adj2" fmla="val 25000"/>
              <a:gd name="adj3" fmla="val 25000"/>
              <a:gd name="adj4" fmla="val 89609"/>
            </a:avLst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/>
          <xdr:cNvSpPr txBox="1"/>
        </xdr:nvSpPr>
        <xdr:spPr>
          <a:xfrm>
            <a:off x="19240501" y="13430242"/>
            <a:ext cx="4422321" cy="554008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50"/>
              <a:t>São</a:t>
            </a:r>
            <a:r>
              <a:rPr lang="pt-BR" sz="1050" baseline="0"/>
              <a:t> as horas necessárias para redigir os detalhes técnicos do projetos na engenharia do projeto. </a:t>
            </a:r>
            <a:r>
              <a:rPr lang="pt-BR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(Valor de Referencia: 10%) </a:t>
            </a:r>
            <a:endParaRPr lang="pt-BR" sz="1050"/>
          </a:p>
        </xdr:txBody>
      </xdr:sp>
    </xdr:grpSp>
    <xdr:clientData/>
  </xdr:twoCellAnchor>
  <xdr:twoCellAnchor>
    <xdr:from>
      <xdr:col>18</xdr:col>
      <xdr:colOff>23132</xdr:colOff>
      <xdr:row>29</xdr:row>
      <xdr:rowOff>57163</xdr:rowOff>
    </xdr:from>
    <xdr:to>
      <xdr:col>21</xdr:col>
      <xdr:colOff>4642757</xdr:colOff>
      <xdr:row>32</xdr:row>
      <xdr:rowOff>53215</xdr:rowOff>
    </xdr:to>
    <xdr:grpSp>
      <xdr:nvGrpSpPr>
        <xdr:cNvPr id="34" name="Grupo 33"/>
        <xdr:cNvGrpSpPr/>
      </xdr:nvGrpSpPr>
      <xdr:grpSpPr>
        <a:xfrm>
          <a:off x="21414695" y="9344038"/>
          <a:ext cx="5201708" cy="631052"/>
          <a:chOff x="18675803" y="13389417"/>
          <a:chExt cx="5082268" cy="713059"/>
        </a:xfrm>
      </xdr:grpSpPr>
      <xdr:sp macro="" textlink="">
        <xdr:nvSpPr>
          <xdr:cNvPr id="35" name="Texto explicativo em seta para baixo 34"/>
          <xdr:cNvSpPr/>
        </xdr:nvSpPr>
        <xdr:spPr>
          <a:xfrm rot="5400000" flipH="1">
            <a:off x="20860407" y="11204813"/>
            <a:ext cx="713059" cy="5082268"/>
          </a:xfrm>
          <a:prstGeom prst="downArrowCallout">
            <a:avLst>
              <a:gd name="adj1" fmla="val 25000"/>
              <a:gd name="adj2" fmla="val 25000"/>
              <a:gd name="adj3" fmla="val 25000"/>
              <a:gd name="adj4" fmla="val 89609"/>
            </a:avLst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/>
          <xdr:cNvSpPr txBox="1"/>
        </xdr:nvSpPr>
        <xdr:spPr>
          <a:xfrm>
            <a:off x="19240501" y="13430242"/>
            <a:ext cx="4422321" cy="554008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50"/>
              <a:t>São</a:t>
            </a:r>
            <a:r>
              <a:rPr lang="pt-BR" sz="1050" baseline="0"/>
              <a:t> as horas necessárias para fazer o levantamento junto aos usuários e redigir os detalhes de negócio da engenharia do proejto. (Valor de Referencia: 10%) </a:t>
            </a:r>
            <a:endParaRPr lang="pt-BR" sz="1050"/>
          </a:p>
        </xdr:txBody>
      </xdr:sp>
    </xdr:grpSp>
    <xdr:clientData/>
  </xdr:twoCellAnchor>
  <xdr:twoCellAnchor>
    <xdr:from>
      <xdr:col>5</xdr:col>
      <xdr:colOff>375558</xdr:colOff>
      <xdr:row>23</xdr:row>
      <xdr:rowOff>95249</xdr:rowOff>
    </xdr:from>
    <xdr:to>
      <xdr:col>5</xdr:col>
      <xdr:colOff>879022</xdr:colOff>
      <xdr:row>24</xdr:row>
      <xdr:rowOff>266700</xdr:rowOff>
    </xdr:to>
    <xdr:sp macro="" textlink="">
      <xdr:nvSpPr>
        <xdr:cNvPr id="28" name="Seta para a esquerda 27"/>
        <xdr:cNvSpPr/>
      </xdr:nvSpPr>
      <xdr:spPr>
        <a:xfrm rot="16200000">
          <a:off x="7889421" y="7549243"/>
          <a:ext cx="416379" cy="50346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t"/>
        <a:lstStyle/>
        <a:p>
          <a:pPr algn="l"/>
          <a:r>
            <a:rPr lang="pt-BR" sz="1400" b="1"/>
            <a:t> 3</a:t>
          </a:r>
        </a:p>
      </xdr:txBody>
    </xdr:sp>
    <xdr:clientData/>
  </xdr:twoCellAnchor>
  <xdr:twoCellAnchor>
    <xdr:from>
      <xdr:col>15</xdr:col>
      <xdr:colOff>16327</xdr:colOff>
      <xdr:row>108</xdr:row>
      <xdr:rowOff>29937</xdr:rowOff>
    </xdr:from>
    <xdr:to>
      <xdr:col>17</xdr:col>
      <xdr:colOff>149679</xdr:colOff>
      <xdr:row>108</xdr:row>
      <xdr:rowOff>533401</xdr:rowOff>
    </xdr:to>
    <xdr:sp macro="" textlink="">
      <xdr:nvSpPr>
        <xdr:cNvPr id="37" name="Seta para a esquerda 36"/>
        <xdr:cNvSpPr/>
      </xdr:nvSpPr>
      <xdr:spPr>
        <a:xfrm>
          <a:off x="15855041" y="19624223"/>
          <a:ext cx="772888" cy="50346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0"/>
            <a:t>6</a:t>
          </a:r>
        </a:p>
      </xdr:txBody>
    </xdr:sp>
    <xdr:clientData/>
  </xdr:twoCellAnchor>
  <xdr:twoCellAnchor>
    <xdr:from>
      <xdr:col>7</xdr:col>
      <xdr:colOff>408217</xdr:colOff>
      <xdr:row>23</xdr:row>
      <xdr:rowOff>95250</xdr:rowOff>
    </xdr:from>
    <xdr:to>
      <xdr:col>7</xdr:col>
      <xdr:colOff>911681</xdr:colOff>
      <xdr:row>24</xdr:row>
      <xdr:rowOff>266701</xdr:rowOff>
    </xdr:to>
    <xdr:sp macro="" textlink="">
      <xdr:nvSpPr>
        <xdr:cNvPr id="38" name="Seta para a esquerda 37"/>
        <xdr:cNvSpPr/>
      </xdr:nvSpPr>
      <xdr:spPr>
        <a:xfrm rot="16200000">
          <a:off x="9759045" y="7549244"/>
          <a:ext cx="416379" cy="50346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t"/>
        <a:lstStyle/>
        <a:p>
          <a:pPr algn="l"/>
          <a:r>
            <a:rPr lang="pt-BR" sz="1400" b="1"/>
            <a:t> 3</a:t>
          </a:r>
        </a:p>
      </xdr:txBody>
    </xdr:sp>
    <xdr:clientData/>
  </xdr:twoCellAnchor>
  <xdr:twoCellAnchor>
    <xdr:from>
      <xdr:col>9</xdr:col>
      <xdr:colOff>342903</xdr:colOff>
      <xdr:row>23</xdr:row>
      <xdr:rowOff>97972</xdr:rowOff>
    </xdr:from>
    <xdr:to>
      <xdr:col>9</xdr:col>
      <xdr:colOff>846367</xdr:colOff>
      <xdr:row>24</xdr:row>
      <xdr:rowOff>269423</xdr:rowOff>
    </xdr:to>
    <xdr:sp macro="" textlink="">
      <xdr:nvSpPr>
        <xdr:cNvPr id="39" name="Seta para a esquerda 38"/>
        <xdr:cNvSpPr/>
      </xdr:nvSpPr>
      <xdr:spPr>
        <a:xfrm rot="16200000">
          <a:off x="11598731" y="7551966"/>
          <a:ext cx="416379" cy="50346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t"/>
        <a:lstStyle/>
        <a:p>
          <a:pPr algn="l"/>
          <a:r>
            <a:rPr lang="pt-BR" sz="1400" b="1"/>
            <a:t> 3</a:t>
          </a:r>
        </a:p>
      </xdr:txBody>
    </xdr:sp>
    <xdr:clientData/>
  </xdr:twoCellAnchor>
  <xdr:twoCellAnchor>
    <xdr:from>
      <xdr:col>12</xdr:col>
      <xdr:colOff>326571</xdr:colOff>
      <xdr:row>20</xdr:row>
      <xdr:rowOff>27215</xdr:rowOff>
    </xdr:from>
    <xdr:to>
      <xdr:col>13</xdr:col>
      <xdr:colOff>462642</xdr:colOff>
      <xdr:row>20</xdr:row>
      <xdr:rowOff>272144</xdr:rowOff>
    </xdr:to>
    <xdr:sp macro="" textlink="">
      <xdr:nvSpPr>
        <xdr:cNvPr id="9" name="CaixaDeTexto 8"/>
        <xdr:cNvSpPr txBox="1"/>
      </xdr:nvSpPr>
      <xdr:spPr>
        <a:xfrm>
          <a:off x="14233071" y="6626679"/>
          <a:ext cx="952500" cy="2449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>
              <a:solidFill>
                <a:schemeClr val="bg1"/>
              </a:solidFill>
            </a:rPr>
            <a:t>5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leandro.cazzolato/AppData/Local/Microsoft/Windows/Temporary%20Internet%20Files/Content.Outlook/65Q5AMBY/TabelaPrecosBRAVA_v20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.Setup"/>
      <sheetName val="1.Implantação"/>
      <sheetName val="2.Kit.Qualidade"/>
      <sheetName val="3.kit.Intranet"/>
      <sheetName val="4.Kit.RDV"/>
      <sheetName val="5.Kit.Itens"/>
      <sheetName val="6.Kit.HelpDesk"/>
      <sheetName val="7.Kit.RH"/>
      <sheetName val="8.Kit.Clientes"/>
      <sheetName val="9.Workflow-BPM"/>
      <sheetName val="10.OTO"/>
      <sheetName val="11.BodyShop"/>
      <sheetName val="12.Migração"/>
      <sheetName val="13.Especificos"/>
      <sheetName val="14.Data.Collection"/>
      <sheetName val="15.Kit.NF-e.Publisher"/>
      <sheetName val="16.Kit.Suprimentos"/>
      <sheetName val="17.Kit.Pagamentos"/>
      <sheetName val="18.Process2Excel"/>
      <sheetName val="PartNumbers"/>
    </sheetNames>
    <sheetDataSet>
      <sheetData sheetId="0">
        <row r="9">
          <cell r="F9">
            <v>127.18600953895071</v>
          </cell>
        </row>
        <row r="10">
          <cell r="F10">
            <v>116.58717541070482</v>
          </cell>
        </row>
        <row r="12">
          <cell r="C12">
            <v>150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6">
          <cell r="H16">
            <v>4915.0927397986216</v>
          </cell>
          <cell r="L16">
            <v>9.6</v>
          </cell>
        </row>
      </sheetData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 enableFormatConditionsCalculation="0">
    <tabColor rgb="FFFFFF00"/>
  </sheetPr>
  <dimension ref="A1:W125"/>
  <sheetViews>
    <sheetView tabSelected="1" topLeftCell="D18" zoomScale="96" zoomScaleNormal="96" zoomScalePageLayoutView="96" workbookViewId="0">
      <selection activeCell="D12" sqref="D12"/>
    </sheetView>
  </sheetViews>
  <sheetFormatPr baseColWidth="10" defaultColWidth="8.83203125" defaultRowHeight="15" x14ac:dyDescent="0.2"/>
  <cols>
    <col min="1" max="1" width="3.1640625" style="109" hidden="1" customWidth="1"/>
    <col min="2" max="2" width="3.1640625" style="8" customWidth="1"/>
    <col min="3" max="3" width="63.1640625" style="1" customWidth="1"/>
    <col min="4" max="4" width="18.5" style="1" bestFit="1" customWidth="1"/>
    <col min="5" max="5" width="27.5" style="9" customWidth="1"/>
    <col min="6" max="6" width="18" style="9" customWidth="1"/>
    <col min="7" max="7" width="9.5" style="9" customWidth="1"/>
    <col min="8" max="8" width="20.1640625" style="9" customWidth="1"/>
    <col min="9" max="9" width="8.33203125" style="9" bestFit="1" customWidth="1"/>
    <col min="10" max="10" width="17.33203125" style="9" customWidth="1"/>
    <col min="11" max="11" width="8.1640625" style="9" customWidth="1"/>
    <col min="12" max="12" width="14.83203125" style="8" customWidth="1"/>
    <col min="13" max="13" width="12.33203125" style="9" customWidth="1"/>
    <col min="14" max="14" width="15.1640625" style="8" customWidth="1"/>
    <col min="15" max="15" width="1.6640625" style="8" customWidth="1"/>
    <col min="16" max="16" width="6.5" style="8" bestFit="1" customWidth="1"/>
    <col min="17" max="17" width="3" style="8" customWidth="1"/>
    <col min="18" max="18" width="33.5" style="9" bestFit="1" customWidth="1"/>
    <col min="19" max="19" width="4.5" style="1" customWidth="1"/>
    <col min="20" max="20" width="2.6640625" style="1" customWidth="1"/>
    <col min="21" max="21" width="0.5" style="1" customWidth="1"/>
    <col min="22" max="22" width="103.33203125" style="1" customWidth="1"/>
    <col min="23" max="16384" width="8.83203125" style="1"/>
  </cols>
  <sheetData>
    <row r="1" spans="2:17" ht="69" customHeight="1" x14ac:dyDescent="0.2">
      <c r="D1" s="165" t="s">
        <v>90</v>
      </c>
      <c r="E1" s="165"/>
      <c r="F1" s="165"/>
      <c r="G1" s="165"/>
      <c r="H1" s="165"/>
      <c r="I1" s="165"/>
      <c r="J1" s="165"/>
      <c r="K1" s="165"/>
      <c r="L1" s="165"/>
    </row>
    <row r="2" spans="2:17" ht="44.25" customHeight="1" x14ac:dyDescent="0.3">
      <c r="C2" s="30" t="s">
        <v>92</v>
      </c>
      <c r="D2" s="207" t="s">
        <v>214</v>
      </c>
      <c r="E2" s="207"/>
      <c r="F2" s="207"/>
      <c r="G2" s="207"/>
      <c r="H2" s="126">
        <v>42613</v>
      </c>
      <c r="I2" s="28"/>
      <c r="J2" s="28"/>
      <c r="K2" s="28"/>
      <c r="L2" s="28"/>
    </row>
    <row r="3" spans="2:17" x14ac:dyDescent="0.2">
      <c r="H3" s="61"/>
    </row>
    <row r="4" spans="2:17" ht="19" x14ac:dyDescent="0.25">
      <c r="C4" s="177" t="s">
        <v>147</v>
      </c>
      <c r="D4" s="177"/>
      <c r="E4" s="177"/>
      <c r="F4" s="177"/>
    </row>
    <row r="5" spans="2:17" x14ac:dyDescent="0.2">
      <c r="C5" s="8"/>
      <c r="D5" s="8"/>
      <c r="E5" s="8"/>
      <c r="F5" s="8"/>
      <c r="G5" s="8"/>
    </row>
    <row r="6" spans="2:17" ht="40.5" customHeight="1" x14ac:dyDescent="0.3">
      <c r="C6" s="30" t="s">
        <v>91</v>
      </c>
      <c r="D6" s="8"/>
      <c r="E6" s="8"/>
      <c r="F6" s="8"/>
      <c r="G6" s="192" t="str">
        <f>IF(ROUNDUP(K17,0)&gt;ROUNDUP(M15,0),"&lt;&lt;Alerta&gt;&gt;Duração da gestão de projeto esta Maior que a Duração do Projeto, Importante Avaliar !!!!","")</f>
        <v/>
      </c>
      <c r="H6" s="192"/>
      <c r="I6" s="192"/>
      <c r="J6" s="192"/>
      <c r="K6" s="192"/>
      <c r="L6" s="192"/>
      <c r="M6" s="192"/>
      <c r="N6" s="192"/>
    </row>
    <row r="7" spans="2:17" ht="5.25" customHeight="1" thickBot="1" x14ac:dyDescent="0.25">
      <c r="B7" s="9"/>
      <c r="C7" s="9"/>
      <c r="D7" s="9"/>
    </row>
    <row r="8" spans="2:17" ht="36" customHeight="1" x14ac:dyDescent="0.3">
      <c r="B8" s="9"/>
      <c r="C8" s="181" t="s">
        <v>78</v>
      </c>
      <c r="D8" s="9"/>
      <c r="G8" s="178" t="s">
        <v>94</v>
      </c>
      <c r="H8" s="179"/>
      <c r="I8" s="180"/>
      <c r="J8" s="186" t="s">
        <v>158</v>
      </c>
      <c r="K8" s="187"/>
      <c r="L8" s="187"/>
      <c r="M8" s="187"/>
      <c r="N8" s="188"/>
    </row>
    <row r="9" spans="2:17" x14ac:dyDescent="0.2">
      <c r="B9" s="9"/>
      <c r="C9" s="182"/>
      <c r="D9" s="41" t="s">
        <v>80</v>
      </c>
      <c r="G9" s="37"/>
      <c r="H9" s="36"/>
      <c r="I9" s="35"/>
      <c r="J9" s="32" t="s">
        <v>74</v>
      </c>
      <c r="K9" s="189" t="s">
        <v>80</v>
      </c>
      <c r="L9" s="190"/>
      <c r="M9" s="190"/>
      <c r="N9" s="191"/>
    </row>
    <row r="10" spans="2:17" ht="19" x14ac:dyDescent="0.25">
      <c r="B10" s="9"/>
      <c r="C10" s="25" t="s">
        <v>81</v>
      </c>
      <c r="D10" s="46">
        <v>0.2</v>
      </c>
      <c r="E10" s="62" t="s">
        <v>98</v>
      </c>
      <c r="G10" s="158" t="s">
        <v>75</v>
      </c>
      <c r="H10" s="159"/>
      <c r="I10" s="160"/>
      <c r="J10" s="128">
        <f>SUM(M27:M38)+SUM(M74:M106)</f>
        <v>0</v>
      </c>
      <c r="K10" s="166">
        <f>SUM(N27:N38)+SUM(N74:N106)</f>
        <v>0</v>
      </c>
      <c r="L10" s="167"/>
      <c r="M10" s="167"/>
      <c r="N10" s="168"/>
    </row>
    <row r="11" spans="2:17" ht="19" x14ac:dyDescent="0.25">
      <c r="B11" s="9"/>
      <c r="C11" s="21" t="s">
        <v>79</v>
      </c>
      <c r="D11" s="46">
        <v>0.2</v>
      </c>
      <c r="E11" s="150" t="s">
        <v>95</v>
      </c>
      <c r="G11" s="100" t="s">
        <v>76</v>
      </c>
      <c r="H11" s="34"/>
      <c r="I11" s="99"/>
      <c r="J11" s="129">
        <f>SUM(R32,R35,R38,R41,R44,R47,R50)+R29</f>
        <v>90.09</v>
      </c>
      <c r="K11" s="166">
        <f>J11*D13</f>
        <v>12342.33</v>
      </c>
      <c r="L11" s="167"/>
      <c r="M11" s="167"/>
      <c r="N11" s="168"/>
    </row>
    <row r="12" spans="2:17" ht="19" x14ac:dyDescent="0.25">
      <c r="B12" s="9"/>
      <c r="C12" s="21" t="s">
        <v>83</v>
      </c>
      <c r="D12" s="47">
        <v>187</v>
      </c>
      <c r="E12" s="150" t="s">
        <v>96</v>
      </c>
      <c r="G12" s="101" t="s">
        <v>77</v>
      </c>
      <c r="H12" s="33"/>
      <c r="I12" s="32"/>
      <c r="J12" s="130">
        <f>SUM(J10:J11)*D10</f>
        <v>18.018000000000001</v>
      </c>
      <c r="K12" s="166">
        <f>J12*D14</f>
        <v>2846.8440000000001</v>
      </c>
      <c r="L12" s="167"/>
      <c r="M12" s="167"/>
      <c r="N12" s="168"/>
    </row>
    <row r="13" spans="2:17" ht="24" x14ac:dyDescent="0.3">
      <c r="B13" s="9"/>
      <c r="C13" s="21" t="s">
        <v>84</v>
      </c>
      <c r="D13" s="47">
        <v>137</v>
      </c>
      <c r="E13" s="150" t="s">
        <v>97</v>
      </c>
      <c r="G13" s="171" t="s">
        <v>82</v>
      </c>
      <c r="H13" s="172"/>
      <c r="I13" s="172"/>
      <c r="J13" s="173"/>
      <c r="K13" s="183">
        <f>SUM(K10:K12)</f>
        <v>15189.173999999999</v>
      </c>
      <c r="L13" s="184"/>
      <c r="M13" s="184"/>
      <c r="N13" s="185"/>
      <c r="P13" s="102"/>
    </row>
    <row r="14" spans="2:17" ht="33.75" customHeight="1" x14ac:dyDescent="0.2">
      <c r="B14" s="9"/>
      <c r="C14" s="21" t="s">
        <v>85</v>
      </c>
      <c r="D14" s="47">
        <v>158</v>
      </c>
      <c r="G14" s="174" t="s">
        <v>86</v>
      </c>
      <c r="H14" s="175"/>
      <c r="I14" s="176"/>
      <c r="J14" s="125" t="s">
        <v>159</v>
      </c>
      <c r="K14" s="193" t="s">
        <v>160</v>
      </c>
      <c r="L14" s="194"/>
      <c r="M14" s="169" t="s">
        <v>88</v>
      </c>
      <c r="N14" s="170"/>
      <c r="P14" s="122"/>
      <c r="Q14" s="122"/>
    </row>
    <row r="15" spans="2:17" ht="21" customHeight="1" x14ac:dyDescent="0.2">
      <c r="B15" s="9"/>
      <c r="C15" s="21" t="s">
        <v>93</v>
      </c>
      <c r="D15" s="48">
        <v>1</v>
      </c>
      <c r="G15" s="158" t="s">
        <v>128</v>
      </c>
      <c r="H15" s="159"/>
      <c r="I15" s="160"/>
      <c r="J15" s="23">
        <f>IFERROR((J10/8)/D15,0)</f>
        <v>0</v>
      </c>
      <c r="K15" s="24">
        <f>ROUNDUP(J15/20,0)</f>
        <v>0</v>
      </c>
      <c r="L15" s="31"/>
      <c r="M15" s="151">
        <f>LARGE(K15:K16,1)</f>
        <v>1</v>
      </c>
      <c r="N15" s="152"/>
      <c r="P15" s="109"/>
    </row>
    <row r="16" spans="2:17" ht="21" customHeight="1" x14ac:dyDescent="0.2">
      <c r="B16" s="9"/>
      <c r="C16" s="21" t="s">
        <v>87</v>
      </c>
      <c r="D16" s="48">
        <v>1</v>
      </c>
      <c r="G16" s="158" t="s">
        <v>129</v>
      </c>
      <c r="H16" s="159"/>
      <c r="I16" s="160"/>
      <c r="J16" s="23">
        <f>IFERROR((J11/8)/D16,0)</f>
        <v>11.26125</v>
      </c>
      <c r="K16" s="24">
        <f>ROUNDUP(J16/20,0)</f>
        <v>1</v>
      </c>
      <c r="L16" s="98"/>
      <c r="M16" s="153"/>
      <c r="N16" s="154"/>
    </row>
    <row r="17" spans="1:23" ht="16" thickBot="1" x14ac:dyDescent="0.25">
      <c r="B17" s="9"/>
      <c r="C17" s="21" t="s">
        <v>127</v>
      </c>
      <c r="D17" s="48">
        <v>1</v>
      </c>
      <c r="G17" s="161" t="s">
        <v>130</v>
      </c>
      <c r="H17" s="162"/>
      <c r="I17" s="163"/>
      <c r="J17" s="38">
        <f>IFERROR((J12/8)/D17,0)</f>
        <v>2.2522500000000001</v>
      </c>
      <c r="K17" s="39">
        <f>ROUNDUP(J17/20,0)</f>
        <v>1</v>
      </c>
      <c r="L17" s="40"/>
      <c r="M17" s="155"/>
      <c r="N17" s="156"/>
    </row>
    <row r="18" spans="1:23" ht="39" customHeight="1" x14ac:dyDescent="0.2">
      <c r="J18" s="149">
        <f>SUM(M27:M38)</f>
        <v>0</v>
      </c>
      <c r="K18" s="149">
        <f>SUM(M74:M106)</f>
        <v>0</v>
      </c>
    </row>
    <row r="19" spans="1:23" ht="24" x14ac:dyDescent="0.3">
      <c r="B19" s="9"/>
      <c r="C19" s="29" t="s">
        <v>165</v>
      </c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5"/>
      <c r="O19" s="45"/>
      <c r="P19" s="45"/>
      <c r="Q19" s="45"/>
      <c r="R19" s="44"/>
    </row>
    <row r="20" spans="1:23" ht="24" x14ac:dyDescent="0.3">
      <c r="B20" s="9"/>
      <c r="C20" s="29" t="s">
        <v>213</v>
      </c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5"/>
      <c r="O20" s="45"/>
      <c r="P20" s="45"/>
      <c r="Q20" s="45"/>
      <c r="R20" s="44"/>
    </row>
    <row r="21" spans="1:23" ht="24" x14ac:dyDescent="0.2">
      <c r="B21" s="9"/>
      <c r="C21" s="157" t="s">
        <v>163</v>
      </c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</row>
    <row r="22" spans="1:23" ht="24" x14ac:dyDescent="0.2">
      <c r="B22" s="9"/>
      <c r="C22" s="157" t="s">
        <v>154</v>
      </c>
      <c r="D22" s="157"/>
      <c r="E22" s="157"/>
      <c r="F22" s="157"/>
      <c r="G22" s="157"/>
      <c r="H22" s="157"/>
      <c r="I22" s="157"/>
      <c r="J22" s="157"/>
      <c r="K22" s="157"/>
      <c r="L22" s="157"/>
      <c r="M22" s="157"/>
      <c r="N22" s="157"/>
      <c r="O22" s="157"/>
      <c r="P22" s="157"/>
      <c r="Q22" s="157"/>
      <c r="R22" s="157"/>
    </row>
    <row r="23" spans="1:23" ht="25" thickBot="1" x14ac:dyDescent="0.25">
      <c r="B23" s="9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</row>
    <row r="24" spans="1:23" ht="19.5" customHeight="1" x14ac:dyDescent="0.25">
      <c r="C24" s="53"/>
      <c r="D24" s="54"/>
      <c r="E24" s="55"/>
      <c r="F24" s="11"/>
      <c r="G24" s="2"/>
      <c r="H24" s="2"/>
      <c r="I24" s="2"/>
      <c r="J24" s="2"/>
      <c r="K24" s="2"/>
      <c r="L24" s="2"/>
      <c r="M24" s="11"/>
      <c r="N24" s="12"/>
      <c r="O24" s="12"/>
      <c r="P24" s="12"/>
      <c r="Q24" s="12"/>
      <c r="R24" s="147">
        <f>SUM(M39:M73)</f>
        <v>51.48</v>
      </c>
      <c r="S24" s="3"/>
    </row>
    <row r="25" spans="1:23" s="10" customFormat="1" ht="29.25" customHeight="1" x14ac:dyDescent="0.2">
      <c r="A25" s="110"/>
      <c r="B25" s="13"/>
      <c r="C25" s="208" t="s">
        <v>57</v>
      </c>
      <c r="E25" s="20"/>
      <c r="F25" s="20"/>
      <c r="G25" s="20"/>
      <c r="H25" s="20"/>
      <c r="I25" s="20"/>
      <c r="J25" s="20"/>
      <c r="K25" s="20"/>
      <c r="L25" s="13"/>
      <c r="M25" s="20"/>
      <c r="N25" s="13"/>
      <c r="O25" s="13"/>
      <c r="P25" s="13"/>
      <c r="Q25" s="13"/>
      <c r="R25" s="148">
        <f>SUM(M110:M124)</f>
        <v>0</v>
      </c>
      <c r="S25" s="7"/>
    </row>
    <row r="26" spans="1:23" ht="45" customHeight="1" x14ac:dyDescent="0.2">
      <c r="A26" s="111"/>
      <c r="B26" s="13"/>
      <c r="C26" s="209"/>
      <c r="D26" s="56" t="s">
        <v>66</v>
      </c>
      <c r="E26" s="57" t="s">
        <v>62</v>
      </c>
      <c r="F26" s="58" t="s">
        <v>59</v>
      </c>
      <c r="G26" s="58" t="s">
        <v>63</v>
      </c>
      <c r="H26" s="59" t="s">
        <v>60</v>
      </c>
      <c r="I26" s="59" t="s">
        <v>64</v>
      </c>
      <c r="J26" s="60" t="s">
        <v>61</v>
      </c>
      <c r="K26" s="60" t="s">
        <v>65</v>
      </c>
      <c r="L26" s="57" t="s">
        <v>51</v>
      </c>
      <c r="M26" s="57" t="s">
        <v>56</v>
      </c>
      <c r="N26" s="57" t="s">
        <v>55</v>
      </c>
      <c r="O26" s="10"/>
      <c r="P26" s="164" t="s">
        <v>164</v>
      </c>
      <c r="Q26" s="164"/>
      <c r="R26" s="164"/>
      <c r="S26" s="7"/>
    </row>
    <row r="27" spans="1:23" ht="18" customHeight="1" thickBot="1" x14ac:dyDescent="0.25">
      <c r="A27" s="111">
        <f>VALUE(MID(C4,1,FIND("-",C4,1)-1))</f>
        <v>23</v>
      </c>
      <c r="B27" s="13"/>
      <c r="C27" s="16" t="str">
        <f>IFERROR(IF(HLOOKUP(A27,PacoteXItem!$A3:$Z3,1,FALSE)&gt;0,PacoteXItem!$Y3,"-"),"-")</f>
        <v>Treinamento Funcional Fluig Plataforma</v>
      </c>
      <c r="D27" s="17" t="str">
        <f>IFERROR(IF(HLOOKUP(A27,PacoteXItem!$A3:$Z3,1,FALSE)&gt;0,PacoteXItem!$X3,"-"),"-")</f>
        <v>Capacitação</v>
      </c>
      <c r="E27" s="17" t="str">
        <f>IFERROR(IF(HLOOKUP(A27,PacoteXItem!$A3:$Z3,1,FALSE)&gt;0,PacoteXItem!$Z3,"-"),"-")</f>
        <v>Por turna</v>
      </c>
      <c r="F27" s="49"/>
      <c r="G27" s="17" t="str">
        <f>IFERROR(IF(HLOOKUP(A27,PacoteXItem!$A3:$Z3,1,FALSE)&gt;0,IF(F27&gt;0,PacoteXItem!$AA3,"")),"")</f>
        <v/>
      </c>
      <c r="H27" s="49"/>
      <c r="I27" s="17" t="str">
        <f>IFERROR(IF(HLOOKUP(A27,PacoteXItem!$A3:$Z3,1,FALSE)&gt;0,IF(H27&gt;0,PacoteXItem!$AB3,"")),"")</f>
        <v/>
      </c>
      <c r="J27" s="49"/>
      <c r="K27" s="17" t="str">
        <f>IFERROR(IF(HLOOKUP(A27,PacoteXItem!$A3:$Z3,1,FALSE)&gt;0,IF(J27&gt;0,PacoteXItem!$AC3,"")),"")</f>
        <v/>
      </c>
      <c r="L27" s="17">
        <f>IFERROR(IF(HLOOKUP(A27,PacoteXItem!$A3:$Z3,1,FALSE)&gt;0,PacoteXItem!$AD3),"")</f>
        <v>137</v>
      </c>
      <c r="M27" s="17" t="str">
        <f t="shared" ref="M27" si="0">IF((IFERROR(G27*F27,0)+IFERROR(H27*I27,0)+IFERROR(J27*K27,0))&gt;0,(IFERROR(G27*F27,0)+IFERROR(H27*I27,0)+IFERROR(J27*K27,0))*(1+$D$11),"")</f>
        <v/>
      </c>
      <c r="N27" s="17" t="str">
        <f>IFERROR(M27*L27,"")</f>
        <v/>
      </c>
      <c r="O27" s="10"/>
      <c r="P27" s="26"/>
      <c r="Q27" s="10"/>
      <c r="R27" s="1"/>
      <c r="S27" s="7"/>
      <c r="V27" s="146"/>
    </row>
    <row r="28" spans="1:23" ht="17.25" customHeight="1" thickBot="1" x14ac:dyDescent="0.25">
      <c r="A28" s="111">
        <f>A27</f>
        <v>23</v>
      </c>
      <c r="B28" s="13"/>
      <c r="C28" s="16" t="str">
        <f>IFERROR(IF(HLOOKUP(A28,PacoteXItem!$A4:$Z4,1,FALSE)&gt;0,PacoteXItem!$Y4,"-"),"-")</f>
        <v>Treinamento Desenvolvimento Fluig Plataforma</v>
      </c>
      <c r="D28" s="17" t="str">
        <f>IFERROR(IF(HLOOKUP(A28,PacoteXItem!$A4:$Z4,1,FALSE)&gt;0,PacoteXItem!$X4,"-"),"-")</f>
        <v>Capacitação</v>
      </c>
      <c r="E28" s="17" t="str">
        <f>IFERROR(IF(HLOOKUP(A28,PacoteXItem!$A4:$Z4,1,FALSE)&gt;0,PacoteXItem!$Z4,"-"),"-")</f>
        <v>Por turna</v>
      </c>
      <c r="F28" s="49"/>
      <c r="G28" s="17" t="str">
        <f>IFERROR(IF(HLOOKUP(A28,PacoteXItem!$A4:$Z4,1,FALSE)&gt;0,IF(F28&gt;0,PacoteXItem!$AA4,"")),"")</f>
        <v/>
      </c>
      <c r="H28" s="49"/>
      <c r="I28" s="17" t="str">
        <f>IFERROR(IF(HLOOKUP(A28,PacoteXItem!$A4:$Z4,1,FALSE)&gt;0,IF(H28&gt;0,PacoteXItem!$AB4,"")),"")</f>
        <v/>
      </c>
      <c r="J28" s="49"/>
      <c r="K28" s="17" t="str">
        <f>IFERROR(IF(HLOOKUP(A28,PacoteXItem!$A4:$Z4,1,FALSE)&gt;0,IF(J28&gt;0,PacoteXItem!$AC4,"")),"")</f>
        <v/>
      </c>
      <c r="L28" s="17">
        <f>IFERROR(IF(HLOOKUP(A28,PacoteXItem!$A4:$Z4,1,FALSE)&gt;0,PacoteXItem!$AD4),"")</f>
        <v>137</v>
      </c>
      <c r="M28" s="17" t="str">
        <f t="shared" ref="M28:M72" si="1">IF((IFERROR(G28*F28,0)+IFERROR(H28*I28,0)+IFERROR(J28*K28,0))&gt;0,(IFERROR(G28*F28,0)+IFERROR(H28*I28,0)+IFERROR(J28*K28,0))*(1+$D$11),"")</f>
        <v/>
      </c>
      <c r="N28" s="17" t="str">
        <f t="shared" ref="N28:N72" si="2">IFERROR(M28*L28,"")</f>
        <v/>
      </c>
      <c r="O28" s="10"/>
      <c r="P28" s="51"/>
      <c r="Q28" s="10"/>
      <c r="R28" s="22" t="s">
        <v>89</v>
      </c>
      <c r="S28" s="7"/>
    </row>
    <row r="29" spans="1:23" ht="18" customHeight="1" thickBot="1" x14ac:dyDescent="0.25">
      <c r="A29" s="111">
        <f t="shared" ref="A29:A92" si="3">A28</f>
        <v>23</v>
      </c>
      <c r="B29" s="13"/>
      <c r="C29" s="16" t="str">
        <f>IFERROR(IF(HLOOKUP(A29,PacoteXItem!$A5:$Z5,1,FALSE)&gt;0,PacoteXItem!$Y5,"-"),"-")</f>
        <v>Treinamento Funcional Fluig Identity</v>
      </c>
      <c r="D29" s="17" t="str">
        <f>IFERROR(IF(HLOOKUP(A29,PacoteXItem!$A5:$Z5,1,FALSE)&gt;0,PacoteXItem!$X5,"-"),"-")</f>
        <v>Capacitação</v>
      </c>
      <c r="E29" s="17" t="str">
        <f>IFERROR(IF(HLOOKUP(A29,PacoteXItem!$A5:$Z5,1,FALSE)&gt;0,PacoteXItem!$Z5,"-"),"-")</f>
        <v>Por turna</v>
      </c>
      <c r="F29" s="49"/>
      <c r="G29" s="17" t="str">
        <f>IFERROR(IF(HLOOKUP(A29,PacoteXItem!$A5:$Z5,1,FALSE)&gt;0,IF(F29&gt;0,PacoteXItem!$AA5,"")),"")</f>
        <v/>
      </c>
      <c r="H29" s="49"/>
      <c r="I29" s="17" t="str">
        <f>IFERROR(IF(HLOOKUP(A29,PacoteXItem!$A5:$Z5,1,FALSE)&gt;0,IF(H29&gt;0,PacoteXItem!$AB5,"")),"")</f>
        <v/>
      </c>
      <c r="J29" s="49"/>
      <c r="K29" s="17" t="str">
        <f>IFERROR(IF(HLOOKUP(A29,PacoteXItem!$A5:$Z5,1,FALSE)&gt;0,IF(J29&gt;0,PacoteXItem!$AC5,"")),"")</f>
        <v/>
      </c>
      <c r="L29" s="17">
        <f>IFERROR(IF(HLOOKUP(A29,PacoteXItem!$A5:$Z5,1,FALSE)&gt;0,PacoteXItem!$AD5),"")</f>
        <v>137</v>
      </c>
      <c r="M29" s="17" t="str">
        <f t="shared" si="1"/>
        <v/>
      </c>
      <c r="N29" s="17" t="str">
        <f t="shared" si="2"/>
        <v/>
      </c>
      <c r="O29" s="10"/>
      <c r="P29" s="51"/>
      <c r="Q29" s="10"/>
      <c r="R29" s="83">
        <f>SUM(M39:M73)+SUM(M110:M124)</f>
        <v>51.48</v>
      </c>
      <c r="S29" s="7"/>
    </row>
    <row r="30" spans="1:23" ht="17.25" customHeight="1" thickBot="1" x14ac:dyDescent="0.25">
      <c r="A30" s="111">
        <f t="shared" si="3"/>
        <v>23</v>
      </c>
      <c r="B30" s="13"/>
      <c r="C30" s="16" t="str">
        <f>IFERROR(IF(HLOOKUP(A30,PacoteXItem!$A6:$Z6,1,FALSE)&gt;0,PacoteXItem!$Y6,"-"),"-")</f>
        <v>Treinamento Desenvolvimento Fluig Identity</v>
      </c>
      <c r="D30" s="17" t="str">
        <f>IFERROR(IF(HLOOKUP(A30,PacoteXItem!$A6:$Z6,1,FALSE)&gt;0,PacoteXItem!$X6,"-"),"-")</f>
        <v>Capacitação</v>
      </c>
      <c r="E30" s="17" t="str">
        <f>IFERROR(IF(HLOOKUP(A30,PacoteXItem!$A6:$Z6,1,FALSE)&gt;0,PacoteXItem!$Z6,"-"),"-")</f>
        <v>Por turna</v>
      </c>
      <c r="F30" s="49"/>
      <c r="G30" s="17" t="str">
        <f>IFERROR(IF(HLOOKUP(A30,PacoteXItem!$A6:$Z6,1,FALSE)&gt;0,IF(F30&gt;0,PacoteXItem!$AA6,"")),"")</f>
        <v/>
      </c>
      <c r="H30" s="49"/>
      <c r="I30" s="17" t="str">
        <f>IFERROR(IF(HLOOKUP(A30,PacoteXItem!$A6:$Z6,1,FALSE)&gt;0,IF(H30&gt;0,PacoteXItem!$AB6,"")),"")</f>
        <v/>
      </c>
      <c r="J30" s="49"/>
      <c r="K30" s="17" t="str">
        <f>IFERROR(IF(HLOOKUP(A30,PacoteXItem!$A6:$Z6,1,FALSE)&gt;0,IF(J30&gt;0,PacoteXItem!$AC6,"")),"")</f>
        <v/>
      </c>
      <c r="L30" s="17">
        <f>IFERROR(IF(HLOOKUP(A30,PacoteXItem!$A6:$Z6,1,FALSE)&gt;0,PacoteXItem!$AD6),"")</f>
        <v>137</v>
      </c>
      <c r="M30" s="17" t="str">
        <f t="shared" si="1"/>
        <v/>
      </c>
      <c r="N30" s="17" t="str">
        <f t="shared" si="2"/>
        <v/>
      </c>
      <c r="O30" s="10"/>
      <c r="P30" s="51"/>
      <c r="Q30" s="10"/>
      <c r="R30" s="84"/>
      <c r="S30" s="7"/>
      <c r="W30" s="8" t="s">
        <v>161</v>
      </c>
    </row>
    <row r="31" spans="1:23" ht="16.5" customHeight="1" thickBot="1" x14ac:dyDescent="0.25">
      <c r="A31" s="111">
        <f t="shared" si="3"/>
        <v>23</v>
      </c>
      <c r="B31" s="13"/>
      <c r="C31" s="16" t="str">
        <f>IFERROR(IF(HLOOKUP(A31,PacoteXItem!$A7:$Z7,1,FALSE)&gt;0,PacoteXItem!$Y7,"-"),"-")</f>
        <v>Treinamento Desenvolvimento Fluig ESB</v>
      </c>
      <c r="D31" s="17" t="str">
        <f>IFERROR(IF(HLOOKUP(A31,PacoteXItem!$A7:$Z7,1,FALSE)&gt;0,PacoteXItem!$X7,"-"),"-")</f>
        <v>Capacitação</v>
      </c>
      <c r="E31" s="17" t="str">
        <f>IFERROR(IF(HLOOKUP(A31,PacoteXItem!$A7:$Z7,1,FALSE)&gt;0,PacoteXItem!$Z7,"-"),"-")</f>
        <v>Por turna</v>
      </c>
      <c r="F31" s="49"/>
      <c r="G31" s="17" t="str">
        <f>IFERROR(IF(HLOOKUP(A31,PacoteXItem!$A7:$Z7,1,FALSE)&gt;0,IF(F31&gt;0,PacoteXItem!$AA7,"")),"")</f>
        <v/>
      </c>
      <c r="H31" s="49"/>
      <c r="I31" s="17" t="str">
        <f>IFERROR(IF(HLOOKUP(A31,PacoteXItem!$A7:$Z7,1,FALSE)&gt;0,IF(H31&gt;0,PacoteXItem!$AB7,"")),"")</f>
        <v/>
      </c>
      <c r="J31" s="49"/>
      <c r="K31" s="17" t="str">
        <f>IFERROR(IF(HLOOKUP(A31,PacoteXItem!$A7:$Z7,1,FALSE)&gt;0,IF(J31&gt;0,PacoteXItem!$AC7,"")),"")</f>
        <v/>
      </c>
      <c r="L31" s="17">
        <f>IFERROR(IF(HLOOKUP(A31,PacoteXItem!$A7:$Z7,1,FALSE)&gt;0,PacoteXItem!$AD7),"")</f>
        <v>137</v>
      </c>
      <c r="M31" s="17" t="str">
        <f t="shared" si="1"/>
        <v/>
      </c>
      <c r="N31" s="17" t="str">
        <f t="shared" si="2"/>
        <v/>
      </c>
      <c r="O31" s="10"/>
      <c r="P31" s="52">
        <v>0.1</v>
      </c>
      <c r="Q31" s="27"/>
      <c r="R31" s="85" t="s">
        <v>67</v>
      </c>
      <c r="S31" s="7"/>
      <c r="W31" s="8" t="s">
        <v>161</v>
      </c>
    </row>
    <row r="32" spans="1:23" ht="18" customHeight="1" thickBot="1" x14ac:dyDescent="0.25">
      <c r="A32" s="111">
        <f t="shared" si="3"/>
        <v>23</v>
      </c>
      <c r="B32" s="13"/>
      <c r="C32" s="16" t="str">
        <f>IFERROR(IF(HLOOKUP(A32,PacoteXItem!$A8:$Z8,1,FALSE)&gt;0,PacoteXItem!$Y8,"-"),"-")</f>
        <v>Instalação Fluig Plataforma (On-Premisses)</v>
      </c>
      <c r="D32" s="17" t="str">
        <f>IFERROR(IF(HLOOKUP(A32,PacoteXItem!$A8:$Z8,1,FALSE)&gt;0,PacoteXItem!$X8,"-"),"-")</f>
        <v>Consultoria</v>
      </c>
      <c r="E32" s="17" t="str">
        <f>IFERROR(IF(HLOOKUP(A32,PacoteXItem!$A8:$Z8,1,FALSE)&gt;0,PacoteXItem!$Z8,"-"),"-")</f>
        <v>Por Instalação</v>
      </c>
      <c r="F32" s="49"/>
      <c r="G32" s="17" t="str">
        <f>IFERROR(IF(HLOOKUP(A32,PacoteXItem!$A8:$Z8,1,FALSE)&gt;0,IF(F32&gt;0,PacoteXItem!$AA8,"")),"")</f>
        <v/>
      </c>
      <c r="H32" s="49"/>
      <c r="I32" s="17" t="str">
        <f>IFERROR(IF(HLOOKUP(A32,PacoteXItem!$A8:$Z8,1,FALSE)&gt;0,IF(H32&gt;0,PacoteXItem!$AB8,"")),"")</f>
        <v/>
      </c>
      <c r="J32" s="49"/>
      <c r="K32" s="17" t="str">
        <f>IFERROR(IF(HLOOKUP(A32,PacoteXItem!$A8:$Z8,1,FALSE)&gt;0,IF(J32&gt;0,PacoteXItem!$AC8,"")),"")</f>
        <v/>
      </c>
      <c r="L32" s="17">
        <f>IFERROR(IF(HLOOKUP(A32,PacoteXItem!$A8:$Z8,1,FALSE)&gt;0,PacoteXItem!$AD8),"")</f>
        <v>187</v>
      </c>
      <c r="M32" s="17" t="str">
        <f t="shared" si="1"/>
        <v/>
      </c>
      <c r="N32" s="17" t="str">
        <f t="shared" si="2"/>
        <v/>
      </c>
      <c r="O32" s="10"/>
      <c r="P32" s="51"/>
      <c r="Q32" s="10"/>
      <c r="R32" s="83">
        <f>$R$29*P31</f>
        <v>5.1479999999999997</v>
      </c>
      <c r="S32" s="7"/>
    </row>
    <row r="33" spans="1:19" ht="17.25" customHeight="1" thickBot="1" x14ac:dyDescent="0.25">
      <c r="A33" s="111">
        <f t="shared" si="3"/>
        <v>23</v>
      </c>
      <c r="B33" s="13"/>
      <c r="C33" s="16" t="str">
        <f>IFERROR(IF(HLOOKUP(A33,PacoteXItem!$A9:$Z9,1,FALSE)&gt;0,PacoteXItem!$Y9,"-"),"-")</f>
        <v>Instalação  Fluig ESB (On-Premisses)</v>
      </c>
      <c r="D33" s="17" t="str">
        <f>IFERROR(IF(HLOOKUP(A33,PacoteXItem!$A9:$Z9,1,FALSE)&gt;0,PacoteXItem!$X9,"-"),"-")</f>
        <v>Consultoria</v>
      </c>
      <c r="E33" s="17" t="str">
        <f>IFERROR(IF(HLOOKUP(A33,PacoteXItem!$A9:$Z9,1,FALSE)&gt;0,PacoteXItem!$Z9,"-"),"-")</f>
        <v>Por Instalação</v>
      </c>
      <c r="F33" s="49"/>
      <c r="G33" s="17" t="str">
        <f>IFERROR(IF(HLOOKUP(A33,PacoteXItem!$A9:$Z9,1,FALSE)&gt;0,IF(F33&gt;0,PacoteXItem!$AA9,"")),"")</f>
        <v/>
      </c>
      <c r="H33" s="49"/>
      <c r="I33" s="17" t="str">
        <f>IFERROR(IF(HLOOKUP(A33,PacoteXItem!$A9:$Z9,1,FALSE)&gt;0,IF(H33&gt;0,PacoteXItem!$AB9,"")),"")</f>
        <v/>
      </c>
      <c r="J33" s="49"/>
      <c r="K33" s="17" t="str">
        <f>IFERROR(IF(HLOOKUP(A33,PacoteXItem!$A9:$Z9,1,FALSE)&gt;0,IF(J33&gt;0,PacoteXItem!$AC9,"")),"")</f>
        <v/>
      </c>
      <c r="L33" s="17">
        <f>IFERROR(IF(HLOOKUP(A33,PacoteXItem!$A9:$Z9,1,FALSE)&gt;0,PacoteXItem!$AD9),"")</f>
        <v>137</v>
      </c>
      <c r="M33" s="17" t="str">
        <f t="shared" si="1"/>
        <v/>
      </c>
      <c r="N33" s="17" t="str">
        <f t="shared" si="2"/>
        <v/>
      </c>
      <c r="O33" s="10"/>
      <c r="P33" s="51"/>
      <c r="Q33" s="10"/>
      <c r="R33" s="84"/>
      <c r="S33" s="7"/>
    </row>
    <row r="34" spans="1:19" ht="17.25" customHeight="1" thickBot="1" x14ac:dyDescent="0.25">
      <c r="A34" s="111">
        <f t="shared" si="3"/>
        <v>23</v>
      </c>
      <c r="B34" s="13"/>
      <c r="C34" s="16" t="str">
        <f>IFERROR(IF(HLOOKUP(A34,PacoteXItem!$A10:$Z10,1,FALSE)&gt;0,PacoteXItem!$Y10,"-"),"-")</f>
        <v>Consultoria de Implantação Fluig Plataforma</v>
      </c>
      <c r="D34" s="17" t="str">
        <f>IFERROR(IF(HLOOKUP(A34,PacoteXItem!$A10:$Z10,1,FALSE)&gt;0,PacoteXItem!$X10,"-"),"-")</f>
        <v>Consultoria</v>
      </c>
      <c r="E34" s="17" t="str">
        <f>IFERROR(IF(HLOOKUP(A34,PacoteXItem!$A10:$Z10,1,FALSE)&gt;0,PacoteXItem!$Z10,"-"),"-")</f>
        <v>Por Instalação</v>
      </c>
      <c r="F34" s="49"/>
      <c r="G34" s="17" t="str">
        <f>IFERROR(IF(HLOOKUP(A34,PacoteXItem!$A10:$Z10,1,FALSE)&gt;0,IF(F34&gt;0,PacoteXItem!$AA10,"")),"")</f>
        <v/>
      </c>
      <c r="H34" s="49"/>
      <c r="I34" s="17" t="str">
        <f>IFERROR(IF(HLOOKUP(A34,PacoteXItem!$A10:$Z10,1,FALSE)&gt;0,IF(H34&gt;0,PacoteXItem!$AB10,"")),"")</f>
        <v/>
      </c>
      <c r="J34" s="49"/>
      <c r="K34" s="17" t="str">
        <f>IFERROR(IF(HLOOKUP(A34,PacoteXItem!$A10:$Z10,1,FALSE)&gt;0,IF(J34&gt;0,PacoteXItem!$AC10,"")),"")</f>
        <v/>
      </c>
      <c r="L34" s="17">
        <f>IFERROR(IF(HLOOKUP(A34,PacoteXItem!$A10:$Z10,1,FALSE)&gt;0,PacoteXItem!$AD10),"")</f>
        <v>137</v>
      </c>
      <c r="M34" s="17" t="str">
        <f t="shared" si="1"/>
        <v/>
      </c>
      <c r="N34" s="17" t="str">
        <f t="shared" si="2"/>
        <v/>
      </c>
      <c r="O34" s="10"/>
      <c r="P34" s="52">
        <v>0.1</v>
      </c>
      <c r="Q34" s="27"/>
      <c r="R34" s="85" t="s">
        <v>68</v>
      </c>
      <c r="S34" s="7"/>
    </row>
    <row r="35" spans="1:19" ht="17.25" customHeight="1" thickBot="1" x14ac:dyDescent="0.25">
      <c r="A35" s="111">
        <f t="shared" si="3"/>
        <v>23</v>
      </c>
      <c r="B35" s="13"/>
      <c r="C35" s="16" t="str">
        <f>IFERROR(IF(HLOOKUP(A35,PacoteXItem!$A11:$Z11,1,FALSE)&gt;0,PacoteXItem!$Y11,"-"),"-")</f>
        <v>Consultoria Implantação Fluig Identity</v>
      </c>
      <c r="D35" s="17" t="str">
        <f>IFERROR(IF(HLOOKUP(A35,PacoteXItem!$A11:$Z11,1,FALSE)&gt;0,PacoteXItem!$X11,"-"),"-")</f>
        <v>Consultoria</v>
      </c>
      <c r="E35" s="17" t="str">
        <f>IFERROR(IF(HLOOKUP(A35,PacoteXItem!$A11:$Z11,1,FALSE)&gt;0,PacoteXItem!$Z11,"-"),"-")</f>
        <v>Por Instalação</v>
      </c>
      <c r="F35" s="49"/>
      <c r="G35" s="17" t="str">
        <f>IFERROR(IF(HLOOKUP(A35,PacoteXItem!$A11:$Z11,1,FALSE)&gt;0,IF(F35&gt;0,PacoteXItem!$AA11,"")),"")</f>
        <v/>
      </c>
      <c r="H35" s="49"/>
      <c r="I35" s="17" t="str">
        <f>IFERROR(IF(HLOOKUP(A35,PacoteXItem!$A11:$Z11,1,FALSE)&gt;0,IF(H35&gt;0,PacoteXItem!$AB11,"")),"")</f>
        <v/>
      </c>
      <c r="J35" s="49"/>
      <c r="K35" s="17" t="str">
        <f>IFERROR(IF(HLOOKUP(A35,PacoteXItem!$A11:$Z11,1,FALSE)&gt;0,IF(J35&gt;0,PacoteXItem!$AC11,"")),"")</f>
        <v/>
      </c>
      <c r="L35" s="17">
        <f>IFERROR(IF(HLOOKUP(A35,PacoteXItem!$A11:$Z11,1,FALSE)&gt;0,PacoteXItem!$AD11),"")</f>
        <v>137</v>
      </c>
      <c r="M35" s="17" t="str">
        <f t="shared" si="1"/>
        <v/>
      </c>
      <c r="N35" s="17" t="str">
        <f t="shared" si="2"/>
        <v/>
      </c>
      <c r="O35" s="10"/>
      <c r="P35" s="51"/>
      <c r="Q35" s="10"/>
      <c r="R35" s="83">
        <f>$R$29*P34</f>
        <v>5.1479999999999997</v>
      </c>
      <c r="S35" s="7"/>
    </row>
    <row r="36" spans="1:19" ht="17.25" customHeight="1" thickBot="1" x14ac:dyDescent="0.25">
      <c r="A36" s="111">
        <f t="shared" si="3"/>
        <v>23</v>
      </c>
      <c r="B36" s="13"/>
      <c r="C36" s="16" t="str">
        <f>IFERROR(IF(HLOOKUP(A36,PacoteXItem!$A12:$Z12,1,FALSE)&gt;0,PacoteXItem!$Y12,"-"),"-")</f>
        <v xml:space="preserve">Migração TOTVS ECM 3.0  para FLUIG (Instalação e Documentos) </v>
      </c>
      <c r="D36" s="17" t="str">
        <f>IFERROR(IF(HLOOKUP(A36,PacoteXItem!$A12:$Z12,1,FALSE)&gt;0,PacoteXItem!$X12,"-"),"-")</f>
        <v>Consultoria</v>
      </c>
      <c r="E36" s="17" t="str">
        <f>IFERROR(IF(HLOOKUP(A36,PacoteXItem!$A12:$Z12,1,FALSE)&gt;0,PacoteXItem!$Z12,"-"),"-")</f>
        <v>Por Instalação</v>
      </c>
      <c r="F36" s="49"/>
      <c r="G36" s="17" t="str">
        <f>IFERROR(IF(HLOOKUP(A36,PacoteXItem!$A12:$Z12,1,FALSE)&gt;0,IF(F36&gt;0,PacoteXItem!$AA12,"")),"")</f>
        <v/>
      </c>
      <c r="H36" s="49"/>
      <c r="I36" s="17" t="str">
        <f>IFERROR(IF(HLOOKUP(A36,PacoteXItem!$A12:$Z12,1,FALSE)&gt;0,IF(H36&gt;0,PacoteXItem!$AB12,"")),"")</f>
        <v/>
      </c>
      <c r="J36" s="49"/>
      <c r="K36" s="17" t="str">
        <f>IFERROR(IF(HLOOKUP(A36,PacoteXItem!$A12:$Z12,1,FALSE)&gt;0,IF(J36&gt;0,PacoteXItem!$AC12,"")),"")</f>
        <v/>
      </c>
      <c r="L36" s="17">
        <f>IFERROR(IF(HLOOKUP(A36,PacoteXItem!$A12:$Z12,1,FALSE)&gt;0,PacoteXItem!$AD12),"")</f>
        <v>137</v>
      </c>
      <c r="M36" s="17" t="str">
        <f t="shared" si="1"/>
        <v/>
      </c>
      <c r="N36" s="17" t="str">
        <f t="shared" si="2"/>
        <v/>
      </c>
      <c r="O36" s="10"/>
      <c r="P36" s="51"/>
      <c r="Q36" s="10"/>
      <c r="R36" s="86"/>
      <c r="S36" s="7"/>
    </row>
    <row r="37" spans="1:19" ht="17.25" customHeight="1" thickBot="1" x14ac:dyDescent="0.25">
      <c r="A37" s="111">
        <f t="shared" si="3"/>
        <v>23</v>
      </c>
      <c r="B37" s="13"/>
      <c r="C37" s="16" t="str">
        <f>IFERROR(IF(HLOOKUP(A37,PacoteXItem!$A13:$Z13,1,FALSE)&gt;0,PacoteXItem!$Y13,"-"),"-")</f>
        <v xml:space="preserve">Migração TOTVS ECM 3.0  para FLUIG (Processos) </v>
      </c>
      <c r="D37" s="17" t="str">
        <f>IFERROR(IF(HLOOKUP(A37,PacoteXItem!$A13:$Z13,1,FALSE)&gt;0,PacoteXItem!$X13,"-"),"-")</f>
        <v>Consultoria</v>
      </c>
      <c r="E37" s="17" t="str">
        <f>IFERROR(IF(HLOOKUP(A37,PacoteXItem!$A13:$Z13,1,FALSE)&gt;0,PacoteXItem!$Z13,"-"),"-")</f>
        <v>Número Processos</v>
      </c>
      <c r="F37" s="49"/>
      <c r="G37" s="17" t="str">
        <f>IFERROR(IF(HLOOKUP(A37,PacoteXItem!$A13:$Z13,1,FALSE)&gt;0,IF(F37&gt;0,PacoteXItem!$AA13,"")),"")</f>
        <v/>
      </c>
      <c r="H37" s="49"/>
      <c r="I37" s="17" t="str">
        <f>IFERROR(IF(HLOOKUP(A37,PacoteXItem!$A13:$Z13,1,FALSE)&gt;0,IF(H37&gt;0,PacoteXItem!$AB13,"")),"")</f>
        <v/>
      </c>
      <c r="J37" s="49"/>
      <c r="K37" s="17" t="str">
        <f>IFERROR(IF(HLOOKUP(A37,PacoteXItem!$A13:$Z13,1,FALSE)&gt;0,IF(J37&gt;0,PacoteXItem!$AC13,"")),"")</f>
        <v/>
      </c>
      <c r="L37" s="17">
        <f>IFERROR(IF(HLOOKUP(A37,PacoteXItem!$A13:$Z13,1,FALSE)&gt;0,PacoteXItem!$AD13),"")</f>
        <v>137</v>
      </c>
      <c r="M37" s="17" t="str">
        <f t="shared" si="1"/>
        <v/>
      </c>
      <c r="N37" s="17" t="str">
        <f t="shared" si="2"/>
        <v/>
      </c>
      <c r="O37" s="10"/>
      <c r="P37" s="52">
        <v>0.1</v>
      </c>
      <c r="Q37" s="27"/>
      <c r="R37" s="85" t="s">
        <v>69</v>
      </c>
      <c r="S37" s="7"/>
    </row>
    <row r="38" spans="1:19" ht="17.25" customHeight="1" thickBot="1" x14ac:dyDescent="0.25">
      <c r="A38" s="111">
        <f t="shared" si="3"/>
        <v>23</v>
      </c>
      <c r="B38" s="13"/>
      <c r="C38" s="16" t="str">
        <f>IFERROR(IF(HLOOKUP(A38,PacoteXItem!$A14:$Z14,1,FALSE)&gt;0,PacoteXItem!$Y14,"-"),"-")</f>
        <v>WCM-Consultoria de Portais/Intranets/Redes Sociais</v>
      </c>
      <c r="D38" s="17" t="str">
        <f>IFERROR(IF(HLOOKUP(A38,PacoteXItem!$A14:$Z14,1,FALSE)&gt;0,PacoteXItem!$X14,"-"),"-")</f>
        <v>Consultoria</v>
      </c>
      <c r="E38" s="17" t="str">
        <f>IFERROR(IF(HLOOKUP(A38,PacoteXItem!$A14:$Z14,1,FALSE)&gt;0,PacoteXItem!$Z14,"-"),"-")</f>
        <v>Por Portal</v>
      </c>
      <c r="F38" s="49"/>
      <c r="G38" s="17" t="str">
        <f>IFERROR(IF(HLOOKUP(A38,PacoteXItem!$A14:$Z14,1,FALSE)&gt;0,IF(F38&gt;0,PacoteXItem!$AA14,"")),"")</f>
        <v/>
      </c>
      <c r="H38" s="49"/>
      <c r="I38" s="17" t="str">
        <f>IFERROR(IF(HLOOKUP(A38,PacoteXItem!$A14:$Z14,1,FALSE)&gt;0,IF(H38&gt;0,PacoteXItem!$AB14,"")),"")</f>
        <v/>
      </c>
      <c r="J38" s="49"/>
      <c r="K38" s="17" t="str">
        <f>IFERROR(IF(HLOOKUP(A38,PacoteXItem!$A14:$Z14,1,FALSE)&gt;0,IF(J38&gt;0,PacoteXItem!$AC14,"")),"")</f>
        <v/>
      </c>
      <c r="L38" s="17">
        <f>IFERROR(IF(HLOOKUP(A38,PacoteXItem!$A14:$Z14,1,FALSE)&gt;0,PacoteXItem!$AD14),"")</f>
        <v>137</v>
      </c>
      <c r="M38" s="17" t="str">
        <f t="shared" si="1"/>
        <v/>
      </c>
      <c r="N38" s="17" t="str">
        <f t="shared" si="2"/>
        <v/>
      </c>
      <c r="O38" s="10"/>
      <c r="P38" s="51"/>
      <c r="Q38" s="10"/>
      <c r="R38" s="83">
        <f>$R$29*P37</f>
        <v>5.1479999999999997</v>
      </c>
      <c r="S38" s="7"/>
    </row>
    <row r="39" spans="1:19" ht="16.5" customHeight="1" thickBot="1" x14ac:dyDescent="0.25">
      <c r="A39" s="111">
        <f t="shared" si="3"/>
        <v>23</v>
      </c>
      <c r="B39" s="13"/>
      <c r="C39" s="121" t="str">
        <f>IFERROR(IF(HLOOKUP(A39,PacoteXItem!$A15:$Z15,1,FALSE)&gt;0,PacoteXItem!$Y15,"-"),"-")</f>
        <v>BPM-Formulario HTML</v>
      </c>
      <c r="D39" s="116" t="str">
        <f>IFERROR(IF(HLOOKUP(A39,PacoteXItem!$A15:$Z15,1,FALSE)&gt;0,PacoteXItem!$X15,"-"),"-")</f>
        <v>Desenvolvimento</v>
      </c>
      <c r="E39" s="116" t="str">
        <f>IFERROR(IF(HLOOKUP(A39,PacoteXItem!$A15:$Z15,1,FALSE)&gt;0,PacoteXItem!$Z15,"-"),"-")</f>
        <v>Número Campos</v>
      </c>
      <c r="F39" s="116">
        <f>'Detalhamento BPM'!C3</f>
        <v>22</v>
      </c>
      <c r="G39" s="116">
        <f>IFERROR(IF(HLOOKUP(A39,PacoteXItem!$A15:$Z15,1,FALSE)&gt;0,IF(F39&gt;0,PacoteXItem!$AA15,"")),"")</f>
        <v>0.35</v>
      </c>
      <c r="H39" s="116">
        <f>'Detalhamento BPM'!G3</f>
        <v>0</v>
      </c>
      <c r="I39" s="116" t="str">
        <f>IFERROR(IF(HLOOKUP(A39,PacoteXItem!$A15:$Z15,1,FALSE)&gt;0,IF(H39&gt;0,PacoteXItem!$AB15,"")),"")</f>
        <v/>
      </c>
      <c r="J39" s="116">
        <f>'Detalhamento BPM'!K3</f>
        <v>0</v>
      </c>
      <c r="K39" s="116" t="str">
        <f>IFERROR(IF(HLOOKUP(A39,PacoteXItem!$A15:$Z15,1,FALSE)&gt;0,IF(J39&gt;0,PacoteXItem!$AC15,"")),"")</f>
        <v/>
      </c>
      <c r="L39" s="116">
        <f>IFERROR(IF(HLOOKUP(A39,PacoteXItem!$A15:$Z15,1,FALSE)&gt;0,PacoteXItem!$AD15),"")</f>
        <v>137</v>
      </c>
      <c r="M39" s="116">
        <f t="shared" si="1"/>
        <v>9.2399999999999984</v>
      </c>
      <c r="N39" s="116">
        <f t="shared" si="2"/>
        <v>1265.8799999999999</v>
      </c>
      <c r="O39" s="10"/>
      <c r="P39" s="51"/>
      <c r="Q39" s="10"/>
      <c r="R39" s="84"/>
      <c r="S39" s="7"/>
    </row>
    <row r="40" spans="1:19" ht="18" customHeight="1" thickBot="1" x14ac:dyDescent="0.25">
      <c r="A40" s="111">
        <f t="shared" si="3"/>
        <v>23</v>
      </c>
      <c r="B40" s="13"/>
      <c r="C40" s="121" t="str">
        <f>IFERROR(IF(HLOOKUP(A40,PacoteXItem!$A16:$Z16,1,FALSE)&gt;0,PacoteXItem!$Y16,"-"),"-")</f>
        <v>BPM-Formulario Mobile</v>
      </c>
      <c r="D40" s="116" t="str">
        <f>IFERROR(IF(HLOOKUP(A40,PacoteXItem!$A16:$Z16,1,FALSE)&gt;0,PacoteXItem!$X16,"-"),"-")</f>
        <v>Desenvolvimento</v>
      </c>
      <c r="E40" s="116" t="str">
        <f>IFERROR(IF(HLOOKUP(A40,PacoteXItem!$A16:$Z16,1,FALSE)&gt;0,PacoteXItem!$Z16,"-"),"-")</f>
        <v>Número Campos</v>
      </c>
      <c r="F40" s="116">
        <f>'Detalhamento BPM'!C4</f>
        <v>22</v>
      </c>
      <c r="G40" s="116">
        <f>IFERROR(IF(HLOOKUP(A40,PacoteXItem!$A16:$Z16,1,FALSE)&gt;0,IF(F40&gt;0,PacoteXItem!$AA16,"")),"")</f>
        <v>0.1</v>
      </c>
      <c r="H40" s="116">
        <f>'Detalhamento BPM'!G4</f>
        <v>0</v>
      </c>
      <c r="I40" s="116" t="str">
        <f>IFERROR(IF(HLOOKUP(A40,PacoteXItem!$A16:$Z16,1,FALSE)&gt;0,IF(H40&gt;0,PacoteXItem!$AB16,"")),"")</f>
        <v/>
      </c>
      <c r="J40" s="116">
        <f>'Detalhamento BPM'!K4</f>
        <v>0</v>
      </c>
      <c r="K40" s="116" t="str">
        <f>IFERROR(IF(HLOOKUP(A40,PacoteXItem!$A16:$Z16,1,FALSE)&gt;0,IF(J40&gt;0,PacoteXItem!$AC16,"")),"")</f>
        <v/>
      </c>
      <c r="L40" s="116">
        <f>IFERROR(IF(HLOOKUP(A40,PacoteXItem!$A16:$Z16,1,FALSE)&gt;0,PacoteXItem!$AD16),"")</f>
        <v>137</v>
      </c>
      <c r="M40" s="116">
        <f t="shared" si="1"/>
        <v>2.64</v>
      </c>
      <c r="N40" s="116">
        <f t="shared" si="2"/>
        <v>361.68</v>
      </c>
      <c r="O40" s="10"/>
      <c r="P40" s="52">
        <v>0.05</v>
      </c>
      <c r="Q40" s="27"/>
      <c r="R40" s="85" t="s">
        <v>70</v>
      </c>
      <c r="S40" s="7"/>
    </row>
    <row r="41" spans="1:19" ht="16.5" customHeight="1" thickBot="1" x14ac:dyDescent="0.25">
      <c r="A41" s="111">
        <f t="shared" si="3"/>
        <v>23</v>
      </c>
      <c r="B41" s="13"/>
      <c r="C41" s="121" t="str">
        <f>IFERROR(IF(HLOOKUP(A41,PacoteXItem!$A17:$Z17,1,FALSE)&gt;0,PacoteXItem!$Y17,"-"),"-")</f>
        <v>BPM-Validações Java Script  no Formulario</v>
      </c>
      <c r="D41" s="116" t="str">
        <f>IFERROR(IF(HLOOKUP(A41,PacoteXItem!$A17:$Z17,1,FALSE)&gt;0,PacoteXItem!$X17,"-"),"-")</f>
        <v>Desenvolvimento</v>
      </c>
      <c r="E41" s="116" t="str">
        <f>IFERROR(IF(HLOOKUP(A41,PacoteXItem!$A17:$Z17,1,FALSE)&gt;0,PacoteXItem!$Z17,"-"),"-")</f>
        <v>Número Validações</v>
      </c>
      <c r="F41" s="116">
        <f>'Detalhamento BPM'!C5</f>
        <v>5</v>
      </c>
      <c r="G41" s="116">
        <f>IFERROR(IF(HLOOKUP(A41,PacoteXItem!$A17:$Z17,1,FALSE)&gt;0,IF(F41&gt;0,PacoteXItem!$AA17,"")),"")</f>
        <v>1</v>
      </c>
      <c r="H41" s="116">
        <f>'Detalhamento BPM'!G5</f>
        <v>0</v>
      </c>
      <c r="I41" s="116" t="str">
        <f>IFERROR(IF(HLOOKUP(A41,PacoteXItem!$A17:$Z17,1,FALSE)&gt;0,IF(H41&gt;0,PacoteXItem!$AB17,"")),"")</f>
        <v/>
      </c>
      <c r="J41" s="116">
        <f>'Detalhamento BPM'!K5</f>
        <v>0</v>
      </c>
      <c r="K41" s="116" t="str">
        <f>IFERROR(IF(HLOOKUP(A41,PacoteXItem!$A17:$Z17,1,FALSE)&gt;0,IF(J41&gt;0,PacoteXItem!$AC17,"")),"")</f>
        <v/>
      </c>
      <c r="L41" s="116">
        <f>IFERROR(IF(HLOOKUP(A41,PacoteXItem!$A17:$Z17,1,FALSE)&gt;0,PacoteXItem!$AD17),"")</f>
        <v>137</v>
      </c>
      <c r="M41" s="116">
        <f t="shared" si="1"/>
        <v>6</v>
      </c>
      <c r="N41" s="116">
        <f t="shared" si="2"/>
        <v>822</v>
      </c>
      <c r="O41" s="10"/>
      <c r="P41" s="51"/>
      <c r="Q41" s="10"/>
      <c r="R41" s="83">
        <f>$R$29*P40</f>
        <v>2.5739999999999998</v>
      </c>
      <c r="S41" s="7"/>
    </row>
    <row r="42" spans="1:19" ht="18" customHeight="1" thickBot="1" x14ac:dyDescent="0.25">
      <c r="A42" s="111">
        <f t="shared" si="3"/>
        <v>23</v>
      </c>
      <c r="B42" s="13"/>
      <c r="C42" s="121" t="str">
        <f>IFERROR(IF(HLOOKUP(A42,PacoteXItem!$A18:$Z18,1,FALSE)&gt;0,PacoteXItem!$Y18,"-"),"-")</f>
        <v>BPM-Validações Java Script no Mobile</v>
      </c>
      <c r="D42" s="116" t="str">
        <f>IFERROR(IF(HLOOKUP(A42,PacoteXItem!$A18:$Z18,1,FALSE)&gt;0,PacoteXItem!$X18,"-"),"-")</f>
        <v>Desenvolvimento</v>
      </c>
      <c r="E42" s="116" t="str">
        <f>IFERROR(IF(HLOOKUP(A42,PacoteXItem!$A18:$Z18,1,FALSE)&gt;0,PacoteXItem!$Z18,"-"),"-")</f>
        <v>Número Validações</v>
      </c>
      <c r="F42" s="116">
        <f>'Detalhamento BPM'!C6</f>
        <v>4</v>
      </c>
      <c r="G42" s="116">
        <f>IFERROR(IF(HLOOKUP(A42,PacoteXItem!$A18:$Z18,1,FALSE)&gt;0,IF(F42&gt;0,PacoteXItem!$AA18,"")),"")</f>
        <v>0.5</v>
      </c>
      <c r="H42" s="116">
        <f>'Detalhamento BPM'!G6</f>
        <v>0</v>
      </c>
      <c r="I42" s="116" t="str">
        <f>IFERROR(IF(HLOOKUP(A42,PacoteXItem!$A18:$Z18,1,FALSE)&gt;0,IF(H42&gt;0,PacoteXItem!$AB18,"")),"")</f>
        <v/>
      </c>
      <c r="J42" s="116">
        <f>'Detalhamento BPM'!K6</f>
        <v>0</v>
      </c>
      <c r="K42" s="116" t="str">
        <f>IFERROR(IF(HLOOKUP(A42,PacoteXItem!$A18:$Z18,1,FALSE)&gt;0,IF(J42&gt;0,PacoteXItem!$AC18,"")),"")</f>
        <v/>
      </c>
      <c r="L42" s="116">
        <f>IFERROR(IF(HLOOKUP(A42,PacoteXItem!$A18:$Z18,1,FALSE)&gt;0,PacoteXItem!$AD18),"")</f>
        <v>137</v>
      </c>
      <c r="M42" s="116">
        <f t="shared" si="1"/>
        <v>2.4</v>
      </c>
      <c r="N42" s="116">
        <f t="shared" si="2"/>
        <v>328.8</v>
      </c>
      <c r="O42" s="10"/>
      <c r="P42" s="51"/>
      <c r="Q42" s="10"/>
      <c r="R42" s="84"/>
      <c r="S42" s="7"/>
    </row>
    <row r="43" spans="1:19" ht="18" customHeight="1" thickBot="1" x14ac:dyDescent="0.25">
      <c r="A43" s="111">
        <f t="shared" si="3"/>
        <v>23</v>
      </c>
      <c r="B43" s="13"/>
      <c r="C43" s="121" t="str">
        <f>IFERROR(IF(HLOOKUP(A43,PacoteXItem!$A19:$Z19,1,FALSE)&gt;0,PacoteXItem!$Y19,"-"),"-")</f>
        <v>BPM-Pesquisa (Zoom)</v>
      </c>
      <c r="D43" s="116" t="str">
        <f>IFERROR(IF(HLOOKUP(A43,PacoteXItem!$A19:$Z19,1,FALSE)&gt;0,PacoteXItem!$X19,"-"),"-")</f>
        <v>Desenvolvimento</v>
      </c>
      <c r="E43" s="116" t="str">
        <f>IFERROR(IF(HLOOKUP(A43,PacoteXItem!$A19:$Z19,1,FALSE)&gt;0,PacoteXItem!$Z19,"-"),"-")</f>
        <v>Número Pesquisa</v>
      </c>
      <c r="F43" s="116">
        <f>'Detalhamento BPM'!C7</f>
        <v>1</v>
      </c>
      <c r="G43" s="116">
        <f>IFERROR(IF(HLOOKUP(A43,PacoteXItem!$A19:$Z19,1,FALSE)&gt;0,IF(F43&gt;0,PacoteXItem!$AA19,"")),"")</f>
        <v>1</v>
      </c>
      <c r="H43" s="116">
        <f>'Detalhamento BPM'!G7</f>
        <v>0</v>
      </c>
      <c r="I43" s="116" t="str">
        <f>IFERROR(IF(HLOOKUP(A43,PacoteXItem!$A19:$Z19,1,FALSE)&gt;0,IF(H43&gt;0,PacoteXItem!$AB19,"")),"")</f>
        <v/>
      </c>
      <c r="J43" s="116">
        <f>'Detalhamento BPM'!K7</f>
        <v>0</v>
      </c>
      <c r="K43" s="116" t="str">
        <f>IFERROR(IF(HLOOKUP(A43,PacoteXItem!$A19:$Z19,1,FALSE)&gt;0,IF(J43&gt;0,PacoteXItem!$AC19,"")),"")</f>
        <v/>
      </c>
      <c r="L43" s="116">
        <f>IFERROR(IF(HLOOKUP(A43,PacoteXItem!$A19:$Z19,1,FALSE)&gt;0,PacoteXItem!$AD19),"")</f>
        <v>137</v>
      </c>
      <c r="M43" s="116">
        <f t="shared" si="1"/>
        <v>1.2</v>
      </c>
      <c r="N43" s="116">
        <f t="shared" si="2"/>
        <v>164.4</v>
      </c>
      <c r="O43" s="10"/>
      <c r="P43" s="52">
        <v>0.1</v>
      </c>
      <c r="Q43" s="27"/>
      <c r="R43" s="85" t="s">
        <v>72</v>
      </c>
      <c r="S43" s="7"/>
    </row>
    <row r="44" spans="1:19" ht="18" customHeight="1" thickBot="1" x14ac:dyDescent="0.25">
      <c r="A44" s="111">
        <f t="shared" si="3"/>
        <v>23</v>
      </c>
      <c r="B44" s="13"/>
      <c r="C44" s="121" t="str">
        <f>IFERROR(IF(HLOOKUP(A44,PacoteXItem!$A20:$Z20,1,FALSE)&gt;0,PacoteXItem!$Y20,"-"),"-")</f>
        <v>BPM-Eventos de formulário</v>
      </c>
      <c r="D44" s="116" t="str">
        <f>IFERROR(IF(HLOOKUP(A44,PacoteXItem!$A20:$Z20,1,FALSE)&gt;0,PacoteXItem!$X20,"-"),"-")</f>
        <v>Desenvolvimento</v>
      </c>
      <c r="E44" s="116" t="str">
        <f>IFERROR(IF(HLOOKUP(A44,PacoteXItem!$A20:$Z20,1,FALSE)&gt;0,PacoteXItem!$Z20,"-"),"-")</f>
        <v>Número Atividades</v>
      </c>
      <c r="F44" s="116">
        <f>'Detalhamento BPM'!C8</f>
        <v>2</v>
      </c>
      <c r="G44" s="116">
        <f>IFERROR(IF(HLOOKUP(A44,PacoteXItem!$A20:$Z20,1,FALSE)&gt;0,IF(F44&gt;0,PacoteXItem!$AA20,"")),"")</f>
        <v>1</v>
      </c>
      <c r="H44" s="116">
        <f>'Detalhamento BPM'!G8</f>
        <v>0</v>
      </c>
      <c r="I44" s="116" t="str">
        <f>IFERROR(IF(HLOOKUP(A44,PacoteXItem!$A20:$Z20,1,FALSE)&gt;0,IF(H44&gt;0,PacoteXItem!$AB20,"")),"")</f>
        <v/>
      </c>
      <c r="J44" s="116">
        <f>'Detalhamento BPM'!K8</f>
        <v>0</v>
      </c>
      <c r="K44" s="116" t="str">
        <f>IFERROR(IF(HLOOKUP(A44,PacoteXItem!$A20:$Z20,1,FALSE)&gt;0,IF(J44&gt;0,PacoteXItem!$AC20,"")),"")</f>
        <v/>
      </c>
      <c r="L44" s="116">
        <f>IFERROR(IF(HLOOKUP(A44,PacoteXItem!$A20:$Z20,1,FALSE)&gt;0,PacoteXItem!$AD20),"")</f>
        <v>137</v>
      </c>
      <c r="M44" s="116">
        <f t="shared" si="1"/>
        <v>2.4</v>
      </c>
      <c r="N44" s="116">
        <f t="shared" si="2"/>
        <v>328.8</v>
      </c>
      <c r="O44" s="10"/>
      <c r="P44" s="51"/>
      <c r="Q44" s="10"/>
      <c r="R44" s="83">
        <f>$R$29*P43</f>
        <v>5.1479999999999997</v>
      </c>
      <c r="S44" s="7"/>
    </row>
    <row r="45" spans="1:19" ht="18" customHeight="1" thickBot="1" x14ac:dyDescent="0.25">
      <c r="A45" s="111">
        <f t="shared" si="3"/>
        <v>23</v>
      </c>
      <c r="B45" s="13"/>
      <c r="C45" s="121" t="str">
        <f>IFERROR(IF(HLOOKUP(A45,PacoteXItem!$A21:$Z21,1,FALSE)&gt;0,PacoteXItem!$Y21,"-"),"-")</f>
        <v>BPM-Eventos do processo</v>
      </c>
      <c r="D45" s="116" t="str">
        <f>IFERROR(IF(HLOOKUP(A45,PacoteXItem!$A21:$Z21,1,FALSE)&gt;0,PacoteXItem!$X21,"-"),"-")</f>
        <v>Desenvolvimento</v>
      </c>
      <c r="E45" s="116" t="str">
        <f>IFERROR(IF(HLOOKUP(A45,PacoteXItem!$A21:$Z21,1,FALSE)&gt;0,PacoteXItem!$Z21,"-"),"-")</f>
        <v>Número Eventos</v>
      </c>
      <c r="F45" s="116">
        <f>'Detalhamento BPM'!C9</f>
        <v>2</v>
      </c>
      <c r="G45" s="116">
        <f>IFERROR(IF(HLOOKUP(A45,PacoteXItem!$A21:$Z21,1,FALSE)&gt;0,IF(F45&gt;0,PacoteXItem!$AA21,"")),"")</f>
        <v>8</v>
      </c>
      <c r="H45" s="116">
        <f>'Detalhamento BPM'!G9</f>
        <v>0</v>
      </c>
      <c r="I45" s="116" t="str">
        <f>IFERROR(IF(HLOOKUP(A45,PacoteXItem!$A21:$Z21,1,FALSE)&gt;0,IF(H45&gt;0,PacoteXItem!$AB21,"")),"")</f>
        <v/>
      </c>
      <c r="J45" s="116">
        <f>'Detalhamento BPM'!K9</f>
        <v>0</v>
      </c>
      <c r="K45" s="116" t="str">
        <f>IFERROR(IF(HLOOKUP(A45,PacoteXItem!$A21:$Z21,1,FALSE)&gt;0,IF(J45&gt;0,PacoteXItem!$AC21,"")),"")</f>
        <v/>
      </c>
      <c r="L45" s="116">
        <f>IFERROR(IF(HLOOKUP(A45,PacoteXItem!$A21:$Z21,1,FALSE)&gt;0,PacoteXItem!$AD21),"")</f>
        <v>137</v>
      </c>
      <c r="M45" s="116">
        <f t="shared" si="1"/>
        <v>19.2</v>
      </c>
      <c r="N45" s="116">
        <f t="shared" si="2"/>
        <v>2630.4</v>
      </c>
      <c r="O45" s="10"/>
      <c r="P45" s="51"/>
      <c r="Q45" s="10"/>
      <c r="R45" s="84"/>
      <c r="S45" s="7"/>
    </row>
    <row r="46" spans="1:19" ht="18" customHeight="1" thickBot="1" x14ac:dyDescent="0.25">
      <c r="A46" s="111">
        <f t="shared" si="3"/>
        <v>23</v>
      </c>
      <c r="B46" s="13"/>
      <c r="C46" s="121" t="str">
        <f>IFERROR(IF(HLOOKUP(A46,PacoteXItem!$A22:$Z22,1,FALSE)&gt;0,PacoteXItem!$Y22,"-"),"-")</f>
        <v>BPM-Atividades Processo</v>
      </c>
      <c r="D46" s="116" t="str">
        <f>IFERROR(IF(HLOOKUP(A46,PacoteXItem!$A22:$Z22,1,FALSE)&gt;0,PacoteXItem!$X22,"-"),"-")</f>
        <v>Desenvolvimento</v>
      </c>
      <c r="E46" s="116" t="str">
        <f>IFERROR(IF(HLOOKUP(A46,PacoteXItem!$A22:$Z22,1,FALSE)&gt;0,PacoteXItem!$Z22,"-"),"-")</f>
        <v>Número Atividades</v>
      </c>
      <c r="F46" s="116">
        <f>'Detalhamento BPM'!C10</f>
        <v>4</v>
      </c>
      <c r="G46" s="116">
        <f>IFERROR(IF(HLOOKUP(A46,PacoteXItem!$A22:$Z22,1,FALSE)&gt;0,IF(F46&gt;0,PacoteXItem!$AA22,"")),"")</f>
        <v>0.5</v>
      </c>
      <c r="H46" s="116">
        <f>'Detalhamento BPM'!G10</f>
        <v>0</v>
      </c>
      <c r="I46" s="116" t="str">
        <f>IFERROR(IF(HLOOKUP(A46,PacoteXItem!$A22:$Z22,1,FALSE)&gt;0,IF(H46&gt;0,PacoteXItem!$AB22,"")),"")</f>
        <v/>
      </c>
      <c r="J46" s="116">
        <f>'Detalhamento BPM'!K10</f>
        <v>0</v>
      </c>
      <c r="K46" s="116" t="str">
        <f>IFERROR(IF(HLOOKUP(A46,PacoteXItem!$A22:$Z22,1,FALSE)&gt;0,IF(J46&gt;0,PacoteXItem!$AC22,"")),"")</f>
        <v/>
      </c>
      <c r="L46" s="116">
        <f>IFERROR(IF(HLOOKUP(A46,PacoteXItem!$A22:$Z22,1,FALSE)&gt;0,PacoteXItem!$AD22),"")</f>
        <v>137</v>
      </c>
      <c r="M46" s="116">
        <f t="shared" si="1"/>
        <v>2.4</v>
      </c>
      <c r="N46" s="116">
        <f t="shared" si="2"/>
        <v>328.8</v>
      </c>
      <c r="O46" s="10"/>
      <c r="P46" s="52">
        <v>0.1</v>
      </c>
      <c r="Q46" s="27"/>
      <c r="R46" s="85" t="s">
        <v>71</v>
      </c>
      <c r="S46" s="7"/>
    </row>
    <row r="47" spans="1:19" ht="18" customHeight="1" thickBot="1" x14ac:dyDescent="0.25">
      <c r="A47" s="111">
        <f t="shared" si="3"/>
        <v>23</v>
      </c>
      <c r="B47" s="13"/>
      <c r="C47" s="121" t="str">
        <f>IFERROR(IF(HLOOKUP(A47,PacoteXItem!$A23:$Z23,1,FALSE)&gt;0,PacoteXItem!$Y23,"-"),"-")</f>
        <v>BPM-Atividades Automaticas</v>
      </c>
      <c r="D47" s="116" t="str">
        <f>IFERROR(IF(HLOOKUP(A47,PacoteXItem!$A23:$Z23,1,FALSE)&gt;0,PacoteXItem!$X23,"-"),"-")</f>
        <v>Desenvolvimento</v>
      </c>
      <c r="E47" s="116" t="str">
        <f>IFERROR(IF(HLOOKUP(A47,PacoteXItem!$A23:$Z23,1,FALSE)&gt;0,PacoteXItem!$Z23,"-"),"-")</f>
        <v>Número Atividades</v>
      </c>
      <c r="F47" s="116">
        <f>'Detalhamento BPM'!C11</f>
        <v>3</v>
      </c>
      <c r="G47" s="116">
        <f>IFERROR(IF(HLOOKUP(A47,PacoteXItem!$A23:$Z23,1,FALSE)&gt;0,IF(F47&gt;0,PacoteXItem!$AA23,"")),"")</f>
        <v>1</v>
      </c>
      <c r="H47" s="116">
        <f>'Detalhamento BPM'!G11</f>
        <v>0</v>
      </c>
      <c r="I47" s="116" t="str">
        <f>IFERROR(IF(HLOOKUP(A47,PacoteXItem!$A23:$Z23,1,FALSE)&gt;0,IF(H47&gt;0,PacoteXItem!$AB23,"")),"")</f>
        <v/>
      </c>
      <c r="J47" s="116">
        <f>'Detalhamento BPM'!K11</f>
        <v>0</v>
      </c>
      <c r="K47" s="116" t="str">
        <f>IFERROR(IF(HLOOKUP(A47,PacoteXItem!$A23:$Z23,1,FALSE)&gt;0,IF(J47&gt;0,PacoteXItem!$AC23,"")),"")</f>
        <v/>
      </c>
      <c r="L47" s="116">
        <f>IFERROR(IF(HLOOKUP(A47,PacoteXItem!$A23:$Z23,1,FALSE)&gt;0,PacoteXItem!$AD23),"")</f>
        <v>137</v>
      </c>
      <c r="M47" s="116">
        <f t="shared" si="1"/>
        <v>3.5999999999999996</v>
      </c>
      <c r="N47" s="116">
        <f t="shared" si="2"/>
        <v>493.19999999999993</v>
      </c>
      <c r="O47" s="10"/>
      <c r="P47" s="51"/>
      <c r="Q47" s="10"/>
      <c r="R47" s="83">
        <f>$R$29*P46</f>
        <v>5.1479999999999997</v>
      </c>
      <c r="S47" s="7"/>
    </row>
    <row r="48" spans="1:19" ht="18" customHeight="1" thickBot="1" x14ac:dyDescent="0.25">
      <c r="A48" s="111">
        <f t="shared" si="3"/>
        <v>23</v>
      </c>
      <c r="B48" s="13"/>
      <c r="C48" s="121" t="str">
        <f>IFERROR(IF(HLOOKUP(A48,PacoteXItem!$A24:$Z24,1,FALSE)&gt;0,PacoteXItem!$Y24,"-"),"-")</f>
        <v>BPM-Dataset Interno</v>
      </c>
      <c r="D48" s="116" t="str">
        <f>IFERROR(IF(HLOOKUP(A48,PacoteXItem!$A24:$Z24,1,FALSE)&gt;0,PacoteXItem!$X24,"-"),"-")</f>
        <v>Desenvolvimento</v>
      </c>
      <c r="E48" s="116" t="str">
        <f>IFERROR(IF(HLOOKUP(A48,PacoteXItem!$A24:$Z24,1,FALSE)&gt;0,PacoteXItem!$Z24,"-"),"-")</f>
        <v>Número Datasets</v>
      </c>
      <c r="F48" s="116">
        <f>'Detalhamento BPM'!C12</f>
        <v>1</v>
      </c>
      <c r="G48" s="116">
        <f>IFERROR(IF(HLOOKUP(A48,PacoteXItem!$A24:$Z24,1,FALSE)&gt;0,IF(F48&gt;0,PacoteXItem!$AA24,"")),"")</f>
        <v>2</v>
      </c>
      <c r="H48" s="116">
        <f>'Detalhamento BPM'!G12</f>
        <v>0</v>
      </c>
      <c r="I48" s="116" t="str">
        <f>IFERROR(IF(HLOOKUP(A48,PacoteXItem!$A24:$Z24,1,FALSE)&gt;0,IF(H48&gt;0,PacoteXItem!$AB24,"")),"")</f>
        <v/>
      </c>
      <c r="J48" s="116">
        <f>'Detalhamento BPM'!K12</f>
        <v>0</v>
      </c>
      <c r="K48" s="116" t="str">
        <f>IFERROR(IF(HLOOKUP(A48,PacoteXItem!$A24:$Z24,1,FALSE)&gt;0,IF(J48&gt;0,PacoteXItem!$AC24,"")),"")</f>
        <v/>
      </c>
      <c r="L48" s="116">
        <f>IFERROR(IF(HLOOKUP(A48,PacoteXItem!$A24:$Z24,1,FALSE)&gt;0,PacoteXItem!$AD24),"")</f>
        <v>137</v>
      </c>
      <c r="M48" s="116">
        <f t="shared" si="1"/>
        <v>2.4</v>
      </c>
      <c r="N48" s="116">
        <f t="shared" si="2"/>
        <v>328.8</v>
      </c>
      <c r="O48" s="10"/>
      <c r="P48" s="51"/>
      <c r="Q48" s="10"/>
      <c r="R48" s="84"/>
      <c r="S48" s="7"/>
    </row>
    <row r="49" spans="1:19" ht="18" customHeight="1" thickBot="1" x14ac:dyDescent="0.25">
      <c r="A49" s="111">
        <f t="shared" si="3"/>
        <v>23</v>
      </c>
      <c r="B49" s="13"/>
      <c r="C49" s="121" t="str">
        <f>IFERROR(IF(HLOOKUP(A49,PacoteXItem!$A25:$Z25,1,FALSE)&gt;0,PacoteXItem!$Y25,"-"),"-")</f>
        <v>BPM-Dataset para integração</v>
      </c>
      <c r="D49" s="116" t="str">
        <f>IFERROR(IF(HLOOKUP(A49,PacoteXItem!$A25:$Z25,1,FALSE)&gt;0,PacoteXItem!$X25,"-"),"-")</f>
        <v>Desenvolvimento</v>
      </c>
      <c r="E49" s="116" t="str">
        <f>IFERROR(IF(HLOOKUP(A49,PacoteXItem!$A25:$Z25,1,FALSE)&gt;0,PacoteXItem!$Z25,"-"),"-")</f>
        <v>Número Datasets</v>
      </c>
      <c r="F49" s="116">
        <f>'Detalhamento BPM'!C13</f>
        <v>0</v>
      </c>
      <c r="G49" s="116" t="str">
        <f>IFERROR(IF(HLOOKUP(A49,PacoteXItem!$A25:$Z25,1,FALSE)&gt;0,IF(F49&gt;0,PacoteXItem!$AA25,"")),"")</f>
        <v/>
      </c>
      <c r="H49" s="116">
        <f>'Detalhamento BPM'!G13</f>
        <v>0</v>
      </c>
      <c r="I49" s="116" t="str">
        <f>IFERROR(IF(HLOOKUP(A49,PacoteXItem!$A25:$Z25,1,FALSE)&gt;0,IF(H49&gt;0,PacoteXItem!$AB25,"")),"")</f>
        <v/>
      </c>
      <c r="J49" s="116">
        <f>'Detalhamento BPM'!K13</f>
        <v>0</v>
      </c>
      <c r="K49" s="116" t="str">
        <f>IFERROR(IF(HLOOKUP(A49,PacoteXItem!$A25:$Z25,1,FALSE)&gt;0,IF(J49&gt;0,PacoteXItem!$AC25,"")),"")</f>
        <v/>
      </c>
      <c r="L49" s="116">
        <f>IFERROR(IF(HLOOKUP(A49,PacoteXItem!$A25:$Z25,1,FALSE)&gt;0,PacoteXItem!$AD25),"")</f>
        <v>137</v>
      </c>
      <c r="M49" s="116" t="str">
        <f t="shared" si="1"/>
        <v/>
      </c>
      <c r="N49" s="116" t="str">
        <f t="shared" si="2"/>
        <v/>
      </c>
      <c r="O49" s="10"/>
      <c r="P49" s="52">
        <v>0.2</v>
      </c>
      <c r="Q49" s="27"/>
      <c r="R49" s="85" t="s">
        <v>73</v>
      </c>
      <c r="S49" s="7"/>
    </row>
    <row r="50" spans="1:19" ht="18" customHeight="1" thickBot="1" x14ac:dyDescent="0.25">
      <c r="A50" s="111">
        <f t="shared" si="3"/>
        <v>23</v>
      </c>
      <c r="B50" s="13"/>
      <c r="C50" s="121" t="str">
        <f>IFERROR(IF(HLOOKUP(A50,PacoteXItem!$A26:$Z26,1,FALSE)&gt;0,PacoteXItem!$Y26,"-"),"-")</f>
        <v>Não utilizar</v>
      </c>
      <c r="D50" s="116" t="str">
        <f>IFERROR(IF(HLOOKUP(A50,PacoteXItem!$A26:$Z26,1,FALSE)&gt;0,PacoteXItem!$X26,"-"),"-")</f>
        <v>Desenvolvimento</v>
      </c>
      <c r="E50" s="116" t="str">
        <f>IFERROR(IF(HLOOKUP(A50,PacoteXItem!$A26:$Z26,1,FALSE)&gt;0,PacoteXItem!$Z26,"-"),"-")</f>
        <v>Não utilizar</v>
      </c>
      <c r="F50" s="116">
        <f>'Detalhamento BPM'!C14</f>
        <v>0</v>
      </c>
      <c r="G50" s="116" t="str">
        <f>IFERROR(IF(HLOOKUP(A50,PacoteXItem!$A26:$Z26,1,FALSE)&gt;0,IF(F50&gt;0,PacoteXItem!$AA26,"")),"")</f>
        <v/>
      </c>
      <c r="H50" s="116">
        <f>'Detalhamento BPM'!G14</f>
        <v>0</v>
      </c>
      <c r="I50" s="116" t="str">
        <f>IFERROR(IF(HLOOKUP(A50,PacoteXItem!$A26:$Z26,1,FALSE)&gt;0,IF(H50&gt;0,PacoteXItem!$AB26,"")),"")</f>
        <v/>
      </c>
      <c r="J50" s="116">
        <f>'Detalhamento BPM'!K14</f>
        <v>0</v>
      </c>
      <c r="K50" s="116" t="str">
        <f>IFERROR(IF(HLOOKUP(A50,PacoteXItem!$A26:$Z26,1,FALSE)&gt;0,IF(J50&gt;0,PacoteXItem!$AC26,"")),"")</f>
        <v/>
      </c>
      <c r="L50" s="116">
        <f>IFERROR(IF(HLOOKUP(A50,PacoteXItem!$A26:$Z26,1,FALSE)&gt;0,PacoteXItem!$AD26),"")</f>
        <v>137</v>
      </c>
      <c r="M50" s="116" t="str">
        <f t="shared" si="1"/>
        <v/>
      </c>
      <c r="N50" s="116" t="str">
        <f t="shared" si="2"/>
        <v/>
      </c>
      <c r="O50" s="10"/>
      <c r="P50" s="1"/>
      <c r="Q50" s="1"/>
      <c r="R50" s="83">
        <f>$R$29*P49</f>
        <v>10.295999999999999</v>
      </c>
      <c r="S50" s="7"/>
    </row>
    <row r="51" spans="1:19" ht="18" customHeight="1" x14ac:dyDescent="0.2">
      <c r="A51" s="111">
        <f t="shared" si="3"/>
        <v>23</v>
      </c>
      <c r="B51" s="13"/>
      <c r="C51" s="121" t="str">
        <f>IFERROR(IF(HLOOKUP(A51,PacoteXItem!$A27:$Z27,1,FALSE)&gt;0,PacoteXItem!$Y27,"-"),"-")</f>
        <v>BPM-Web Services Externo para integração</v>
      </c>
      <c r="D51" s="116" t="str">
        <f>IFERROR(IF(HLOOKUP(A51,PacoteXItem!$A27:$Z27,1,FALSE)&gt;0,PacoteXItem!$X27,"-"),"-")</f>
        <v>Desenvolvimento</v>
      </c>
      <c r="E51" s="116" t="str">
        <f>IFERROR(IF(HLOOKUP(A51,PacoteXItem!$A27:$Z27,1,FALSE)&gt;0,PacoteXItem!$Z27,"-"),"-")</f>
        <v>Número Web Services</v>
      </c>
      <c r="F51" s="116">
        <f>'Detalhamento BPM'!C15</f>
        <v>0</v>
      </c>
      <c r="G51" s="116" t="str">
        <f>IFERROR(IF(HLOOKUP(A51,PacoteXItem!$A27:$Z27,1,FALSE)&gt;0,IF(F51&gt;0,PacoteXItem!$AA27,"")),"")</f>
        <v/>
      </c>
      <c r="H51" s="116">
        <f>'Detalhamento BPM'!G15</f>
        <v>0</v>
      </c>
      <c r="I51" s="116" t="str">
        <f>IFERROR(IF(HLOOKUP(A51,PacoteXItem!$A27:$Z27,1,FALSE)&gt;0,IF(H51&gt;0,PacoteXItem!$AB27,"")),"")</f>
        <v/>
      </c>
      <c r="J51" s="116">
        <f>'Detalhamento BPM'!K15</f>
        <v>0</v>
      </c>
      <c r="K51" s="116" t="str">
        <f>IFERROR(IF(HLOOKUP(A51,PacoteXItem!$A27:$Z27,1,FALSE)&gt;0,IF(J51&gt;0,PacoteXItem!$AC27,"")),"")</f>
        <v/>
      </c>
      <c r="L51" s="116">
        <f>IFERROR(IF(HLOOKUP(A51,PacoteXItem!$A27:$Z27,1,FALSE)&gt;0,PacoteXItem!$AD27),"")</f>
        <v>137</v>
      </c>
      <c r="M51" s="116" t="str">
        <f t="shared" si="1"/>
        <v/>
      </c>
      <c r="N51" s="116" t="str">
        <f t="shared" si="2"/>
        <v/>
      </c>
      <c r="O51" s="10"/>
      <c r="P51" s="1"/>
      <c r="Q51" s="1"/>
      <c r="R51" s="1"/>
      <c r="S51" s="7"/>
    </row>
    <row r="52" spans="1:19" ht="18" customHeight="1" x14ac:dyDescent="0.2">
      <c r="A52" s="111">
        <f t="shared" si="3"/>
        <v>23</v>
      </c>
      <c r="B52" s="13"/>
      <c r="C52" s="121" t="str">
        <f>IFERROR(IF(HLOOKUP(A52,PacoteXItem!$A28:$Z28,1,FALSE)&gt;0,PacoteXItem!$Y28,"-"),"-")</f>
        <v>BPM-Desenvolvimento Relatório Analytics</v>
      </c>
      <c r="D52" s="116" t="str">
        <f>IFERROR(IF(HLOOKUP(A52,PacoteXItem!$A28:$Z28,1,FALSE)&gt;0,PacoteXItem!$X28,"-"),"-")</f>
        <v>Desenvolvimento</v>
      </c>
      <c r="E52" s="116" t="str">
        <f>IFERROR(IF(HLOOKUP(A52,PacoteXItem!$A28:$Z28,1,FALSE)&gt;0,PacoteXItem!$Z28,"-"),"-")</f>
        <v>Número Relatórios</v>
      </c>
      <c r="F52" s="116">
        <f>'Detalhamento BPM'!C16</f>
        <v>0</v>
      </c>
      <c r="G52" s="116" t="str">
        <f>IFERROR(IF(HLOOKUP(A52,PacoteXItem!$A28:$Z28,1,FALSE)&gt;0,IF(F52&gt;0,PacoteXItem!$AA28,"")),"")</f>
        <v/>
      </c>
      <c r="H52" s="116">
        <f>'Detalhamento BPM'!G16</f>
        <v>0</v>
      </c>
      <c r="I52" s="116" t="str">
        <f>IFERROR(IF(HLOOKUP(A52,PacoteXItem!$A28:$Z28,1,FALSE)&gt;0,IF(H52&gt;0,PacoteXItem!$AB28,"")),"")</f>
        <v/>
      </c>
      <c r="J52" s="116">
        <f>'Detalhamento BPM'!K16</f>
        <v>0</v>
      </c>
      <c r="K52" s="116" t="str">
        <f>IFERROR(IF(HLOOKUP(A52,PacoteXItem!$A28:$Z28,1,FALSE)&gt;0,IF(J52&gt;0,PacoteXItem!$AC28,"")),"")</f>
        <v/>
      </c>
      <c r="L52" s="116">
        <f>IFERROR(IF(HLOOKUP(A52,PacoteXItem!$A28:$Z28,1,FALSE)&gt;0,PacoteXItem!$AD28),"")</f>
        <v>137</v>
      </c>
      <c r="M52" s="116" t="str">
        <f t="shared" si="1"/>
        <v/>
      </c>
      <c r="N52" s="116" t="str">
        <f t="shared" si="2"/>
        <v/>
      </c>
      <c r="O52" s="10"/>
      <c r="P52" s="1"/>
      <c r="Q52" s="8" t="e">
        <f>SUM(M39:M124)+M39:M73,M110:M125</f>
        <v>#VALUE!</v>
      </c>
      <c r="R52" s="1"/>
      <c r="S52" s="7"/>
    </row>
    <row r="53" spans="1:19" ht="18" customHeight="1" x14ac:dyDescent="0.2">
      <c r="A53" s="111">
        <f t="shared" si="3"/>
        <v>23</v>
      </c>
      <c r="B53" s="13"/>
      <c r="C53" s="121" t="str">
        <f>IFERROR(IF(HLOOKUP(A53,PacoteXItem!$A29:$Z29,1,FALSE)&gt;0,PacoteXItem!$Y29,"-"),"-")</f>
        <v>BPM-Relatorio BIRT</v>
      </c>
      <c r="D53" s="116" t="str">
        <f>IFERROR(IF(HLOOKUP(A53,PacoteXItem!$A29:$Z29,1,FALSE)&gt;0,PacoteXItem!$X29,"-"),"-")</f>
        <v>Desenvolvimento</v>
      </c>
      <c r="E53" s="116" t="str">
        <f>IFERROR(IF(HLOOKUP(A53,PacoteXItem!$A29:$Z29,1,FALSE)&gt;0,PacoteXItem!$Z29,"-"),"-")</f>
        <v>Número Relatórios</v>
      </c>
      <c r="F53" s="116">
        <f>'Detalhamento BPM'!C17</f>
        <v>0</v>
      </c>
      <c r="G53" s="116" t="str">
        <f>IFERROR(IF(HLOOKUP(A53,PacoteXItem!$A29:$Z29,1,FALSE)&gt;0,IF(F53&gt;0,PacoteXItem!$AA29,"")),"")</f>
        <v/>
      </c>
      <c r="H53" s="116">
        <f>'Detalhamento BPM'!G17</f>
        <v>0</v>
      </c>
      <c r="I53" s="116" t="str">
        <f>IFERROR(IF(HLOOKUP(A53,PacoteXItem!$A29:$Z29,1,FALSE)&gt;0,IF(H53&gt;0,PacoteXItem!$AB29,"")),"")</f>
        <v/>
      </c>
      <c r="J53" s="116">
        <f>'Detalhamento BPM'!K17</f>
        <v>0</v>
      </c>
      <c r="K53" s="116" t="str">
        <f>IFERROR(IF(HLOOKUP(A53,PacoteXItem!$A29:$Z29,1,FALSE)&gt;0,IF(J53&gt;0,PacoteXItem!$AC29,"")),"")</f>
        <v/>
      </c>
      <c r="L53" s="116">
        <f>IFERROR(IF(HLOOKUP(A53,PacoteXItem!$A29:$Z29,1,FALSE)&gt;0,PacoteXItem!$AD29),"")</f>
        <v>137</v>
      </c>
      <c r="M53" s="116" t="str">
        <f t="shared" si="1"/>
        <v/>
      </c>
      <c r="N53" s="116" t="str">
        <f t="shared" si="2"/>
        <v/>
      </c>
      <c r="O53" s="10"/>
      <c r="P53" s="1"/>
      <c r="Q53" s="1"/>
      <c r="R53" s="1"/>
      <c r="S53" s="7"/>
    </row>
    <row r="54" spans="1:19" ht="18" customHeight="1" x14ac:dyDescent="0.2">
      <c r="A54" s="111">
        <f t="shared" si="3"/>
        <v>23</v>
      </c>
      <c r="B54" s="13"/>
      <c r="C54" s="16" t="str">
        <f>IFERROR(IF(HLOOKUP(A54,PacoteXItem!$A30:$Z30,1,FALSE)&gt;0,PacoteXItem!$Y30,"-"),"-")</f>
        <v>ECM-Evento da Gestão de Documentos</v>
      </c>
      <c r="D54" s="17" t="str">
        <f>IFERROR(IF(HLOOKUP(A54,PacoteXItem!$A30:$Z30,1,FALSE)&gt;0,PacoteXItem!$X30,"-"),"-")</f>
        <v>Desenvolvimento</v>
      </c>
      <c r="E54" s="17" t="str">
        <f>IFERROR(IF(HLOOKUP(A54,PacoteXItem!$A30:$Z30,1,FALSE)&gt;0,PacoteXItem!$Z30,"-"),"-")</f>
        <v>Número Eventos</v>
      </c>
      <c r="F54" s="49"/>
      <c r="G54" s="17" t="str">
        <f>IFERROR(IF(HLOOKUP(A54,PacoteXItem!$A30:$Z30,1,FALSE)&gt;0,IF(F54&gt;0,PacoteXItem!$AA30,"")),"")</f>
        <v/>
      </c>
      <c r="H54" s="49"/>
      <c r="I54" s="17" t="str">
        <f>IFERROR(IF(HLOOKUP(A54,PacoteXItem!$A30:$Z30,1,FALSE)&gt;0,IF(H54&gt;0,PacoteXItem!$AB30,"")),"")</f>
        <v/>
      </c>
      <c r="J54" s="49"/>
      <c r="K54" s="17" t="str">
        <f>IFERROR(IF(HLOOKUP(A54,PacoteXItem!$A30:$Z30,1,FALSE)&gt;0,IF(J54&gt;0,PacoteXItem!$AC30,"")),"")</f>
        <v/>
      </c>
      <c r="L54" s="17">
        <f>IFERROR(IF(HLOOKUP(A54,PacoteXItem!$A30:$Z30,1,FALSE)&gt;0,PacoteXItem!$AD30),"")</f>
        <v>137</v>
      </c>
      <c r="M54" s="17" t="str">
        <f t="shared" si="1"/>
        <v/>
      </c>
      <c r="N54" s="17" t="str">
        <f t="shared" si="2"/>
        <v/>
      </c>
      <c r="O54" s="10"/>
      <c r="P54" s="1"/>
      <c r="Q54" s="1"/>
      <c r="R54" s="1"/>
      <c r="S54" s="7"/>
    </row>
    <row r="55" spans="1:19" ht="18" customHeight="1" x14ac:dyDescent="0.2">
      <c r="A55" s="111">
        <f t="shared" si="3"/>
        <v>23</v>
      </c>
      <c r="B55" s="13"/>
      <c r="C55" s="118" t="str">
        <f>IFERROR(IF(HLOOKUP(A55,PacoteXItem!$A31:$Z31,1,FALSE)&gt;0,PacoteXItem!$Y31,"-"),"-")</f>
        <v>WCM-Desenvolvimento Widget</v>
      </c>
      <c r="D55" s="115" t="str">
        <f>IFERROR(IF(HLOOKUP(A55,PacoteXItem!$A31:$Z31,1,FALSE)&gt;0,PacoteXItem!$X31,"-"),"-")</f>
        <v>Desenvolvimento</v>
      </c>
      <c r="E55" s="115" t="str">
        <f>IFERROR(IF(HLOOKUP(A55,PacoteXItem!$A31:$Z31,1,FALSE)&gt;0,PacoteXItem!$Z31,"-"),"-")</f>
        <v>Número Widgets</v>
      </c>
      <c r="F55" s="115">
        <f>'Detalhamento WCM'!C3</f>
        <v>0</v>
      </c>
      <c r="G55" s="115" t="str">
        <f>IFERROR(IF(HLOOKUP(A55,PacoteXItem!$A31:$Z31,1,FALSE)&gt;0,IF(F55&gt;0,PacoteXItem!$AA31,"")),"")</f>
        <v/>
      </c>
      <c r="H55" s="115">
        <f>'Detalhamento WCM'!G3</f>
        <v>0</v>
      </c>
      <c r="I55" s="115" t="str">
        <f>IFERROR(IF(HLOOKUP(A55,PacoteXItem!$A31:$Z31,1,FALSE)&gt;0,IF(H55&gt;0,PacoteXItem!$AB31,"")),"")</f>
        <v/>
      </c>
      <c r="J55" s="115">
        <f>'Detalhamento WCM'!K3</f>
        <v>0</v>
      </c>
      <c r="K55" s="115" t="str">
        <f>IFERROR(IF(HLOOKUP(A55,PacoteXItem!$A31:$Z31,1,FALSE)&gt;0,IF(J55&gt;0,PacoteXItem!$AC31,"")),"")</f>
        <v/>
      </c>
      <c r="L55" s="115">
        <f>IFERROR(IF(HLOOKUP(A55,PacoteXItem!$A31:$Z31,1,FALSE)&gt;0,PacoteXItem!$AD31),"")</f>
        <v>137</v>
      </c>
      <c r="M55" s="115" t="str">
        <f t="shared" si="1"/>
        <v/>
      </c>
      <c r="N55" s="115" t="str">
        <f t="shared" si="2"/>
        <v/>
      </c>
      <c r="O55" s="10"/>
      <c r="P55" s="10"/>
      <c r="Q55" s="10"/>
      <c r="S55" s="7"/>
    </row>
    <row r="56" spans="1:19" ht="18" customHeight="1" x14ac:dyDescent="0.2">
      <c r="A56" s="111">
        <f t="shared" si="3"/>
        <v>23</v>
      </c>
      <c r="B56" s="13"/>
      <c r="C56" s="118" t="str">
        <f>IFERROR(IF(HLOOKUP(A56,PacoteXItem!$A32:$Z32,1,FALSE)&gt;0,PacoteXItem!$Y32,"-"),"-")</f>
        <v>WCM-Desenvolvimento Página</v>
      </c>
      <c r="D56" s="115" t="str">
        <f>IFERROR(IF(HLOOKUP(A56,PacoteXItem!$A32:$Z32,1,FALSE)&gt;0,PacoteXItem!$X32,"-"),"-")</f>
        <v>Desenvolvimento</v>
      </c>
      <c r="E56" s="115" t="str">
        <f>IFERROR(IF(HLOOKUP(A56,PacoteXItem!$A32:$Z32,1,FALSE)&gt;0,PacoteXItem!$Z32,"-"),"-")</f>
        <v>Número Layouts</v>
      </c>
      <c r="F56" s="115">
        <f>'Detalhamento WCM'!C4</f>
        <v>0</v>
      </c>
      <c r="G56" s="115" t="str">
        <f>IFERROR(IF(HLOOKUP(A56,PacoteXItem!$A32:$Z32,1,FALSE)&gt;0,IF(F56&gt;0,PacoteXItem!$AA32,"")),"")</f>
        <v/>
      </c>
      <c r="H56" s="115">
        <f>'Detalhamento WCM'!G4</f>
        <v>0</v>
      </c>
      <c r="I56" s="115" t="str">
        <f>IFERROR(IF(HLOOKUP(A56,PacoteXItem!$A32:$Z32,1,FALSE)&gt;0,IF(H56&gt;0,PacoteXItem!$AB32,"")),"")</f>
        <v/>
      </c>
      <c r="J56" s="115">
        <f>'Detalhamento WCM'!K4</f>
        <v>0</v>
      </c>
      <c r="K56" s="115" t="str">
        <f>IFERROR(IF(HLOOKUP(A56,PacoteXItem!$A32:$Z32,1,FALSE)&gt;0,IF(J56&gt;0,PacoteXItem!$AC32,"")),"")</f>
        <v/>
      </c>
      <c r="L56" s="115">
        <f>IFERROR(IF(HLOOKUP(A56,PacoteXItem!$A32:$Z32,1,FALSE)&gt;0,PacoteXItem!$AD32),"")</f>
        <v>137</v>
      </c>
      <c r="M56" s="115" t="str">
        <f t="shared" si="1"/>
        <v/>
      </c>
      <c r="N56" s="115" t="str">
        <f t="shared" si="2"/>
        <v/>
      </c>
      <c r="O56" s="10"/>
      <c r="P56" s="10"/>
      <c r="Q56" s="10"/>
      <c r="S56" s="7"/>
    </row>
    <row r="57" spans="1:19" ht="18" customHeight="1" x14ac:dyDescent="0.2">
      <c r="A57" s="111">
        <f t="shared" si="3"/>
        <v>23</v>
      </c>
      <c r="B57" s="13"/>
      <c r="C57" s="118" t="str">
        <f>IFERROR(IF(HLOOKUP(A57,PacoteXItem!$A33:$Z33,1,FALSE)&gt;0,PacoteXItem!$Y33,"-"),"-")</f>
        <v>WCM-Validações Java Scrip no Widget</v>
      </c>
      <c r="D57" s="115" t="str">
        <f>IFERROR(IF(HLOOKUP(A57,PacoteXItem!$A33:$Z33,1,FALSE)&gt;0,PacoteXItem!$X33,"-"),"-")</f>
        <v>Desenvolvimento</v>
      </c>
      <c r="E57" s="115" t="str">
        <f>IFERROR(IF(HLOOKUP(A57,PacoteXItem!$A33:$Z33,1,FALSE)&gt;0,PacoteXItem!$Z33,"-"),"-")</f>
        <v>Número Validações</v>
      </c>
      <c r="F57" s="115">
        <f>'Detalhamento WCM'!C5</f>
        <v>0</v>
      </c>
      <c r="G57" s="115" t="str">
        <f>IFERROR(IF(HLOOKUP(A57,PacoteXItem!$A33:$Z33,1,FALSE)&gt;0,IF(F57&gt;0,PacoteXItem!$AA33,"")),"")</f>
        <v/>
      </c>
      <c r="H57" s="115">
        <f>'Detalhamento WCM'!G5</f>
        <v>0</v>
      </c>
      <c r="I57" s="115" t="str">
        <f>IFERROR(IF(HLOOKUP(A57,PacoteXItem!$A33:$Z33,1,FALSE)&gt;0,IF(H57&gt;0,PacoteXItem!$AB33,"")),"")</f>
        <v/>
      </c>
      <c r="J57" s="115">
        <f>'Detalhamento WCM'!K5</f>
        <v>0</v>
      </c>
      <c r="K57" s="115" t="str">
        <f>IFERROR(IF(HLOOKUP(A57,PacoteXItem!$A33:$Z33,1,FALSE)&gt;0,IF(J57&gt;0,PacoteXItem!$AC33,"")),"")</f>
        <v/>
      </c>
      <c r="L57" s="115">
        <f>IFERROR(IF(HLOOKUP(A57,PacoteXItem!$A33:$Z33,1,FALSE)&gt;0,PacoteXItem!$AD33),"")</f>
        <v>137</v>
      </c>
      <c r="M57" s="115" t="str">
        <f t="shared" si="1"/>
        <v/>
      </c>
      <c r="N57" s="115" t="str">
        <f t="shared" si="2"/>
        <v/>
      </c>
      <c r="O57" s="10"/>
      <c r="P57" s="10"/>
      <c r="Q57" s="10"/>
      <c r="S57" s="7"/>
    </row>
    <row r="58" spans="1:19" ht="18" customHeight="1" x14ac:dyDescent="0.2">
      <c r="A58" s="111">
        <f t="shared" si="3"/>
        <v>23</v>
      </c>
      <c r="B58" s="13"/>
      <c r="C58" s="118" t="str">
        <f>IFERROR(IF(HLOOKUP(A58,PacoteXItem!$A34:$Z34,1,FALSE)&gt;0,PacoteXItem!$Y34,"-"),"-")</f>
        <v>Não utilizar</v>
      </c>
      <c r="D58" s="115" t="str">
        <f>IFERROR(IF(HLOOKUP(A58,PacoteXItem!$A34:$Z34,1,FALSE)&gt;0,PacoteXItem!$X34,"-"),"-")</f>
        <v>Desenvolvimento</v>
      </c>
      <c r="E58" s="115" t="str">
        <f>IFERROR(IF(HLOOKUP(A58,PacoteXItem!$A34:$Z34,1,FALSE)&gt;0,PacoteXItem!$Z34,"-"),"-")</f>
        <v>Não utilizar</v>
      </c>
      <c r="F58" s="115">
        <f>'Detalhamento WCM'!C6</f>
        <v>0</v>
      </c>
      <c r="G58" s="115" t="str">
        <f>IFERROR(IF(HLOOKUP(A58,PacoteXItem!$A34:$Z34,1,FALSE)&gt;0,IF(F58&gt;0,PacoteXItem!$AA34,"")),"")</f>
        <v/>
      </c>
      <c r="H58" s="115">
        <f>'Detalhamento WCM'!G6</f>
        <v>0</v>
      </c>
      <c r="I58" s="115" t="str">
        <f>IFERROR(IF(HLOOKUP(A58,PacoteXItem!$A34:$Z34,1,FALSE)&gt;0,IF(H58&gt;0,PacoteXItem!$AB34,"")),"")</f>
        <v/>
      </c>
      <c r="J58" s="115">
        <f>'Detalhamento WCM'!K6</f>
        <v>0</v>
      </c>
      <c r="K58" s="115" t="str">
        <f>IFERROR(IF(HLOOKUP(A58,PacoteXItem!$A34:$Z34,1,FALSE)&gt;0,IF(J58&gt;0,PacoteXItem!$AC34,"")),"")</f>
        <v/>
      </c>
      <c r="L58" s="115">
        <f>IFERROR(IF(HLOOKUP(A58,PacoteXItem!$A34:$Z34,1,FALSE)&gt;0,PacoteXItem!$AD34),"")</f>
        <v>137</v>
      </c>
      <c r="M58" s="115" t="str">
        <f t="shared" si="1"/>
        <v/>
      </c>
      <c r="N58" s="115" t="str">
        <f t="shared" si="2"/>
        <v/>
      </c>
      <c r="O58" s="10"/>
      <c r="P58" s="10"/>
      <c r="Q58" s="10"/>
      <c r="S58" s="7"/>
    </row>
    <row r="59" spans="1:19" ht="18" customHeight="1" x14ac:dyDescent="0.2">
      <c r="A59" s="111">
        <f t="shared" si="3"/>
        <v>23</v>
      </c>
      <c r="B59" s="13"/>
      <c r="C59" s="118" t="str">
        <f>IFERROR(IF(HLOOKUP(A59,PacoteXItem!$A35:$Z35,1,FALSE)&gt;0,PacoteXItem!$Y35,"-"),"-")</f>
        <v>WCM-Dataset para integração</v>
      </c>
      <c r="D59" s="115" t="str">
        <f>IFERROR(IF(HLOOKUP(A59,PacoteXItem!$A35:$Z35,1,FALSE)&gt;0,PacoteXItem!$X35,"-"),"-")</f>
        <v>Desenvolvimento</v>
      </c>
      <c r="E59" s="115" t="str">
        <f>IFERROR(IF(HLOOKUP(A59,PacoteXItem!$A35:$Z35,1,FALSE)&gt;0,PacoteXItem!$Z35,"-"),"-")</f>
        <v>Número Datasets</v>
      </c>
      <c r="F59" s="115">
        <f>'Detalhamento WCM'!C7</f>
        <v>0</v>
      </c>
      <c r="G59" s="115" t="str">
        <f>IFERROR(IF(HLOOKUP(A59,PacoteXItem!$A35:$Z35,1,FALSE)&gt;0,IF(F59&gt;0,PacoteXItem!$AA35,"")),"")</f>
        <v/>
      </c>
      <c r="H59" s="115">
        <f>'Detalhamento WCM'!G7</f>
        <v>0</v>
      </c>
      <c r="I59" s="115" t="str">
        <f>IFERROR(IF(HLOOKUP(A59,PacoteXItem!$A35:$Z35,1,FALSE)&gt;0,IF(H59&gt;0,PacoteXItem!$AB35,"")),"")</f>
        <v/>
      </c>
      <c r="J59" s="115">
        <f>'Detalhamento WCM'!K7</f>
        <v>0</v>
      </c>
      <c r="K59" s="115" t="str">
        <f>IFERROR(IF(HLOOKUP(A59,PacoteXItem!$A35:$Z35,1,FALSE)&gt;0,IF(J59&gt;0,PacoteXItem!$AC35,"")),"")</f>
        <v/>
      </c>
      <c r="L59" s="115">
        <f>IFERROR(IF(HLOOKUP(A59,PacoteXItem!$A35:$Z35,1,FALSE)&gt;0,PacoteXItem!$AD35),"")</f>
        <v>137</v>
      </c>
      <c r="M59" s="115" t="str">
        <f t="shared" si="1"/>
        <v/>
      </c>
      <c r="N59" s="115" t="str">
        <f t="shared" si="2"/>
        <v/>
      </c>
      <c r="O59" s="10"/>
      <c r="P59" s="10"/>
      <c r="Q59" s="10"/>
      <c r="S59" s="7"/>
    </row>
    <row r="60" spans="1:19" ht="18" customHeight="1" x14ac:dyDescent="0.2">
      <c r="A60" s="111">
        <f t="shared" si="3"/>
        <v>23</v>
      </c>
      <c r="B60" s="13"/>
      <c r="C60" s="118" t="str">
        <f>IFERROR(IF(HLOOKUP(A60,PacoteXItem!$A36:$Z36,1,FALSE)&gt;0,PacoteXItem!$Y36,"-"),"-")</f>
        <v>Não utilizar</v>
      </c>
      <c r="D60" s="115" t="str">
        <f>IFERROR(IF(HLOOKUP(A60,PacoteXItem!$A36:$Z36,1,FALSE)&gt;0,PacoteXItem!$X36,"-"),"-")</f>
        <v>Desenvolvimento</v>
      </c>
      <c r="E60" s="115" t="str">
        <f>IFERROR(IF(HLOOKUP(A60,PacoteXItem!$A36:$Z36,1,FALSE)&gt;0,PacoteXItem!$Z36,"-"),"-")</f>
        <v>Não utilizar</v>
      </c>
      <c r="F60" s="115">
        <f>'Detalhamento WCM'!C8</f>
        <v>0</v>
      </c>
      <c r="G60" s="115" t="str">
        <f>IFERROR(IF(HLOOKUP(A60,PacoteXItem!$A36:$Z36,1,FALSE)&gt;0,IF(F60&gt;0,PacoteXItem!$AA36,"")),"")</f>
        <v/>
      </c>
      <c r="H60" s="115">
        <f>'Detalhamento WCM'!G8</f>
        <v>0</v>
      </c>
      <c r="I60" s="115" t="str">
        <f>IFERROR(IF(HLOOKUP(A60,PacoteXItem!$A36:$Z36,1,FALSE)&gt;0,IF(H60&gt;0,PacoteXItem!$AB36,"")),"")</f>
        <v/>
      </c>
      <c r="J60" s="115">
        <f>'Detalhamento WCM'!K8</f>
        <v>0</v>
      </c>
      <c r="K60" s="115" t="str">
        <f>IFERROR(IF(HLOOKUP(A60,PacoteXItem!$A36:$Z36,1,FALSE)&gt;0,IF(J60&gt;0,PacoteXItem!$AC36,"")),"")</f>
        <v/>
      </c>
      <c r="L60" s="115">
        <f>IFERROR(IF(HLOOKUP(A60,PacoteXItem!$A36:$Z36,1,FALSE)&gt;0,PacoteXItem!$AD36),"")</f>
        <v>137</v>
      </c>
      <c r="M60" s="115" t="str">
        <f t="shared" si="1"/>
        <v/>
      </c>
      <c r="N60" s="115" t="str">
        <f t="shared" si="2"/>
        <v/>
      </c>
      <c r="O60" s="10"/>
      <c r="P60" s="10"/>
      <c r="Q60" s="10"/>
      <c r="S60" s="7"/>
    </row>
    <row r="61" spans="1:19" ht="18" customHeight="1" x14ac:dyDescent="0.2">
      <c r="A61" s="111">
        <f t="shared" si="3"/>
        <v>23</v>
      </c>
      <c r="B61" s="13"/>
      <c r="C61" s="118" t="str">
        <f>IFERROR(IF(HLOOKUP(A61,PacoteXItem!$A37:$Z37,1,FALSE)&gt;0,PacoteXItem!$Y37,"-"),"-")</f>
        <v>WCM-Web Services Externo para integração</v>
      </c>
      <c r="D61" s="115" t="str">
        <f>IFERROR(IF(HLOOKUP(A61,PacoteXItem!$A37:$Z37,1,FALSE)&gt;0,PacoteXItem!$X37,"-"),"-")</f>
        <v>Desenvolvimento</v>
      </c>
      <c r="E61" s="115" t="str">
        <f>IFERROR(IF(HLOOKUP(A61,PacoteXItem!$A37:$Z37,1,FALSE)&gt;0,PacoteXItem!$Z37,"-"),"-")</f>
        <v>Número Web Services</v>
      </c>
      <c r="F61" s="115">
        <f>'Detalhamento WCM'!C9</f>
        <v>0</v>
      </c>
      <c r="G61" s="115" t="str">
        <f>IFERROR(IF(HLOOKUP(A61,PacoteXItem!$A37:$Z37,1,FALSE)&gt;0,IF(F61&gt;0,PacoteXItem!$AA37,"")),"")</f>
        <v/>
      </c>
      <c r="H61" s="115">
        <f>'Detalhamento WCM'!G9</f>
        <v>0</v>
      </c>
      <c r="I61" s="115" t="str">
        <f>IFERROR(IF(HLOOKUP(A61,PacoteXItem!$A37:$Z37,1,FALSE)&gt;0,IF(H61&gt;0,PacoteXItem!$AB37,"")),"")</f>
        <v/>
      </c>
      <c r="J61" s="115">
        <f>'Detalhamento WCM'!K9</f>
        <v>0</v>
      </c>
      <c r="K61" s="115" t="str">
        <f>IFERROR(IF(HLOOKUP(A61,PacoteXItem!$A37:$Z37,1,FALSE)&gt;0,IF(J61&gt;0,PacoteXItem!$AC37,"")),"")</f>
        <v/>
      </c>
      <c r="L61" s="115">
        <f>IFERROR(IF(HLOOKUP(A61,PacoteXItem!$A37:$Z37,1,FALSE)&gt;0,PacoteXItem!$AD37),"")</f>
        <v>137</v>
      </c>
      <c r="M61" s="115" t="str">
        <f t="shared" si="1"/>
        <v/>
      </c>
      <c r="N61" s="115" t="str">
        <f t="shared" si="2"/>
        <v/>
      </c>
      <c r="O61" s="10"/>
      <c r="P61" s="10"/>
      <c r="Q61" s="10"/>
      <c r="S61" s="7"/>
    </row>
    <row r="62" spans="1:19" ht="18" customHeight="1" x14ac:dyDescent="0.2">
      <c r="A62" s="111">
        <f t="shared" si="3"/>
        <v>23</v>
      </c>
      <c r="B62" s="13"/>
      <c r="C62" s="119" t="str">
        <f>IFERROR(IF(HLOOKUP(A62,PacoteXItem!$A38:$Z38,1,FALSE)&gt;0,PacoteXItem!$Y38,"-"),"-")</f>
        <v>ESB-Transformação XML</v>
      </c>
      <c r="D62" s="113" t="str">
        <f>IFERROR(IF(HLOOKUP(A62,PacoteXItem!$A38:$Z38,1,FALSE)&gt;0,PacoteXItem!$X38,"-"),"-")</f>
        <v>Desenvolvimento</v>
      </c>
      <c r="E62" s="113" t="str">
        <f>IFERROR(IF(HLOOKUP(A62,PacoteXItem!$A38:$Z38,1,FALSE)&gt;0,PacoteXItem!$Z38,"-"),"-")</f>
        <v>Número Campos</v>
      </c>
      <c r="F62" s="113">
        <f>'Detalhamento ESB'!C3</f>
        <v>0</v>
      </c>
      <c r="G62" s="113" t="str">
        <f>IFERROR(IF(HLOOKUP(A62,PacoteXItem!$A38:$Z38,1,FALSE)&gt;0,IF(F62&gt;0,PacoteXItem!$AA38,"")),"")</f>
        <v/>
      </c>
      <c r="H62" s="113">
        <f>'Detalhamento ESB'!G3</f>
        <v>0</v>
      </c>
      <c r="I62" s="113" t="str">
        <f>IFERROR(IF(HLOOKUP(A62,PacoteXItem!$A38:$Z38,1,FALSE)&gt;0,IF(H62&gt;0,PacoteXItem!$AB38,"")),"")</f>
        <v/>
      </c>
      <c r="J62" s="113">
        <f>'Detalhamento ESB'!K3</f>
        <v>0</v>
      </c>
      <c r="K62" s="113" t="str">
        <f>IFERROR(IF(HLOOKUP(A62,PacoteXItem!$A38:$Z38,1,FALSE)&gt;0,IF(J62&gt;0,PacoteXItem!$AC38,"")),"")</f>
        <v/>
      </c>
      <c r="L62" s="113">
        <f>IFERROR(IF(HLOOKUP(A62,PacoteXItem!$A38:$Z38,1,FALSE)&gt;0,PacoteXItem!$AD38),"")</f>
        <v>137</v>
      </c>
      <c r="M62" s="113" t="str">
        <f t="shared" si="1"/>
        <v/>
      </c>
      <c r="N62" s="113" t="str">
        <f t="shared" si="2"/>
        <v/>
      </c>
      <c r="O62" s="10"/>
      <c r="P62" s="10"/>
      <c r="Q62" s="10"/>
      <c r="S62" s="7"/>
    </row>
    <row r="63" spans="1:19" ht="18" customHeight="1" x14ac:dyDescent="0.2">
      <c r="A63" s="111">
        <f t="shared" si="3"/>
        <v>23</v>
      </c>
      <c r="B63" s="13"/>
      <c r="C63" s="119" t="str">
        <f>IFERROR(IF(HLOOKUP(A63,PacoteXItem!$A39:$Z39,1,FALSE)&gt;0,PacoteXItem!$Y39,"-"),"-")</f>
        <v>ESB-Transformação Arquivo</v>
      </c>
      <c r="D63" s="113" t="str">
        <f>IFERROR(IF(HLOOKUP(A63,PacoteXItem!$A39:$Z39,1,FALSE)&gt;0,PacoteXItem!$X39,"-"),"-")</f>
        <v>Desenvolvimento</v>
      </c>
      <c r="E63" s="113" t="str">
        <f>IFERROR(IF(HLOOKUP(A63,PacoteXItem!$A39:$Z39,1,FALSE)&gt;0,PacoteXItem!$Z39,"-"),"-")</f>
        <v>Número Campos</v>
      </c>
      <c r="F63" s="113">
        <f>'Detalhamento ESB'!C4</f>
        <v>0</v>
      </c>
      <c r="G63" s="113" t="str">
        <f>IFERROR(IF(HLOOKUP(A63,PacoteXItem!$A39:$Z39,1,FALSE)&gt;0,IF(F63&gt;0,PacoteXItem!$AA39,"")),"")</f>
        <v/>
      </c>
      <c r="H63" s="113">
        <f>'Detalhamento ESB'!G4</f>
        <v>0</v>
      </c>
      <c r="I63" s="113" t="str">
        <f>IFERROR(IF(HLOOKUP(A63,PacoteXItem!$A39:$Z39,1,FALSE)&gt;0,IF(H63&gt;0,PacoteXItem!$AB39,"")),"")</f>
        <v/>
      </c>
      <c r="J63" s="113">
        <f>'Detalhamento ESB'!K4</f>
        <v>0</v>
      </c>
      <c r="K63" s="113" t="str">
        <f>IFERROR(IF(HLOOKUP(A63,PacoteXItem!$A39:$Z39,1,FALSE)&gt;0,IF(J63&gt;0,PacoteXItem!$AC39,"")),"")</f>
        <v/>
      </c>
      <c r="L63" s="113">
        <f>IFERROR(IF(HLOOKUP(A63,PacoteXItem!$A39:$Z39,1,FALSE)&gt;0,PacoteXItem!$AD39),"")</f>
        <v>137</v>
      </c>
      <c r="M63" s="113" t="str">
        <f t="shared" si="1"/>
        <v/>
      </c>
      <c r="N63" s="113" t="str">
        <f t="shared" si="2"/>
        <v/>
      </c>
      <c r="O63" s="10"/>
      <c r="P63" s="10"/>
      <c r="Q63" s="10"/>
      <c r="S63" s="7"/>
    </row>
    <row r="64" spans="1:19" ht="18" customHeight="1" x14ac:dyDescent="0.2">
      <c r="A64" s="111">
        <f t="shared" si="3"/>
        <v>23</v>
      </c>
      <c r="B64" s="13"/>
      <c r="C64" s="119" t="str">
        <f>IFERROR(IF(HLOOKUP(A64,PacoteXItem!$A40:$Z40,1,FALSE)&gt;0,PacoteXItem!$Y40,"-"),"-")</f>
        <v>ESB-Transformação Customizada Java</v>
      </c>
      <c r="D64" s="113" t="str">
        <f>IFERROR(IF(HLOOKUP(A64,PacoteXItem!$A40:$Z40,1,FALSE)&gt;0,PacoteXItem!$X40,"-"),"-")</f>
        <v>Desenvolvimento</v>
      </c>
      <c r="E64" s="113" t="str">
        <f>IFERROR(IF(HLOOKUP(A64,PacoteXItem!$A40:$Z40,1,FALSE)&gt;0,PacoteXItem!$Z40,"-"),"-")</f>
        <v>Número de Conectores</v>
      </c>
      <c r="F64" s="113">
        <f>'Detalhamento ESB'!C5</f>
        <v>0</v>
      </c>
      <c r="G64" s="113" t="str">
        <f>IFERROR(IF(HLOOKUP(A64,PacoteXItem!$A40:$Z40,1,FALSE)&gt;0,IF(F64&gt;0,PacoteXItem!$AA40,"")),"")</f>
        <v/>
      </c>
      <c r="H64" s="113">
        <f>'Detalhamento ESB'!G5</f>
        <v>0</v>
      </c>
      <c r="I64" s="113" t="str">
        <f>IFERROR(IF(HLOOKUP(A64,PacoteXItem!$A40:$Z40,1,FALSE)&gt;0,IF(H64&gt;0,PacoteXItem!$AB40,"")),"")</f>
        <v/>
      </c>
      <c r="J64" s="113">
        <f>'Detalhamento ESB'!K5</f>
        <v>0</v>
      </c>
      <c r="K64" s="113" t="str">
        <f>IFERROR(IF(HLOOKUP(A64,PacoteXItem!$A40:$Z40,1,FALSE)&gt;0,IF(J64&gt;0,PacoteXItem!$AC40,"")),"")</f>
        <v/>
      </c>
      <c r="L64" s="113">
        <f>IFERROR(IF(HLOOKUP(A64,PacoteXItem!$A40:$Z40,1,FALSE)&gt;0,PacoteXItem!$AD40),"")</f>
        <v>137</v>
      </c>
      <c r="M64" s="113" t="str">
        <f t="shared" si="1"/>
        <v/>
      </c>
      <c r="N64" s="113" t="str">
        <f t="shared" si="2"/>
        <v/>
      </c>
      <c r="O64" s="10"/>
      <c r="P64" s="10"/>
      <c r="Q64" s="10"/>
      <c r="S64" s="7"/>
    </row>
    <row r="65" spans="1:19" ht="18" customHeight="1" x14ac:dyDescent="0.2">
      <c r="A65" s="111">
        <f t="shared" si="3"/>
        <v>23</v>
      </c>
      <c r="B65" s="13"/>
      <c r="C65" s="119" t="str">
        <f>IFERROR(IF(HLOOKUP(A65,PacoteXItem!$A41:$Z41,1,FALSE)&gt;0,PacoteXItem!$Y41,"-"),"-")</f>
        <v>ESB-Conectares Padrões</v>
      </c>
      <c r="D65" s="113" t="str">
        <f>IFERROR(IF(HLOOKUP(A65,PacoteXItem!$A41:$Z41,1,FALSE)&gt;0,PacoteXItem!$X41,"-"),"-")</f>
        <v>Desenvolvimento</v>
      </c>
      <c r="E65" s="113" t="str">
        <f>IFERROR(IF(HLOOKUP(A65,PacoteXItem!$A41:$Z41,1,FALSE)&gt;0,PacoteXItem!$Z41,"-"),"-")</f>
        <v>Número de Conectores</v>
      </c>
      <c r="F65" s="113">
        <f>'Detalhamento ESB'!C6</f>
        <v>0</v>
      </c>
      <c r="G65" s="113" t="str">
        <f>IFERROR(IF(HLOOKUP(A65,PacoteXItem!$A41:$Z41,1,FALSE)&gt;0,IF(F65&gt;0,PacoteXItem!$AA41,"")),"")</f>
        <v/>
      </c>
      <c r="H65" s="113">
        <f>'Detalhamento ESB'!G6</f>
        <v>0</v>
      </c>
      <c r="I65" s="113" t="str">
        <f>IFERROR(IF(HLOOKUP(A65,PacoteXItem!$A41:$Z41,1,FALSE)&gt;0,IF(H65&gt;0,PacoteXItem!$AB41,"")),"")</f>
        <v/>
      </c>
      <c r="J65" s="113">
        <f>'Detalhamento ESB'!K6</f>
        <v>0</v>
      </c>
      <c r="K65" s="113" t="str">
        <f>IFERROR(IF(HLOOKUP(A65,PacoteXItem!$A41:$Z41,1,FALSE)&gt;0,IF(J65&gt;0,PacoteXItem!$AC41,"")),"")</f>
        <v/>
      </c>
      <c r="L65" s="113">
        <f>IFERROR(IF(HLOOKUP(A65,PacoteXItem!$A41:$Z41,1,FALSE)&gt;0,PacoteXItem!$AD41),"")</f>
        <v>137</v>
      </c>
      <c r="M65" s="113" t="str">
        <f t="shared" si="1"/>
        <v/>
      </c>
      <c r="N65" s="113" t="str">
        <f t="shared" si="2"/>
        <v/>
      </c>
      <c r="O65" s="10"/>
      <c r="P65" s="10"/>
      <c r="Q65" s="10"/>
      <c r="S65" s="7"/>
    </row>
    <row r="66" spans="1:19" ht="18" customHeight="1" x14ac:dyDescent="0.2">
      <c r="A66" s="111">
        <f t="shared" si="3"/>
        <v>23</v>
      </c>
      <c r="B66" s="13"/>
      <c r="C66" s="119" t="str">
        <f>IFERROR(IF(HLOOKUP(A66,PacoteXItem!$A42:$Z42,1,FALSE)&gt;0,PacoteXItem!$Y42,"-"),"-")</f>
        <v>ESB-Conectores Customizados</v>
      </c>
      <c r="D66" s="113" t="str">
        <f>IFERROR(IF(HLOOKUP(A66,PacoteXItem!$A42:$Z42,1,FALSE)&gt;0,PacoteXItem!$X42,"-"),"-")</f>
        <v>Desenvolvimento</v>
      </c>
      <c r="E66" s="113" t="str">
        <f>IFERROR(IF(HLOOKUP(A66,PacoteXItem!$A42:$Z42,1,FALSE)&gt;0,PacoteXItem!$Z42,"-"),"-")</f>
        <v>Número de Conectores</v>
      </c>
      <c r="F66" s="113">
        <f>'Detalhamento ESB'!C7</f>
        <v>0</v>
      </c>
      <c r="G66" s="113" t="str">
        <f>IFERROR(IF(HLOOKUP(A66,PacoteXItem!$A42:$Z42,1,FALSE)&gt;0,IF(F66&gt;0,PacoteXItem!$AA42,"")),"")</f>
        <v/>
      </c>
      <c r="H66" s="113">
        <f>'Detalhamento ESB'!G7</f>
        <v>0</v>
      </c>
      <c r="I66" s="113" t="str">
        <f>IFERROR(IF(HLOOKUP(A66,PacoteXItem!$A42:$Z42,1,FALSE)&gt;0,IF(H66&gt;0,PacoteXItem!$AB42,"")),"")</f>
        <v/>
      </c>
      <c r="J66" s="113">
        <f>'Detalhamento ESB'!K7</f>
        <v>0</v>
      </c>
      <c r="K66" s="113" t="str">
        <f>IFERROR(IF(HLOOKUP(A66,PacoteXItem!$A42:$Z42,1,FALSE)&gt;0,IF(J66&gt;0,PacoteXItem!$AC42,"")),"")</f>
        <v/>
      </c>
      <c r="L66" s="113">
        <f>IFERROR(IF(HLOOKUP(A66,PacoteXItem!$A42:$Z42,1,FALSE)&gt;0,PacoteXItem!$AD42),"")</f>
        <v>137</v>
      </c>
      <c r="M66" s="113" t="str">
        <f t="shared" si="1"/>
        <v/>
      </c>
      <c r="N66" s="113" t="str">
        <f t="shared" si="2"/>
        <v/>
      </c>
      <c r="O66" s="10"/>
      <c r="P66" s="10"/>
      <c r="Q66" s="10"/>
      <c r="S66" s="7"/>
    </row>
    <row r="67" spans="1:19" ht="18" customHeight="1" x14ac:dyDescent="0.2">
      <c r="A67" s="111">
        <f t="shared" si="3"/>
        <v>23</v>
      </c>
      <c r="B67" s="13"/>
      <c r="C67" s="119" t="str">
        <f>IFERROR(IF(HLOOKUP(A67,PacoteXItem!$A43:$Z43,1,FALSE)&gt;0,PacoteXItem!$Y43,"-"),"-")</f>
        <v>ESB-E-mail Customizado de Alerta</v>
      </c>
      <c r="D67" s="113" t="str">
        <f>IFERROR(IF(HLOOKUP(A67,PacoteXItem!$A43:$Z43,1,FALSE)&gt;0,PacoteXItem!$X43,"-"),"-")</f>
        <v>Desenvolvimento</v>
      </c>
      <c r="E67" s="113" t="str">
        <f>IFERROR(IF(HLOOKUP(A67,PacoteXItem!$A43:$Z43,1,FALSE)&gt;0,PacoteXItem!$Z43,"-"),"-")</f>
        <v>Número de Tipos Mensagens</v>
      </c>
      <c r="F67" s="113">
        <f>'Detalhamento ESB'!C8</f>
        <v>0</v>
      </c>
      <c r="G67" s="113" t="str">
        <f>IFERROR(IF(HLOOKUP(A67,PacoteXItem!$A43:$Z43,1,FALSE)&gt;0,IF(F67&gt;0,PacoteXItem!$AA43,"")),"")</f>
        <v/>
      </c>
      <c r="H67" s="113">
        <f>'Detalhamento ESB'!G8</f>
        <v>0</v>
      </c>
      <c r="I67" s="113" t="str">
        <f>IFERROR(IF(HLOOKUP(A67,PacoteXItem!$A43:$Z43,1,FALSE)&gt;0,IF(H67&gt;0,PacoteXItem!$AB43,"")),"")</f>
        <v/>
      </c>
      <c r="J67" s="113">
        <f>'Detalhamento ESB'!K8</f>
        <v>0</v>
      </c>
      <c r="K67" s="113" t="str">
        <f>IFERROR(IF(HLOOKUP(A67,PacoteXItem!$A43:$Z43,1,FALSE)&gt;0,IF(J67&gt;0,PacoteXItem!$AC43,"")),"")</f>
        <v/>
      </c>
      <c r="L67" s="113">
        <f>IFERROR(IF(HLOOKUP(A67,PacoteXItem!$A43:$Z43,1,FALSE)&gt;0,PacoteXItem!$AD43),"")</f>
        <v>137</v>
      </c>
      <c r="M67" s="113" t="str">
        <f t="shared" si="1"/>
        <v/>
      </c>
      <c r="N67" s="113" t="str">
        <f t="shared" si="2"/>
        <v/>
      </c>
      <c r="O67" s="10"/>
      <c r="P67" s="10"/>
      <c r="Q67" s="10"/>
      <c r="S67" s="7"/>
    </row>
    <row r="68" spans="1:19" ht="18" customHeight="1" x14ac:dyDescent="0.2">
      <c r="A68" s="111">
        <f t="shared" si="3"/>
        <v>23</v>
      </c>
      <c r="B68" s="13"/>
      <c r="C68" s="120" t="str">
        <f>IFERROR(IF(HLOOKUP(A68,PacoteXItem!$A44:$Z44,1,FALSE)&gt;0,PacoteXItem!$Y44,"-"),"-")</f>
        <v>IDM-Integração Identity SSO</v>
      </c>
      <c r="D68" s="114" t="str">
        <f>IFERROR(IF(HLOOKUP(A68,PacoteXItem!$A44:$Z44,1,FALSE)&gt;0,PacoteXItem!$X44,"-"),"-")</f>
        <v>Desenvolvimento</v>
      </c>
      <c r="E68" s="114" t="str">
        <f>IFERROR(IF(HLOOKUP(A68,PacoteXItem!$A44:$Z44,1,FALSE)&gt;0,PacoteXItem!$Z44,"-"),"-")</f>
        <v>Número de Sistemas</v>
      </c>
      <c r="F68" s="114">
        <f>'Detalhamento Identity'!C3</f>
        <v>0</v>
      </c>
      <c r="G68" s="114" t="str">
        <f>IFERROR(IF(HLOOKUP(A68,PacoteXItem!$A44:$Z44,1,FALSE)&gt;0,IF(F68&gt;0,PacoteXItem!$AA44,"")),"")</f>
        <v/>
      </c>
      <c r="H68" s="114">
        <f>'Detalhamento Identity'!G3</f>
        <v>0</v>
      </c>
      <c r="I68" s="114" t="str">
        <f>IFERROR(IF(HLOOKUP(A68,PacoteXItem!$A44:$Z44,1,FALSE)&gt;0,IF(H68&gt;0,PacoteXItem!$AB44,"")),"")</f>
        <v/>
      </c>
      <c r="J68" s="114">
        <f>'Detalhamento Identity'!K3</f>
        <v>0</v>
      </c>
      <c r="K68" s="114" t="str">
        <f>IFERROR(IF(HLOOKUP(A68,PacoteXItem!$A44:$Z44,1,FALSE)&gt;0,IF(J68&gt;0,PacoteXItem!$AC44,"")),"")</f>
        <v/>
      </c>
      <c r="L68" s="114">
        <f>IFERROR(IF(HLOOKUP(A68,PacoteXItem!$A44:$Z44,1,FALSE)&gt;0,PacoteXItem!$AD44),"")</f>
        <v>137</v>
      </c>
      <c r="M68" s="114" t="str">
        <f t="shared" si="1"/>
        <v/>
      </c>
      <c r="N68" s="114" t="str">
        <f t="shared" si="2"/>
        <v/>
      </c>
      <c r="O68" s="10"/>
      <c r="P68" s="10"/>
      <c r="Q68" s="10"/>
      <c r="S68" s="7"/>
    </row>
    <row r="69" spans="1:19" ht="18" customHeight="1" x14ac:dyDescent="0.2">
      <c r="A69" s="111">
        <f t="shared" si="3"/>
        <v>23</v>
      </c>
      <c r="B69" s="13"/>
      <c r="C69" s="120" t="str">
        <f>IFERROR(IF(HLOOKUP(A69,PacoteXItem!$A45:$Z45,1,FALSE)&gt;0,PacoteXItem!$Y45,"-"),"-")</f>
        <v>IDM-Integração Identity Provisionamento / Desprovisionamento</v>
      </c>
      <c r="D69" s="114" t="str">
        <f>IFERROR(IF(HLOOKUP(A69,PacoteXItem!$A45:$Z45,1,FALSE)&gt;0,PacoteXItem!$X45,"-"),"-")</f>
        <v>Desenvolvimento</v>
      </c>
      <c r="E69" s="114" t="str">
        <f>IFERROR(IF(HLOOKUP(A69,PacoteXItem!$A45:$Z45,1,FALSE)&gt;0,PacoteXItem!$Z45,"-"),"-")</f>
        <v>Número de Sistemas</v>
      </c>
      <c r="F69" s="114">
        <f>'Detalhamento Identity'!C4</f>
        <v>0</v>
      </c>
      <c r="G69" s="114" t="str">
        <f>IFERROR(IF(HLOOKUP(A69,PacoteXItem!$A45:$Z45,1,FALSE)&gt;0,IF(F69&gt;0,PacoteXItem!$AA45,"")),"")</f>
        <v/>
      </c>
      <c r="H69" s="114">
        <f>'Detalhamento Identity'!G4</f>
        <v>0</v>
      </c>
      <c r="I69" s="114" t="str">
        <f>IFERROR(IF(HLOOKUP(A69,PacoteXItem!$A45:$Z45,1,FALSE)&gt;0,IF(H69&gt;0,PacoteXItem!$AB45,"")),"")</f>
        <v/>
      </c>
      <c r="J69" s="114">
        <f>'Detalhamento Identity'!K4</f>
        <v>0</v>
      </c>
      <c r="K69" s="114" t="str">
        <f>IFERROR(IF(HLOOKUP(A69,PacoteXItem!$A45:$Z45,1,FALSE)&gt;0,IF(J69&gt;0,PacoteXItem!$AC45,"")),"")</f>
        <v/>
      </c>
      <c r="L69" s="114">
        <f>IFERROR(IF(HLOOKUP(A69,PacoteXItem!$A45:$Z45,1,FALSE)&gt;0,PacoteXItem!$AD45),"")</f>
        <v>137</v>
      </c>
      <c r="M69" s="114" t="str">
        <f t="shared" si="1"/>
        <v/>
      </c>
      <c r="N69" s="114" t="str">
        <f t="shared" si="2"/>
        <v/>
      </c>
      <c r="O69" s="10"/>
      <c r="P69" s="10"/>
      <c r="Q69" s="10"/>
      <c r="S69" s="7"/>
    </row>
    <row r="70" spans="1:19" ht="18" customHeight="1" x14ac:dyDescent="0.2">
      <c r="A70" s="111">
        <f t="shared" si="3"/>
        <v>23</v>
      </c>
      <c r="B70" s="13"/>
      <c r="C70" s="120" t="str">
        <f>IFERROR(IF(HLOOKUP(A70,PacoteXItem!$A46:$Z46,1,FALSE)&gt;0,PacoteXItem!$Y46,"-"),"-")</f>
        <v>IDM-Integração Identity Menus e Segurança (RAC)</v>
      </c>
      <c r="D70" s="114" t="str">
        <f>IFERROR(IF(HLOOKUP(A70,PacoteXItem!$A46:$Z46,1,FALSE)&gt;0,PacoteXItem!$X46,"-"),"-")</f>
        <v>Desenvolvimento</v>
      </c>
      <c r="E70" s="114" t="str">
        <f>IFERROR(IF(HLOOKUP(A70,PacoteXItem!$A46:$Z46,1,FALSE)&gt;0,PacoteXItem!$Z46,"-"),"-")</f>
        <v>Número de Sistemas</v>
      </c>
      <c r="F70" s="114">
        <f>'Detalhamento Identity'!C5</f>
        <v>0</v>
      </c>
      <c r="G70" s="114" t="str">
        <f>IFERROR(IF(HLOOKUP(A70,PacoteXItem!$A46:$Z46,1,FALSE)&gt;0,IF(F70&gt;0,PacoteXItem!$AA46,"")),"")</f>
        <v/>
      </c>
      <c r="H70" s="114">
        <f>'Detalhamento Identity'!G5</f>
        <v>0</v>
      </c>
      <c r="I70" s="114" t="str">
        <f>IFERROR(IF(HLOOKUP(A70,PacoteXItem!$A46:$Z46,1,FALSE)&gt;0,IF(H70&gt;0,PacoteXItem!$AB46,"")),"")</f>
        <v/>
      </c>
      <c r="J70" s="114">
        <f>'Detalhamento Identity'!K5</f>
        <v>0</v>
      </c>
      <c r="K70" s="114" t="str">
        <f>IFERROR(IF(HLOOKUP(A70,PacoteXItem!$A46:$Z46,1,FALSE)&gt;0,IF(J70&gt;0,PacoteXItem!$AC46,"")),"")</f>
        <v/>
      </c>
      <c r="L70" s="114">
        <f>IFERROR(IF(HLOOKUP(A70,PacoteXItem!$A46:$Z46,1,FALSE)&gt;0,PacoteXItem!$AD46),"")</f>
        <v>137</v>
      </c>
      <c r="M70" s="114" t="str">
        <f t="shared" si="1"/>
        <v/>
      </c>
      <c r="N70" s="114" t="str">
        <f t="shared" si="2"/>
        <v/>
      </c>
      <c r="O70" s="10"/>
      <c r="P70" s="10"/>
      <c r="Q70" s="10"/>
      <c r="S70" s="7"/>
    </row>
    <row r="71" spans="1:19" ht="18" customHeight="1" x14ac:dyDescent="0.2">
      <c r="A71" s="111">
        <f t="shared" si="3"/>
        <v>23</v>
      </c>
      <c r="B71" s="13"/>
      <c r="C71" s="120" t="str">
        <f>IFERROR(IF(HLOOKUP(A71,PacoteXItem!$A47:$Z47,1,FALSE)&gt;0,PacoteXItem!$Y47,"-"),"-")</f>
        <v>IDM-Integração Pluging Browser</v>
      </c>
      <c r="D71" s="114" t="str">
        <f>IFERROR(IF(HLOOKUP(A71,PacoteXItem!$A47:$Z47,1,FALSE)&gt;0,PacoteXItem!$X47,"-"),"-")</f>
        <v>Desenvolvimento</v>
      </c>
      <c r="E71" s="114" t="str">
        <f>IFERROR(IF(HLOOKUP(A71,PacoteXItem!$A47:$Z47,1,FALSE)&gt;0,PacoteXItem!$Z47,"-"),"-")</f>
        <v>Número de Sistemas</v>
      </c>
      <c r="F71" s="114">
        <f>'Detalhamento Identity'!C6</f>
        <v>0</v>
      </c>
      <c r="G71" s="114" t="str">
        <f>IFERROR(IF(HLOOKUP(A71,PacoteXItem!$A47:$Z47,1,FALSE)&gt;0,IF(F71&gt;0,PacoteXItem!$AA47,"")),"")</f>
        <v/>
      </c>
      <c r="H71" s="114">
        <f>'Detalhamento Identity'!G6</f>
        <v>0</v>
      </c>
      <c r="I71" s="114" t="str">
        <f>IFERROR(IF(HLOOKUP(A71,PacoteXItem!$A47:$Z47,1,FALSE)&gt;0,IF(H71&gt;0,PacoteXItem!$AB47,"")),"")</f>
        <v/>
      </c>
      <c r="J71" s="114">
        <f>'Detalhamento Identity'!K6</f>
        <v>0</v>
      </c>
      <c r="K71" s="114" t="str">
        <f>IFERROR(IF(HLOOKUP(A71,PacoteXItem!$A47:$Z47,1,FALSE)&gt;0,IF(J71&gt;0,PacoteXItem!$AC47,"")),"")</f>
        <v/>
      </c>
      <c r="L71" s="114">
        <f>IFERROR(IF(HLOOKUP(A71,PacoteXItem!$A47:$Z47,1,FALSE)&gt;0,PacoteXItem!$AD47),"")</f>
        <v>137</v>
      </c>
      <c r="M71" s="114" t="str">
        <f t="shared" si="1"/>
        <v/>
      </c>
      <c r="N71" s="114" t="str">
        <f t="shared" si="2"/>
        <v/>
      </c>
      <c r="O71" s="10"/>
      <c r="P71" s="10"/>
      <c r="Q71" s="10"/>
      <c r="S71" s="7"/>
    </row>
    <row r="72" spans="1:19" ht="18" customHeight="1" x14ac:dyDescent="0.2">
      <c r="A72" s="111">
        <f t="shared" si="3"/>
        <v>23</v>
      </c>
      <c r="B72" s="13"/>
      <c r="C72" s="120" t="str">
        <f>IFERROR(IF(HLOOKUP(A72,PacoteXItem!$A48:$Z48,1,FALSE)&gt;0,PacoteXItem!$Y48,"-"),"-")</f>
        <v>IDM-Integração Desktop Launcher</v>
      </c>
      <c r="D72" s="114" t="str">
        <f>IFERROR(IF(HLOOKUP(A72,PacoteXItem!$A48:$Z48,1,FALSE)&gt;0,PacoteXItem!$X48,"-"),"-")</f>
        <v>Desenvolvimento</v>
      </c>
      <c r="E72" s="114" t="str">
        <f>IFERROR(IF(HLOOKUP(A72,PacoteXItem!$A48:$Z48,1,FALSE)&gt;0,PacoteXItem!$Z48,"-"),"-")</f>
        <v>Número de Sistemas</v>
      </c>
      <c r="F72" s="114">
        <f>'Detalhamento Identity'!C7</f>
        <v>0</v>
      </c>
      <c r="G72" s="114" t="str">
        <f>IFERROR(IF(HLOOKUP(A72,PacoteXItem!$A48:$Z48,1,FALSE)&gt;0,IF(F72&gt;0,PacoteXItem!$AA48,"")),"")</f>
        <v/>
      </c>
      <c r="H72" s="114">
        <f>'Detalhamento Identity'!G7</f>
        <v>0</v>
      </c>
      <c r="I72" s="114" t="str">
        <f>IFERROR(IF(HLOOKUP(A72,PacoteXItem!$A48:$Z48,1,FALSE)&gt;0,IF(H72&gt;0,PacoteXItem!$AB48,"")),"")</f>
        <v/>
      </c>
      <c r="J72" s="114">
        <f>'Detalhamento Identity'!K7</f>
        <v>0</v>
      </c>
      <c r="K72" s="114" t="str">
        <f>IFERROR(IF(HLOOKUP(A72,PacoteXItem!$A48:$Z48,1,FALSE)&gt;0,IF(J72&gt;0,PacoteXItem!$AC48,"")),"")</f>
        <v/>
      </c>
      <c r="L72" s="114">
        <f>IFERROR(IF(HLOOKUP(A72,PacoteXItem!$A48:$Z48,1,FALSE)&gt;0,PacoteXItem!$AD48),"")</f>
        <v>137</v>
      </c>
      <c r="M72" s="114" t="str">
        <f t="shared" si="1"/>
        <v/>
      </c>
      <c r="N72" s="114" t="str">
        <f t="shared" si="2"/>
        <v/>
      </c>
      <c r="O72" s="10"/>
      <c r="P72" s="10"/>
      <c r="Q72" s="10"/>
      <c r="S72" s="7"/>
    </row>
    <row r="73" spans="1:19" ht="18" customHeight="1" x14ac:dyDescent="0.2">
      <c r="A73" s="111">
        <f t="shared" si="3"/>
        <v>23</v>
      </c>
      <c r="B73" s="13"/>
      <c r="C73" s="120" t="str">
        <f>IFERROR(IF(HLOOKUP(A73,PacoteXItem!$A49:$Z49,1,FALSE)&gt;0,PacoteXItem!$Y49,"-"),"-")</f>
        <v>IDM-Relatórios Identity de Auditoria</v>
      </c>
      <c r="D73" s="114" t="str">
        <f>IFERROR(IF(HLOOKUP(A73,PacoteXItem!$A49:$Z49,1,FALSE)&gt;0,PacoteXItem!$X49,"-"),"-")</f>
        <v>Desenvolvimento</v>
      </c>
      <c r="E73" s="114" t="str">
        <f>IFERROR(IF(HLOOKUP(A73,PacoteXItem!$A49:$Z49,1,FALSE)&gt;0,PacoteXItem!$Z49,"-"),"-")</f>
        <v>Número de Sistemas</v>
      </c>
      <c r="F73" s="114">
        <f>'Detalhamento Identity'!C8</f>
        <v>0</v>
      </c>
      <c r="G73" s="114" t="str">
        <f>IFERROR(IF(HLOOKUP(A73,PacoteXItem!$A49:$Z49,1,FALSE)&gt;0,IF(F73&gt;0,PacoteXItem!$AA49,"")),"")</f>
        <v/>
      </c>
      <c r="H73" s="114">
        <f>'Detalhamento WCM'!G21</f>
        <v>0</v>
      </c>
      <c r="I73" s="114" t="str">
        <f>IFERROR(IF(HLOOKUP(A73,PacoteXItem!$A49:$Z49,1,FALSE)&gt;0,IF(H73&gt;0,PacoteXItem!$AB49,"")),"")</f>
        <v/>
      </c>
      <c r="J73" s="114">
        <f>'Detalhamento WCM'!K21</f>
        <v>0</v>
      </c>
      <c r="K73" s="114" t="str">
        <f>IFERROR(IF(HLOOKUP(A73,PacoteXItem!$A49:$Z49,1,FALSE)&gt;0,IF(J73&gt;0,PacoteXItem!$AC49,"")),"")</f>
        <v/>
      </c>
      <c r="L73" s="114">
        <f>IFERROR(IF(HLOOKUP(A73,PacoteXItem!$A49:$Z49,1,FALSE)&gt;0,PacoteXItem!$AD49),"")</f>
        <v>137</v>
      </c>
      <c r="M73" s="114" t="str">
        <f t="shared" ref="M73:M79" si="4">IF((IFERROR(G73*F73,0)+IFERROR(H73*I73,0)+IFERROR(J73*K73,0))&gt;0,(IFERROR(G73*F73,0)+IFERROR(H73*I73,0)+IFERROR(J73*K73,0))*(1+$D$11),"")</f>
        <v/>
      </c>
      <c r="N73" s="114" t="str">
        <f t="shared" ref="N73:N79" si="5">IFERROR(M73*L73,"")</f>
        <v/>
      </c>
      <c r="O73" s="10"/>
      <c r="P73" s="10"/>
      <c r="Q73" s="10"/>
      <c r="S73" s="7"/>
    </row>
    <row r="74" spans="1:19" ht="18" customHeight="1" x14ac:dyDescent="0.2">
      <c r="A74" s="111">
        <f t="shared" si="3"/>
        <v>23</v>
      </c>
      <c r="B74" s="13"/>
      <c r="C74" s="144" t="str">
        <f>IFERROR(IF(HLOOKUP(A74,PacoteXItem!$A50:$Z50,1,FALSE)&gt;0,PacoteXItem!$Y50,"-"),"-")</f>
        <v>Parametrização Inicial</v>
      </c>
      <c r="D74" s="145" t="str">
        <f>IFERROR(IF(HLOOKUP(A74,PacoteXItem!$A50:$Z50,1,FALSE)&gt;0,PacoteXItem!$X50,"-"),"-")</f>
        <v>Consultoria</v>
      </c>
      <c r="E74" s="145" t="str">
        <f>IFERROR(IF(HLOOKUP(A74,PacoteXItem!$A50:$Z50,1,FALSE)&gt;0,PacoteXItem!$Z50,"-"),"-")</f>
        <v>Por projeto</v>
      </c>
      <c r="F74" s="145">
        <f>'Detalhamento LMS'!C3</f>
        <v>0</v>
      </c>
      <c r="G74" s="145" t="str">
        <f>IFERROR(IF(HLOOKUP(A74,PacoteXItem!$A50:$Z50,1,FALSE)&gt;0,IF(F74&gt;0,PacoteXItem!$AA50,"")),"")</f>
        <v/>
      </c>
      <c r="H74" s="145">
        <f>'Detalhamento LMS'!G3</f>
        <v>0</v>
      </c>
      <c r="I74" s="145" t="str">
        <f>IFERROR(IF(HLOOKUP(A74,PacoteXItem!$A50:$Z50,1,FALSE)&gt;0,IF(H74&gt;0,PacoteXItem!$AB50,"")),"")</f>
        <v/>
      </c>
      <c r="J74" s="145">
        <f>'Detalhamento LMS'!K3</f>
        <v>0</v>
      </c>
      <c r="K74" s="145" t="str">
        <f>IFERROR(IF(HLOOKUP(A74,PacoteXItem!$A50:$Z50,1,FALSE)&gt;0,IF(J74&gt;0,PacoteXItem!$AC50,"")),"")</f>
        <v/>
      </c>
      <c r="L74" s="145">
        <f>IFERROR(IF(HLOOKUP(A74,PacoteXItem!$A50:$Z50,1,FALSE)&gt;0,PacoteXItem!$AD50),"")</f>
        <v>137</v>
      </c>
      <c r="M74" s="145" t="str">
        <f t="shared" si="4"/>
        <v/>
      </c>
      <c r="N74" s="145" t="str">
        <f t="shared" si="5"/>
        <v/>
      </c>
      <c r="O74" s="10"/>
      <c r="P74" s="10"/>
      <c r="Q74" s="10"/>
      <c r="S74" s="7"/>
    </row>
    <row r="75" spans="1:19" ht="18" customHeight="1" x14ac:dyDescent="0.2">
      <c r="A75" s="111">
        <f t="shared" si="3"/>
        <v>23</v>
      </c>
      <c r="B75" s="13"/>
      <c r="C75" s="144" t="str">
        <f>IFERROR(IF(HLOOKUP(A75,PacoteXItem!$A51:$Z51,1,FALSE)&gt;0,PacoteXItem!$Y51,"-"),"-")</f>
        <v>Levantamento do projeto</v>
      </c>
      <c r="D75" s="145" t="str">
        <f>IFERROR(IF(HLOOKUP(A75,PacoteXItem!$A51:$Z51,1,FALSE)&gt;0,PacoteXItem!$X51,"-"),"-")</f>
        <v>Consultoria</v>
      </c>
      <c r="E75" s="145" t="str">
        <f>IFERROR(IF(HLOOKUP(A75,PacoteXItem!$A51:$Z51,1,FALSE)&gt;0,PacoteXItem!$Z51,"-"),"-")</f>
        <v>Por projeto</v>
      </c>
      <c r="F75" s="145">
        <f>'Detalhamento LMS'!C4</f>
        <v>0</v>
      </c>
      <c r="G75" s="145" t="str">
        <f>IFERROR(IF(HLOOKUP(A75,PacoteXItem!$A51:$Z51,1,FALSE)&gt;0,IF(F75&gt;0,PacoteXItem!$AA51,"")),"")</f>
        <v/>
      </c>
      <c r="H75" s="145">
        <f>'Detalhamento LMS'!G4</f>
        <v>0</v>
      </c>
      <c r="I75" s="145" t="str">
        <f>IFERROR(IF(HLOOKUP(A75,PacoteXItem!$A51:$Z51,1,FALSE)&gt;0,IF(H75&gt;0,PacoteXItem!$AB51,"")),"")</f>
        <v/>
      </c>
      <c r="J75" s="145">
        <f>'Detalhamento LMS'!K4</f>
        <v>0</v>
      </c>
      <c r="K75" s="145" t="str">
        <f>IFERROR(IF(HLOOKUP(A75,PacoteXItem!$A51:$Z51,1,FALSE)&gt;0,IF(J75&gt;0,PacoteXItem!$AC51,"")),"")</f>
        <v/>
      </c>
      <c r="L75" s="145">
        <f>IFERROR(IF(HLOOKUP(A75,PacoteXItem!$A51:$Z51,1,FALSE)&gt;0,PacoteXItem!$AD51),"")</f>
        <v>137</v>
      </c>
      <c r="M75" s="145" t="str">
        <f t="shared" si="4"/>
        <v/>
      </c>
      <c r="N75" s="145" t="str">
        <f t="shared" si="5"/>
        <v/>
      </c>
      <c r="O75" s="10"/>
      <c r="P75" s="10"/>
      <c r="Q75" s="10"/>
      <c r="S75" s="7"/>
    </row>
    <row r="76" spans="1:19" ht="18" customHeight="1" x14ac:dyDescent="0.2">
      <c r="A76" s="111">
        <f t="shared" si="3"/>
        <v>23</v>
      </c>
      <c r="B76" s="13"/>
      <c r="C76" s="144" t="str">
        <f>IFERROR(IF(HLOOKUP(A76,PacoteXItem!$A52:$Z52,1,FALSE)&gt;0,PacoteXItem!$Y51,"-"),"-")</f>
        <v>Levantamento do projeto</v>
      </c>
      <c r="D76" s="145" t="str">
        <f>IFERROR(IF(HLOOKUP(A76,PacoteXItem!$A52:$Z52,1,FALSE)&gt;0,PacoteXItem!$X52,"-"),"-")</f>
        <v>Consultoria</v>
      </c>
      <c r="E76" s="145" t="str">
        <f>IFERROR(IF(HLOOKUP(A76,PacoteXItem!$A52:$Z52,1,FALSE)&gt;0,PacoteXItem!$Z52,"-"),"-")</f>
        <v>Por Conteudo</v>
      </c>
      <c r="F76" s="145">
        <f>'Detalhamento LMS'!C5</f>
        <v>0</v>
      </c>
      <c r="G76" s="145" t="str">
        <f>IFERROR(IF(HLOOKUP(A76,PacoteXItem!$A52:$Z52,1,FALSE)&gt;0,IF(F76&gt;0,PacoteXItem!$AA52,"")),"")</f>
        <v/>
      </c>
      <c r="H76" s="145">
        <f>'Detalhamento LMS'!G5</f>
        <v>0</v>
      </c>
      <c r="I76" s="145" t="str">
        <f>IFERROR(IF(HLOOKUP(A76,PacoteXItem!$A52:$Z52,1,FALSE)&gt;0,IF(H76&gt;0,PacoteXItem!$AB52,"")),"")</f>
        <v/>
      </c>
      <c r="J76" s="145">
        <f>'Detalhamento LMS'!K5</f>
        <v>0</v>
      </c>
      <c r="K76" s="145" t="str">
        <f>IFERROR(IF(HLOOKUP(A76,PacoteXItem!$A52:$Z52,1,FALSE)&gt;0,IF(J76&gt;0,PacoteXItem!$AC52,"")),"")</f>
        <v/>
      </c>
      <c r="L76" s="145">
        <f>IFERROR(IF(HLOOKUP(A76,PacoteXItem!$A52:$Z52,1,FALSE)&gt;0,PacoteXItem!$AD52),"")</f>
        <v>137</v>
      </c>
      <c r="M76" s="145" t="str">
        <f t="shared" si="4"/>
        <v/>
      </c>
      <c r="N76" s="145" t="str">
        <f t="shared" si="5"/>
        <v/>
      </c>
      <c r="O76" s="10"/>
      <c r="P76" s="10"/>
      <c r="Q76" s="10"/>
      <c r="S76" s="7"/>
    </row>
    <row r="77" spans="1:19" ht="18" customHeight="1" x14ac:dyDescent="0.2">
      <c r="A77" s="111">
        <f t="shared" si="3"/>
        <v>23</v>
      </c>
      <c r="B77" s="13"/>
      <c r="C77" s="144" t="str">
        <f>IFERROR(IF(HLOOKUP(A77,PacoteXItem!$A53:$Z53,1,FALSE)&gt;0,PacoteXItem!$Y53,"-"),"-")</f>
        <v>Cadastrar e configurar 1 certificado</v>
      </c>
      <c r="D77" s="145" t="str">
        <f>IFERROR(IF(HLOOKUP(A77,PacoteXItem!$A53:$Z53,1,FALSE)&gt;0,PacoteXItem!$X53,"-"),"-")</f>
        <v>Consultoria</v>
      </c>
      <c r="E77" s="145" t="str">
        <f>IFERROR(IF(HLOOKUP(A77,PacoteXItem!$A53:$Z53,1,FALSE)&gt;0,PacoteXItem!$Z53,"-"),"-")</f>
        <v>Por Certificado</v>
      </c>
      <c r="F77" s="145">
        <f>'Detalhamento LMS'!C6</f>
        <v>0</v>
      </c>
      <c r="G77" s="145" t="str">
        <f>IFERROR(IF(HLOOKUP(A77,PacoteXItem!$A53:$Z53,1,FALSE)&gt;0,IF(F77&gt;0,PacoteXItem!$AA53,"")),"")</f>
        <v/>
      </c>
      <c r="H77" s="145">
        <f>'Detalhamento LMS'!G6</f>
        <v>0</v>
      </c>
      <c r="I77" s="145" t="str">
        <f>IFERROR(IF(HLOOKUP(A77,PacoteXItem!$A53:$Z53,1,FALSE)&gt;0,IF(H77&gt;0,PacoteXItem!$AB53,"")),"")</f>
        <v/>
      </c>
      <c r="J77" s="145">
        <f>'Detalhamento LMS'!K6</f>
        <v>0</v>
      </c>
      <c r="K77" s="145" t="str">
        <f>IFERROR(IF(HLOOKUP(A77,PacoteXItem!$A53:$Z53,1,FALSE)&gt;0,IF(J77&gt;0,PacoteXItem!$AC53,"")),"")</f>
        <v/>
      </c>
      <c r="L77" s="145">
        <f>IFERROR(IF(HLOOKUP(A77,PacoteXItem!$A53:$Z53,1,FALSE)&gt;0,PacoteXItem!$AD53),"")</f>
        <v>137</v>
      </c>
      <c r="M77" s="145" t="str">
        <f t="shared" si="4"/>
        <v/>
      </c>
      <c r="N77" s="145" t="str">
        <f t="shared" si="5"/>
        <v/>
      </c>
      <c r="O77" s="10"/>
      <c r="P77" s="10"/>
      <c r="Q77" s="10"/>
      <c r="S77" s="7"/>
    </row>
    <row r="78" spans="1:19" ht="18" customHeight="1" x14ac:dyDescent="0.2">
      <c r="A78" s="111">
        <f t="shared" si="3"/>
        <v>23</v>
      </c>
      <c r="B78" s="13"/>
      <c r="C78" s="144" t="str">
        <f>IFERROR(IF(HLOOKUP(A78,PacoteXItem!$A54:$Z54,1,FALSE)&gt;0,PacoteXItem!$Y54,"-"),"-")</f>
        <v>Cadastrar e configurar conta do tipo tempo</v>
      </c>
      <c r="D78" s="145" t="str">
        <f>IFERROR(IF(HLOOKUP(A78,PacoteXItem!$A54:$Z54,1,FALSE)&gt;0,PacoteXItem!$X54,"-"),"-")</f>
        <v>Consultoria</v>
      </c>
      <c r="E78" s="145" t="str">
        <f>IFERROR(IF(HLOOKUP(A78,PacoteXItem!$A54:$Z54,1,FALSE)&gt;0,PacoteXItem!$Z54,"-"),"-")</f>
        <v>Por Conta</v>
      </c>
      <c r="F78" s="145">
        <f>'Detalhamento LMS'!C7</f>
        <v>0</v>
      </c>
      <c r="G78" s="145" t="str">
        <f>IFERROR(IF(HLOOKUP(A78,PacoteXItem!$A54:$Z54,1,FALSE)&gt;0,IF(F78&gt;0,PacoteXItem!$AA54,"")),"")</f>
        <v/>
      </c>
      <c r="H78" s="145">
        <f>'Detalhamento LMS'!G7</f>
        <v>0</v>
      </c>
      <c r="I78" s="145" t="str">
        <f>IFERROR(IF(HLOOKUP(A78,PacoteXItem!$A54:$Z54,1,FALSE)&gt;0,IF(H78&gt;0,PacoteXItem!$AB54,"")),"")</f>
        <v/>
      </c>
      <c r="J78" s="145">
        <f>'Detalhamento LMS'!K7</f>
        <v>0</v>
      </c>
      <c r="K78" s="145" t="str">
        <f>IFERROR(IF(HLOOKUP(A78,PacoteXItem!$A54:$Z54,1,FALSE)&gt;0,IF(J78&gt;0,PacoteXItem!$AC54,"")),"")</f>
        <v/>
      </c>
      <c r="L78" s="145">
        <f>IFERROR(IF(HLOOKUP(A78,PacoteXItem!$A54:$Z54,1,FALSE)&gt;0,PacoteXItem!$AD54),"")</f>
        <v>137</v>
      </c>
      <c r="M78" s="145" t="str">
        <f t="shared" si="4"/>
        <v/>
      </c>
      <c r="N78" s="145" t="str">
        <f t="shared" si="5"/>
        <v/>
      </c>
      <c r="O78" s="10"/>
      <c r="P78" s="10"/>
      <c r="Q78" s="10"/>
      <c r="S78" s="7"/>
    </row>
    <row r="79" spans="1:19" ht="18" customHeight="1" x14ac:dyDescent="0.2">
      <c r="A79" s="111">
        <f t="shared" si="3"/>
        <v>23</v>
      </c>
      <c r="B79" s="13"/>
      <c r="C79" s="144" t="str">
        <f>IFERROR(IF(HLOOKUP(A79,PacoteXItem!$A55:$Z55,1,FALSE)&gt;0,PacoteXItem!$Y55,"-"),"-")</f>
        <v>Cadastrar e configurar conta do tipo crédito</v>
      </c>
      <c r="D79" s="145" t="str">
        <f>IFERROR(IF(HLOOKUP(A79,PacoteXItem!$A55:$Z55,1,FALSE)&gt;0,PacoteXItem!$X55,"-"),"-")</f>
        <v>Consultoria</v>
      </c>
      <c r="E79" s="145" t="str">
        <f>IFERROR(IF(HLOOKUP(A79,PacoteXItem!$A55:$Z55,1,FALSE)&gt;0,PacoteXItem!$Z55,"-"),"-")</f>
        <v>Por Conta</v>
      </c>
      <c r="F79" s="145">
        <f>'Detalhamento LMS'!C8</f>
        <v>0</v>
      </c>
      <c r="G79" s="145" t="str">
        <f>IFERROR(IF(HLOOKUP(A79,PacoteXItem!$A55:$Z55,1,FALSE)&gt;0,IF(F79&gt;0,PacoteXItem!$AA55,"")),"")</f>
        <v/>
      </c>
      <c r="H79" s="145">
        <f>'Detalhamento LMS'!G8</f>
        <v>0</v>
      </c>
      <c r="I79" s="145" t="str">
        <f>IFERROR(IF(HLOOKUP(A79,PacoteXItem!$A55:$Z55,1,FALSE)&gt;0,IF(H79&gt;0,PacoteXItem!$AB55,"")),"")</f>
        <v/>
      </c>
      <c r="J79" s="145">
        <f>'Detalhamento LMS'!K8</f>
        <v>0</v>
      </c>
      <c r="K79" s="145" t="str">
        <f>IFERROR(IF(HLOOKUP(A79,PacoteXItem!$A55:$Z55,1,FALSE)&gt;0,IF(J79&gt;0,PacoteXItem!$AC55,"")),"")</f>
        <v/>
      </c>
      <c r="L79" s="145">
        <f>IFERROR(IF(HLOOKUP(A79,PacoteXItem!$A55:$Z55,1,FALSE)&gt;0,PacoteXItem!$AD55),"")</f>
        <v>137</v>
      </c>
      <c r="M79" s="145" t="str">
        <f t="shared" si="4"/>
        <v/>
      </c>
      <c r="N79" s="145" t="str">
        <f t="shared" si="5"/>
        <v/>
      </c>
      <c r="O79" s="10"/>
      <c r="P79" s="10"/>
      <c r="Q79" s="10"/>
      <c r="S79" s="7"/>
    </row>
    <row r="80" spans="1:19" ht="18" customHeight="1" x14ac:dyDescent="0.2">
      <c r="A80" s="111">
        <f t="shared" si="3"/>
        <v>23</v>
      </c>
      <c r="B80" s="13"/>
      <c r="C80" s="144" t="str">
        <f>IFERROR(IF(HLOOKUP(A80,PacoteXItem!$A56:$Z56,1,FALSE)&gt;0,PacoteXItem!$Y56,"-"),"-")</f>
        <v>Cadastrar e configurar a conta padrão</v>
      </c>
      <c r="D80" s="145" t="str">
        <f>IFERROR(IF(HLOOKUP(A80,PacoteXItem!$A56:$Z56,1,FALSE)&gt;0,PacoteXItem!$X56,"-"),"-")</f>
        <v>Consultoria</v>
      </c>
      <c r="E80" s="145" t="str">
        <f>IFERROR(IF(HLOOKUP(A80,PacoteXItem!$A56:$Z56,1,FALSE)&gt;0,PacoteXItem!$Z56,"-"),"-")</f>
        <v>Por Conta</v>
      </c>
      <c r="F80" s="145">
        <f>'Detalhamento LMS'!C9</f>
        <v>0</v>
      </c>
      <c r="G80" s="145" t="str">
        <f>IFERROR(IF(HLOOKUP(A80,PacoteXItem!$A56:$Z56,1,FALSE)&gt;0,IF(F80&gt;0,PacoteXItem!$AA56,"")),"")</f>
        <v/>
      </c>
      <c r="H80" s="145">
        <f>'Detalhamento LMS'!G9</f>
        <v>0</v>
      </c>
      <c r="I80" s="145" t="str">
        <f>IFERROR(IF(HLOOKUP(A80,PacoteXItem!$A56:$Z56,1,FALSE)&gt;0,IF(H80&gt;0,PacoteXItem!$AB56,"")),"")</f>
        <v/>
      </c>
      <c r="J80" s="145">
        <f>'Detalhamento LMS'!K9</f>
        <v>0</v>
      </c>
      <c r="K80" s="145" t="str">
        <f>IFERROR(IF(HLOOKUP(A80,PacoteXItem!$A56:$Z56,1,FALSE)&gt;0,IF(J80&gt;0,PacoteXItem!$AC56,"")),"")</f>
        <v/>
      </c>
      <c r="L80" s="145">
        <f>IFERROR(IF(HLOOKUP(A80,PacoteXItem!$A56:$Z56,1,FALSE)&gt;0,PacoteXItem!$AD56),"")</f>
        <v>137</v>
      </c>
      <c r="M80" s="145" t="str">
        <f t="shared" ref="M80:M93" si="6">IF((IFERROR(G80*F80,0)+IFERROR(H80*I80,0)+IFERROR(J80*K80,0))&gt;0,(IFERROR(G80*F80,0)+IFERROR(H80*I80,0)+IFERROR(J80*K80,0))*(1+$D$11),"")</f>
        <v/>
      </c>
      <c r="N80" s="145" t="str">
        <f t="shared" ref="N80:N93" si="7">IFERROR(M80*L80,"")</f>
        <v/>
      </c>
      <c r="O80" s="10"/>
      <c r="P80" s="10"/>
      <c r="Q80" s="10"/>
      <c r="S80" s="7"/>
    </row>
    <row r="81" spans="1:19" ht="18" customHeight="1" x14ac:dyDescent="0.2">
      <c r="A81" s="111">
        <f t="shared" si="3"/>
        <v>23</v>
      </c>
      <c r="B81" s="13"/>
      <c r="C81" s="144" t="str">
        <f>IFERROR(IF(HLOOKUP(A81,PacoteXItem!$A57:$Z57,1,FALSE)&gt;0,PacoteXItem!$Y57,"-"),"-")</f>
        <v>Cadastrar Pastas no Catálogo de Treinamento</v>
      </c>
      <c r="D81" s="145" t="str">
        <f>IFERROR(IF(HLOOKUP(A81,PacoteXItem!$A57:$Z57,1,FALSE)&gt;0,PacoteXItem!$X57,"-"),"-")</f>
        <v>Consultoria</v>
      </c>
      <c r="E81" s="145" t="str">
        <f>IFERROR(IF(HLOOKUP(A81,PacoteXItem!$A57:$Z57,1,FALSE)&gt;0,PacoteXItem!$Z57,"-"),"-")</f>
        <v>Por Pasta</v>
      </c>
      <c r="F81" s="145">
        <f>'Detalhamento LMS'!C10</f>
        <v>0</v>
      </c>
      <c r="G81" s="145" t="str">
        <f>IFERROR(IF(HLOOKUP(A81,PacoteXItem!$A57:$Z57,1,FALSE)&gt;0,IF(F81&gt;0,PacoteXItem!$AA57,"")),"")</f>
        <v/>
      </c>
      <c r="H81" s="145">
        <f>'Detalhamento LMS'!G10</f>
        <v>0</v>
      </c>
      <c r="I81" s="145" t="str">
        <f>IFERROR(IF(HLOOKUP(A81,PacoteXItem!$A57:$Z57,1,FALSE)&gt;0,IF(H81&gt;0,PacoteXItem!$AB57,"")),"")</f>
        <v/>
      </c>
      <c r="J81" s="145">
        <f>'Detalhamento LMS'!K10</f>
        <v>0</v>
      </c>
      <c r="K81" s="145" t="str">
        <f>IFERROR(IF(HLOOKUP(A81,PacoteXItem!$A57:$Z57,1,FALSE)&gt;0,IF(J81&gt;0,PacoteXItem!$AC57,"")),"")</f>
        <v/>
      </c>
      <c r="L81" s="145">
        <f>IFERROR(IF(HLOOKUP(A81,PacoteXItem!$A57:$Z57,1,FALSE)&gt;0,PacoteXItem!$AD57),"")</f>
        <v>137</v>
      </c>
      <c r="M81" s="145" t="str">
        <f t="shared" si="6"/>
        <v/>
      </c>
      <c r="N81" s="145" t="str">
        <f t="shared" si="7"/>
        <v/>
      </c>
      <c r="O81" s="10"/>
      <c r="P81" s="10"/>
      <c r="Q81" s="10"/>
      <c r="S81" s="7"/>
    </row>
    <row r="82" spans="1:19" ht="18" customHeight="1" x14ac:dyDescent="0.2">
      <c r="A82" s="111">
        <f t="shared" si="3"/>
        <v>23</v>
      </c>
      <c r="B82" s="13"/>
      <c r="C82" s="144" t="str">
        <f>IFERROR(IF(HLOOKUP(A82,PacoteXItem!$A58:$Z58,1,FALSE)&gt;0,PacoteXItem!$Y58,"-"),"-")</f>
        <v>Cadastrar Pastas no Catálogo de Disciplinas/Turmas</v>
      </c>
      <c r="D82" s="145" t="str">
        <f>IFERROR(IF(HLOOKUP(A82,PacoteXItem!$A58:$Z58,1,FALSE)&gt;0,PacoteXItem!$X58,"-"),"-")</f>
        <v>Consultoria</v>
      </c>
      <c r="E82" s="145" t="str">
        <f>IFERROR(IF(HLOOKUP(A82,PacoteXItem!$A58:$Z58,1,FALSE)&gt;0,PacoteXItem!$Z58,"-"),"-")</f>
        <v>Por Pasta</v>
      </c>
      <c r="F82" s="145">
        <f>'Detalhamento LMS'!C11</f>
        <v>0</v>
      </c>
      <c r="G82" s="145" t="str">
        <f>IFERROR(IF(HLOOKUP(A82,PacoteXItem!$A58:$Z58,1,FALSE)&gt;0,IF(F82&gt;0,PacoteXItem!$AA58,"")),"")</f>
        <v/>
      </c>
      <c r="H82" s="145">
        <f>'Detalhamento LMS'!G11</f>
        <v>0</v>
      </c>
      <c r="I82" s="145" t="str">
        <f>IFERROR(IF(HLOOKUP(A82,PacoteXItem!$A58:$Z58,1,FALSE)&gt;0,IF(H82&gt;0,PacoteXItem!$AB58,"")),"")</f>
        <v/>
      </c>
      <c r="J82" s="145">
        <f>'Detalhamento LMS'!K11</f>
        <v>0</v>
      </c>
      <c r="K82" s="145" t="str">
        <f>IFERROR(IF(HLOOKUP(A82,PacoteXItem!$A58:$Z58,1,FALSE)&gt;0,IF(J82&gt;0,PacoteXItem!$AC58,"")),"")</f>
        <v/>
      </c>
      <c r="L82" s="145">
        <f>IFERROR(IF(HLOOKUP(A82,PacoteXItem!$A58:$Z58,1,FALSE)&gt;0,PacoteXItem!$AD58),"")</f>
        <v>137</v>
      </c>
      <c r="M82" s="145" t="str">
        <f t="shared" si="6"/>
        <v/>
      </c>
      <c r="N82" s="145" t="str">
        <f t="shared" si="7"/>
        <v/>
      </c>
      <c r="O82" s="10"/>
      <c r="P82" s="10"/>
      <c r="Q82" s="10"/>
      <c r="S82" s="7"/>
    </row>
    <row r="83" spans="1:19" ht="18" customHeight="1" x14ac:dyDescent="0.2">
      <c r="A83" s="111">
        <f t="shared" si="3"/>
        <v>23</v>
      </c>
      <c r="B83" s="13"/>
      <c r="C83" s="144" t="str">
        <f>IFERROR(IF(HLOOKUP(A83,PacoteXItem!$A59:$Z59,1,FALSE)&gt;0,PacoteXItem!$Y59,"-"),"-")</f>
        <v>Cadastrar Treinamento com Pré-Teste, Conteúdo e Pós-Teste</v>
      </c>
      <c r="D83" s="145" t="str">
        <f>IFERROR(IF(HLOOKUP(A83,PacoteXItem!$A59:$Z59,1,FALSE)&gt;0,PacoteXItem!$X59,"-"),"-")</f>
        <v>Consultoria</v>
      </c>
      <c r="E83" s="145" t="str">
        <f>IFERROR(IF(HLOOKUP(A83,PacoteXItem!$A59:$Z59,1,FALSE)&gt;0,PacoteXItem!$Z59,"-"),"-")</f>
        <v>Por Treinametno</v>
      </c>
      <c r="F83" s="145">
        <f>'Detalhamento LMS'!C12</f>
        <v>0</v>
      </c>
      <c r="G83" s="145" t="str">
        <f>IFERROR(IF(HLOOKUP(A83,PacoteXItem!$A59:$Z59,1,FALSE)&gt;0,IF(F83&gt;0,PacoteXItem!$AA59,"")),"")</f>
        <v/>
      </c>
      <c r="H83" s="145">
        <f>'Detalhamento LMS'!G12</f>
        <v>0</v>
      </c>
      <c r="I83" s="145" t="str">
        <f>IFERROR(IF(HLOOKUP(A83,PacoteXItem!$A59:$Z59,1,FALSE)&gt;0,IF(H83&gt;0,PacoteXItem!$AB59,"")),"")</f>
        <v/>
      </c>
      <c r="J83" s="145">
        <f>'Detalhamento LMS'!K12</f>
        <v>0</v>
      </c>
      <c r="K83" s="145" t="str">
        <f>IFERROR(IF(HLOOKUP(A83,PacoteXItem!$A59:$Z59,1,FALSE)&gt;0,IF(J83&gt;0,PacoteXItem!$AC59,"")),"")</f>
        <v/>
      </c>
      <c r="L83" s="145">
        <f>IFERROR(IF(HLOOKUP(A83,PacoteXItem!$A59:$Z59,1,FALSE)&gt;0,PacoteXItem!$AD59),"")</f>
        <v>137</v>
      </c>
      <c r="M83" s="145" t="str">
        <f t="shared" si="6"/>
        <v/>
      </c>
      <c r="N83" s="145" t="str">
        <f t="shared" si="7"/>
        <v/>
      </c>
      <c r="O83" s="10"/>
      <c r="P83" s="10"/>
      <c r="Q83" s="10"/>
      <c r="S83" s="7"/>
    </row>
    <row r="84" spans="1:19" ht="18" customHeight="1" x14ac:dyDescent="0.2">
      <c r="A84" s="111">
        <f t="shared" si="3"/>
        <v>23</v>
      </c>
      <c r="B84" s="13"/>
      <c r="C84" s="144" t="str">
        <f>IFERROR(IF(HLOOKUP(A84,PacoteXItem!$A60:$Z60,1,FALSE)&gt;0,PacoteXItem!$Y60,"-"),"-")</f>
        <v>Cadastrar Trilha de Aprendizado</v>
      </c>
      <c r="D84" s="145" t="str">
        <f>IFERROR(IF(HLOOKUP(A84,PacoteXItem!$A60:$Z60,1,FALSE)&gt;0,PacoteXItem!$X60,"-"),"-")</f>
        <v>Consultoria</v>
      </c>
      <c r="E84" s="145" t="str">
        <f>IFERROR(IF(HLOOKUP(A84,PacoteXItem!$A60:$Z60,1,FALSE)&gt;0,PacoteXItem!$Z60,"-"),"-")</f>
        <v>Por Trilha</v>
      </c>
      <c r="F84" s="145">
        <f>'Detalhamento LMS'!C13</f>
        <v>0</v>
      </c>
      <c r="G84" s="145" t="str">
        <f>IFERROR(IF(HLOOKUP(A84,PacoteXItem!$A60:$Z60,1,FALSE)&gt;0,IF(F84&gt;0,PacoteXItem!$AA60,"")),"")</f>
        <v/>
      </c>
      <c r="H84" s="145">
        <f>'Detalhamento LMS'!G13</f>
        <v>0</v>
      </c>
      <c r="I84" s="145" t="str">
        <f>IFERROR(IF(HLOOKUP(A84,PacoteXItem!$A60:$Z60,1,FALSE)&gt;0,IF(H84&gt;0,PacoteXItem!$AB60,"")),"")</f>
        <v/>
      </c>
      <c r="J84" s="145">
        <f>'Detalhamento LMS'!K13</f>
        <v>0</v>
      </c>
      <c r="K84" s="145" t="str">
        <f>IFERROR(IF(HLOOKUP(A84,PacoteXItem!$A60:$Z60,1,FALSE)&gt;0,IF(J84&gt;0,PacoteXItem!$AC60,"")),"")</f>
        <v/>
      </c>
      <c r="L84" s="145">
        <f>IFERROR(IF(HLOOKUP(A84,PacoteXItem!$A60:$Z60,1,FALSE)&gt;0,PacoteXItem!$AD60),"")</f>
        <v>137</v>
      </c>
      <c r="M84" s="145" t="str">
        <f t="shared" si="6"/>
        <v/>
      </c>
      <c r="N84" s="145" t="str">
        <f t="shared" si="7"/>
        <v/>
      </c>
      <c r="O84" s="10"/>
      <c r="P84" s="10"/>
      <c r="Q84" s="10"/>
      <c r="S84" s="7"/>
    </row>
    <row r="85" spans="1:19" ht="18" customHeight="1" x14ac:dyDescent="0.2">
      <c r="A85" s="111">
        <f t="shared" si="3"/>
        <v>23</v>
      </c>
      <c r="B85" s="13"/>
      <c r="C85" s="144" t="str">
        <f>IFERROR(IF(HLOOKUP(A85,PacoteXItem!$A61:$Z61,1,FALSE)&gt;0,PacoteXItem!$Y61,"-"),"-")</f>
        <v>Cadastrar e Configurar Disciplinas</v>
      </c>
      <c r="D85" s="145" t="str">
        <f>IFERROR(IF(HLOOKUP(A85,PacoteXItem!$A61:$Z61,1,FALSE)&gt;0,PacoteXItem!$X61,"-"),"-")</f>
        <v>Consultoria</v>
      </c>
      <c r="E85" s="145" t="str">
        <f>IFERROR(IF(HLOOKUP(A85,PacoteXItem!$A61:$Z61,1,FALSE)&gt;0,PacoteXItem!$Z61,"-"),"-")</f>
        <v>Por Diciplina</v>
      </c>
      <c r="F85" s="145">
        <f>'Detalhamento LMS'!C14</f>
        <v>0</v>
      </c>
      <c r="G85" s="145" t="str">
        <f>IFERROR(IF(HLOOKUP(A85,PacoteXItem!$A61:$Z61,1,FALSE)&gt;0,IF(F85&gt;0,PacoteXItem!$AA61,"")),"")</f>
        <v/>
      </c>
      <c r="H85" s="145">
        <f>'Detalhamento LMS'!G14</f>
        <v>0</v>
      </c>
      <c r="I85" s="145" t="str">
        <f>IFERROR(IF(HLOOKUP(A85,PacoteXItem!$A61:$Z61,1,FALSE)&gt;0,IF(H85&gt;0,PacoteXItem!$AB61,"")),"")</f>
        <v/>
      </c>
      <c r="J85" s="145">
        <f>'Detalhamento LMS'!K14</f>
        <v>0</v>
      </c>
      <c r="K85" s="145" t="str">
        <f>IFERROR(IF(HLOOKUP(A85,PacoteXItem!$A61:$Z61,1,FALSE)&gt;0,IF(J85&gt;0,PacoteXItem!$AC61,"")),"")</f>
        <v/>
      </c>
      <c r="L85" s="145">
        <f>IFERROR(IF(HLOOKUP(A85,PacoteXItem!$A61:$Z61,1,FALSE)&gt;0,PacoteXItem!$AD61),"")</f>
        <v>137</v>
      </c>
      <c r="M85" s="145" t="str">
        <f t="shared" si="6"/>
        <v/>
      </c>
      <c r="N85" s="145" t="str">
        <f t="shared" si="7"/>
        <v/>
      </c>
      <c r="O85" s="10"/>
      <c r="P85" s="10"/>
      <c r="Q85" s="10"/>
      <c r="S85" s="7"/>
    </row>
    <row r="86" spans="1:19" ht="18" customHeight="1" x14ac:dyDescent="0.2">
      <c r="A86" s="111">
        <f t="shared" si="3"/>
        <v>23</v>
      </c>
      <c r="B86" s="13"/>
      <c r="C86" s="144" t="str">
        <f>IFERROR(IF(HLOOKUP(A86,PacoteXItem!$A62:$Z62,1,FALSE)&gt;0,PacoteXItem!$Y62,"-"),"-")</f>
        <v xml:space="preserve">Cadastrar e Configurar  Turmas na Disciplina </v>
      </c>
      <c r="D86" s="145" t="str">
        <f>IFERROR(IF(HLOOKUP(A86,PacoteXItem!$A62:$Z62,1,FALSE)&gt;0,PacoteXItem!$X62,"-"),"-")</f>
        <v>Consultoria</v>
      </c>
      <c r="E86" s="145" t="str">
        <f>IFERROR(IF(HLOOKUP(A86,PacoteXItem!$A62:$Z62,1,FALSE)&gt;0,PacoteXItem!$Z62,"-"),"-")</f>
        <v>Por Turma</v>
      </c>
      <c r="F86" s="145">
        <f>'Detalhamento LMS'!C15</f>
        <v>0</v>
      </c>
      <c r="G86" s="145" t="str">
        <f>IFERROR(IF(HLOOKUP(A86,PacoteXItem!$A62:$Z62,1,FALSE)&gt;0,IF(F86&gt;0,PacoteXItem!$AA62,"")),"")</f>
        <v/>
      </c>
      <c r="H86" s="145">
        <f>'Detalhamento LMS'!G15</f>
        <v>0</v>
      </c>
      <c r="I86" s="145" t="str">
        <f>IFERROR(IF(HLOOKUP(A86,PacoteXItem!$A62:$Z62,1,FALSE)&gt;0,IF(H86&gt;0,PacoteXItem!$AB62,"")),"")</f>
        <v/>
      </c>
      <c r="J86" s="145">
        <f>'Detalhamento LMS'!K15</f>
        <v>0</v>
      </c>
      <c r="K86" s="145" t="str">
        <f>IFERROR(IF(HLOOKUP(A86,PacoteXItem!$A62:$Z62,1,FALSE)&gt;0,IF(J86&gt;0,PacoteXItem!$AC62,"")),"")</f>
        <v/>
      </c>
      <c r="L86" s="145">
        <f>IFERROR(IF(HLOOKUP(A86,PacoteXItem!$A62:$Z62,1,FALSE)&gt;0,PacoteXItem!$AD62),"")</f>
        <v>137</v>
      </c>
      <c r="M86" s="145" t="str">
        <f t="shared" si="6"/>
        <v/>
      </c>
      <c r="N86" s="145" t="str">
        <f t="shared" si="7"/>
        <v/>
      </c>
      <c r="O86" s="10"/>
      <c r="P86" s="10"/>
      <c r="Q86" s="10"/>
      <c r="S86" s="7"/>
    </row>
    <row r="87" spans="1:19" ht="18" customHeight="1" x14ac:dyDescent="0.2">
      <c r="A87" s="111">
        <f t="shared" si="3"/>
        <v>23</v>
      </c>
      <c r="B87" s="13"/>
      <c r="C87" s="144" t="str">
        <f>IFERROR(IF(HLOOKUP(A87,PacoteXItem!$A63:$Z63,1,FALSE)&gt;0,PacoteXItem!$Y63,"-"),"-")</f>
        <v xml:space="preserve">Cadastrar e Configurar Turmas Modelo na Disciplina </v>
      </c>
      <c r="D87" s="145" t="str">
        <f>IFERROR(IF(HLOOKUP(A87,PacoteXItem!$A63:$Z63,1,FALSE)&gt;0,PacoteXItem!$X63,"-"),"-")</f>
        <v>Consultoria</v>
      </c>
      <c r="E87" s="145" t="str">
        <f>IFERROR(IF(HLOOKUP(A87,PacoteXItem!$A63:$Z63,1,FALSE)&gt;0,PacoteXItem!$Z63,"-"),"-")</f>
        <v>Por Turma</v>
      </c>
      <c r="F87" s="145">
        <f>'Detalhamento LMS'!C16</f>
        <v>0</v>
      </c>
      <c r="G87" s="145" t="str">
        <f>IFERROR(IF(HLOOKUP(A87,PacoteXItem!$A63:$Z63,1,FALSE)&gt;0,IF(F87&gt;0,PacoteXItem!$AA63,"")),"")</f>
        <v/>
      </c>
      <c r="H87" s="145">
        <f>'Detalhamento LMS'!G16</f>
        <v>0</v>
      </c>
      <c r="I87" s="145" t="str">
        <f>IFERROR(IF(HLOOKUP(A87,PacoteXItem!$A63:$Z63,1,FALSE)&gt;0,IF(H87&gt;0,PacoteXItem!$AB63,"")),"")</f>
        <v/>
      </c>
      <c r="J87" s="145">
        <f>'Detalhamento LMS'!K16</f>
        <v>0</v>
      </c>
      <c r="K87" s="145" t="str">
        <f>IFERROR(IF(HLOOKUP(A87,PacoteXItem!$A63:$Z63,1,FALSE)&gt;0,IF(J87&gt;0,PacoteXItem!$AC63,"")),"")</f>
        <v/>
      </c>
      <c r="L87" s="145">
        <f>IFERROR(IF(HLOOKUP(A87,PacoteXItem!$A63:$Z63,1,FALSE)&gt;0,PacoteXItem!$AD63),"")</f>
        <v>137</v>
      </c>
      <c r="M87" s="145" t="str">
        <f t="shared" si="6"/>
        <v/>
      </c>
      <c r="N87" s="145" t="str">
        <f t="shared" si="7"/>
        <v/>
      </c>
      <c r="O87" s="10"/>
      <c r="P87" s="10"/>
      <c r="Q87" s="10"/>
      <c r="S87" s="7"/>
    </row>
    <row r="88" spans="1:19" ht="18" customHeight="1" x14ac:dyDescent="0.2">
      <c r="A88" s="111">
        <f t="shared" si="3"/>
        <v>23</v>
      </c>
      <c r="B88" s="13"/>
      <c r="C88" s="144" t="str">
        <f>IFERROR(IF(HLOOKUP(A88,PacoteXItem!$A64:$Z64,1,FALSE)&gt;0,PacoteXItem!$Y64,"-"),"-")</f>
        <v>Adicionar e Configurar Tópico (Aulas)</v>
      </c>
      <c r="D88" s="145" t="str">
        <f>IFERROR(IF(HLOOKUP(A88,PacoteXItem!$A64:$Z64,1,FALSE)&gt;0,PacoteXItem!$X64,"-"),"-")</f>
        <v>Consultoria</v>
      </c>
      <c r="E88" s="145" t="str">
        <f>IFERROR(IF(HLOOKUP(A88,PacoteXItem!$A64:$Z64,1,FALSE)&gt;0,PacoteXItem!$Z64,"-"),"-")</f>
        <v>Por Topico</v>
      </c>
      <c r="F88" s="145">
        <f>'Detalhamento LMS'!C17</f>
        <v>0</v>
      </c>
      <c r="G88" s="145" t="str">
        <f>IFERROR(IF(HLOOKUP(A88,PacoteXItem!$A64:$Z64,1,FALSE)&gt;0,IF(F88&gt;0,PacoteXItem!$AA64,"")),"")</f>
        <v/>
      </c>
      <c r="H88" s="145">
        <f>'Detalhamento LMS'!G17</f>
        <v>0</v>
      </c>
      <c r="I88" s="145" t="str">
        <f>IFERROR(IF(HLOOKUP(A88,PacoteXItem!$A64:$Z64,1,FALSE)&gt;0,IF(H88&gt;0,PacoteXItem!$AB64,"")),"")</f>
        <v/>
      </c>
      <c r="J88" s="145">
        <f>'Detalhamento LMS'!K17</f>
        <v>0</v>
      </c>
      <c r="K88" s="145" t="str">
        <f>IFERROR(IF(HLOOKUP(A88,PacoteXItem!$A64:$Z64,1,FALSE)&gt;0,IF(J88&gt;0,PacoteXItem!$AC64,"")),"")</f>
        <v/>
      </c>
      <c r="L88" s="145">
        <f>IFERROR(IF(HLOOKUP(A88,PacoteXItem!$A64:$Z64,1,FALSE)&gt;0,PacoteXItem!$AD64),"")</f>
        <v>137</v>
      </c>
      <c r="M88" s="145" t="str">
        <f t="shared" si="6"/>
        <v/>
      </c>
      <c r="N88" s="145" t="str">
        <f t="shared" si="7"/>
        <v/>
      </c>
      <c r="O88" s="10"/>
      <c r="P88" s="10"/>
      <c r="Q88" s="10"/>
      <c r="S88" s="7"/>
    </row>
    <row r="89" spans="1:19" ht="18" customHeight="1" x14ac:dyDescent="0.2">
      <c r="A89" s="111">
        <f t="shared" si="3"/>
        <v>23</v>
      </c>
      <c r="B89" s="13"/>
      <c r="C89" s="144" t="str">
        <f>IFERROR(IF(HLOOKUP(A89,PacoteXItem!$A65:$Z65,1,FALSE)&gt;0,PacoteXItem!$Y65,"-"),"-")</f>
        <v>Adicionar e Configurar  Itens de Tópico, incluindo Entrega de trabalho e Link Externo</v>
      </c>
      <c r="D89" s="145" t="str">
        <f>IFERROR(IF(HLOOKUP(A89,PacoteXItem!$A65:$Z65,1,FALSE)&gt;0,PacoteXItem!$X65,"-"),"-")</f>
        <v>Consultoria</v>
      </c>
      <c r="E89" s="145" t="str">
        <f>IFERROR(IF(HLOOKUP(A89,PacoteXItem!$A65:$Z65,1,FALSE)&gt;0,PacoteXItem!$Z65,"-"),"-")</f>
        <v>Por Topico</v>
      </c>
      <c r="F89" s="145">
        <f>'Detalhamento LMS'!C18</f>
        <v>0</v>
      </c>
      <c r="G89" s="145" t="str">
        <f>IFERROR(IF(HLOOKUP(A89,PacoteXItem!$A65:$Z65,1,FALSE)&gt;0,IF(F89&gt;0,PacoteXItem!$AA65,"")),"")</f>
        <v/>
      </c>
      <c r="H89" s="145">
        <f>'Detalhamento LMS'!G18</f>
        <v>0</v>
      </c>
      <c r="I89" s="145" t="str">
        <f>IFERROR(IF(HLOOKUP(A89,PacoteXItem!$A65:$Z65,1,FALSE)&gt;0,IF(H89&gt;0,PacoteXItem!$AB65,"")),"")</f>
        <v/>
      </c>
      <c r="J89" s="145">
        <f>'Detalhamento LMS'!K18</f>
        <v>0</v>
      </c>
      <c r="K89" s="145" t="str">
        <f>IFERROR(IF(HLOOKUP(A89,PacoteXItem!$A65:$Z65,1,FALSE)&gt;0,IF(J89&gt;0,PacoteXItem!$AC65,"")),"")</f>
        <v/>
      </c>
      <c r="L89" s="145">
        <f>IFERROR(IF(HLOOKUP(A89,PacoteXItem!$A65:$Z65,1,FALSE)&gt;0,PacoteXItem!$AD65),"")</f>
        <v>137</v>
      </c>
      <c r="M89" s="145" t="str">
        <f t="shared" si="6"/>
        <v/>
      </c>
      <c r="N89" s="145" t="str">
        <f t="shared" si="7"/>
        <v/>
      </c>
      <c r="O89" s="10"/>
      <c r="P89" s="10"/>
      <c r="Q89" s="10"/>
      <c r="S89" s="7"/>
    </row>
    <row r="90" spans="1:19" ht="18" customHeight="1" x14ac:dyDescent="0.2">
      <c r="A90" s="111">
        <f t="shared" si="3"/>
        <v>23</v>
      </c>
      <c r="B90" s="13"/>
      <c r="C90" s="144" t="str">
        <f>IFERROR(IF(HLOOKUP(A90,PacoteXItem!$A66:$Z66,1,FALSE)&gt;0,PacoteXItem!$Y66,"-"),"-")</f>
        <v>Cadastrar e Configurar  Eventos Colaborativo</v>
      </c>
      <c r="D90" s="145" t="str">
        <f>IFERROR(IF(HLOOKUP(A90,PacoteXItem!$A66:$Z66,1,FALSE)&gt;0,PacoteXItem!$X66,"-"),"-")</f>
        <v>Consultoria</v>
      </c>
      <c r="E90" s="145" t="str">
        <f>IFERROR(IF(HLOOKUP(A90,PacoteXItem!$A66:$Z66,1,FALSE)&gt;0,PacoteXItem!$Z66,"-"),"-")</f>
        <v>Por Evento</v>
      </c>
      <c r="F90" s="145">
        <f>'Detalhamento LMS'!C19</f>
        <v>0</v>
      </c>
      <c r="G90" s="145" t="str">
        <f>IFERROR(IF(HLOOKUP(A90,PacoteXItem!$A66:$Z66,1,FALSE)&gt;0,IF(F90&gt;0,PacoteXItem!$AA66,"")),"")</f>
        <v/>
      </c>
      <c r="H90" s="145">
        <f>'Detalhamento LMS'!G19</f>
        <v>0</v>
      </c>
      <c r="I90" s="145" t="str">
        <f>IFERROR(IF(HLOOKUP(A90,PacoteXItem!$A66:$Z66,1,FALSE)&gt;0,IF(H90&gt;0,PacoteXItem!$AB66,"")),"")</f>
        <v/>
      </c>
      <c r="J90" s="145">
        <f>'Detalhamento LMS'!K19</f>
        <v>0</v>
      </c>
      <c r="K90" s="145" t="str">
        <f>IFERROR(IF(HLOOKUP(A90,PacoteXItem!$A66:$Z66,1,FALSE)&gt;0,IF(J90&gt;0,PacoteXItem!$AC66,"")),"")</f>
        <v/>
      </c>
      <c r="L90" s="145">
        <f>IFERROR(IF(HLOOKUP(A90,PacoteXItem!$A66:$Z66,1,FALSE)&gt;0,PacoteXItem!$AD66),"")</f>
        <v>137</v>
      </c>
      <c r="M90" s="145" t="str">
        <f t="shared" si="6"/>
        <v/>
      </c>
      <c r="N90" s="145" t="str">
        <f t="shared" si="7"/>
        <v/>
      </c>
      <c r="O90" s="10"/>
      <c r="P90" s="10"/>
      <c r="Q90" s="10"/>
      <c r="S90" s="7"/>
    </row>
    <row r="91" spans="1:19" ht="18" customHeight="1" x14ac:dyDescent="0.2">
      <c r="A91" s="111">
        <f t="shared" si="3"/>
        <v>23</v>
      </c>
      <c r="B91" s="13"/>
      <c r="C91" s="144" t="str">
        <f>IFERROR(IF(HLOOKUP(A91,PacoteXItem!$A67:$Z67,1,FALSE)&gt;0,PacoteXItem!$Y67,"-"),"-")</f>
        <v>Cadastrar novas sessões</v>
      </c>
      <c r="D91" s="145" t="str">
        <f>IFERROR(IF(HLOOKUP(A91,PacoteXItem!$A67:$Z67,1,FALSE)&gt;0,PacoteXItem!$X67,"-"),"-")</f>
        <v>Consultoria</v>
      </c>
      <c r="E91" s="145" t="str">
        <f>IFERROR(IF(HLOOKUP(A91,PacoteXItem!$A67:$Z67,1,FALSE)&gt;0,PacoteXItem!$Z67,"-"),"-")</f>
        <v>Por Sessão</v>
      </c>
      <c r="F91" s="145">
        <f>'Detalhamento LMS'!C20</f>
        <v>0</v>
      </c>
      <c r="G91" s="145" t="str">
        <f>IFERROR(IF(HLOOKUP(A91,PacoteXItem!$A67:$Z67,1,FALSE)&gt;0,IF(F91&gt;0,PacoteXItem!$AA67,"")),"")</f>
        <v/>
      </c>
      <c r="H91" s="145">
        <f>'Detalhamento LMS'!G20</f>
        <v>0</v>
      </c>
      <c r="I91" s="145" t="str">
        <f>IFERROR(IF(HLOOKUP(A91,PacoteXItem!$A67:$Z67,1,FALSE)&gt;0,IF(H91&gt;0,PacoteXItem!$AB67,"")),"")</f>
        <v/>
      </c>
      <c r="J91" s="145">
        <f>'Detalhamento LMS'!K20</f>
        <v>0</v>
      </c>
      <c r="K91" s="145" t="str">
        <f>IFERROR(IF(HLOOKUP(A91,PacoteXItem!$A67:$Z67,1,FALSE)&gt;0,IF(J91&gt;0,PacoteXItem!$AC67,"")),"")</f>
        <v/>
      </c>
      <c r="L91" s="145">
        <f>IFERROR(IF(HLOOKUP(A91,PacoteXItem!$A67:$Z67,1,FALSE)&gt;0,PacoteXItem!$AD67),"")</f>
        <v>137</v>
      </c>
      <c r="M91" s="145" t="str">
        <f t="shared" si="6"/>
        <v/>
      </c>
      <c r="N91" s="145" t="str">
        <f t="shared" si="7"/>
        <v/>
      </c>
      <c r="O91" s="10"/>
      <c r="P91" s="10"/>
      <c r="Q91" s="10"/>
      <c r="S91" s="7"/>
    </row>
    <row r="92" spans="1:19" ht="18" customHeight="1" x14ac:dyDescent="0.2">
      <c r="A92" s="111">
        <f t="shared" si="3"/>
        <v>23</v>
      </c>
      <c r="B92" s="13"/>
      <c r="C92" s="144" t="str">
        <f>IFERROR(IF(HLOOKUP(A92,PacoteXItem!$A68:$Z68,1,FALSE)&gt;0,PacoteXItem!$Y68,"-"),"-")</f>
        <v>Cadastrar e Configurar Habilidade</v>
      </c>
      <c r="D92" s="145" t="str">
        <f>IFERROR(IF(HLOOKUP(A92,PacoteXItem!$A68:$Z68,1,FALSE)&gt;0,PacoteXItem!$X68,"-"),"-")</f>
        <v>Consultoria</v>
      </c>
      <c r="E92" s="145" t="str">
        <f>IFERROR(IF(HLOOKUP(A92,PacoteXItem!$A68:$Z68,1,FALSE)&gt;0,PacoteXItem!$Z68,"-"),"-")</f>
        <v>Por Habilidade</v>
      </c>
      <c r="F92" s="145">
        <f>'Detalhamento LMS'!C21</f>
        <v>0</v>
      </c>
      <c r="G92" s="145" t="str">
        <f>IFERROR(IF(HLOOKUP(A92,PacoteXItem!$A68:$Z68,1,FALSE)&gt;0,IF(F92&gt;0,PacoteXItem!$AA68,"")),"")</f>
        <v/>
      </c>
      <c r="H92" s="145">
        <f>'Detalhamento LMS'!G21</f>
        <v>0</v>
      </c>
      <c r="I92" s="145" t="str">
        <f>IFERROR(IF(HLOOKUP(A92,PacoteXItem!$A68:$Z68,1,FALSE)&gt;0,IF(H92&gt;0,PacoteXItem!$AB68,"")),"")</f>
        <v/>
      </c>
      <c r="J92" s="145">
        <f>'Detalhamento LMS'!K21</f>
        <v>0</v>
      </c>
      <c r="K92" s="145" t="str">
        <f>IFERROR(IF(HLOOKUP(A92,PacoteXItem!$A68:$Z68,1,FALSE)&gt;0,IF(J92&gt;0,PacoteXItem!$AC68,"")),"")</f>
        <v/>
      </c>
      <c r="L92" s="145">
        <f>IFERROR(IF(HLOOKUP(A92,PacoteXItem!$A68:$Z68,1,FALSE)&gt;0,PacoteXItem!$AD68),"")</f>
        <v>137</v>
      </c>
      <c r="M92" s="145" t="str">
        <f t="shared" si="6"/>
        <v/>
      </c>
      <c r="N92" s="145" t="str">
        <f t="shared" si="7"/>
        <v/>
      </c>
      <c r="O92" s="10"/>
      <c r="P92" s="10"/>
      <c r="Q92" s="10"/>
      <c r="S92" s="7"/>
    </row>
    <row r="93" spans="1:19" ht="18" customHeight="1" x14ac:dyDescent="0.2">
      <c r="A93" s="111">
        <f t="shared" ref="A93:A106" si="8">A92</f>
        <v>23</v>
      </c>
      <c r="B93" s="13"/>
      <c r="C93" s="144" t="str">
        <f>IFERROR(IF(HLOOKUP(A93,PacoteXItem!$A69:$Z69,1,FALSE)&gt;0,PacoteXItem!$Y69,"-"),"-")</f>
        <v>Cadastro e Configuração deTópicos</v>
      </c>
      <c r="D93" s="145" t="str">
        <f>IFERROR(IF(HLOOKUP(A93,PacoteXItem!$A69:$Z69,1,FALSE)&gt;0,PacoteXItem!$X69,"-"),"-")</f>
        <v>Consultoria</v>
      </c>
      <c r="E93" s="145" t="str">
        <f>IFERROR(IF(HLOOKUP(A93,PacoteXItem!$A69:$Z69,1,FALSE)&gt;0,PacoteXItem!$Z69,"-"),"-")</f>
        <v>Por Topico</v>
      </c>
      <c r="F93" s="145">
        <f>'Detalhamento LMS'!C22</f>
        <v>0</v>
      </c>
      <c r="G93" s="145" t="str">
        <f>IFERROR(IF(HLOOKUP(A93,PacoteXItem!$A69:$Z69,1,FALSE)&gt;0,IF(F93&gt;0,PacoteXItem!$AA69,"")),"")</f>
        <v/>
      </c>
      <c r="H93" s="145">
        <f>'Detalhamento LMS'!G22</f>
        <v>0</v>
      </c>
      <c r="I93" s="145" t="str">
        <f>IFERROR(IF(HLOOKUP(A93,PacoteXItem!$A69:$Z69,1,FALSE)&gt;0,IF(H93&gt;0,PacoteXItem!$AB69,"")),"")</f>
        <v/>
      </c>
      <c r="J93" s="145">
        <f>'Detalhamento LMS'!K22</f>
        <v>0</v>
      </c>
      <c r="K93" s="145" t="str">
        <f>IFERROR(IF(HLOOKUP(A93,PacoteXItem!$A69:$Z69,1,FALSE)&gt;0,IF(J93&gt;0,PacoteXItem!$AC69,"")),"")</f>
        <v/>
      </c>
      <c r="L93" s="145">
        <f>IFERROR(IF(HLOOKUP(A93,PacoteXItem!$A69:$Z69,1,FALSE)&gt;0,PacoteXItem!$AD69),"")</f>
        <v>137</v>
      </c>
      <c r="M93" s="145" t="str">
        <f t="shared" si="6"/>
        <v/>
      </c>
      <c r="N93" s="145" t="str">
        <f t="shared" si="7"/>
        <v/>
      </c>
      <c r="O93" s="10"/>
      <c r="P93" s="10"/>
      <c r="Q93" s="10"/>
      <c r="S93" s="7"/>
    </row>
    <row r="94" spans="1:19" ht="18" customHeight="1" x14ac:dyDescent="0.2">
      <c r="A94" s="111">
        <f t="shared" si="8"/>
        <v>23</v>
      </c>
      <c r="B94" s="13"/>
      <c r="C94" s="144" t="str">
        <f>IFERROR(IF(HLOOKUP(A94,PacoteXItem!$A70:$Z70,1,FALSE)&gt;0,PacoteXItem!$Y70,"-"),"-")</f>
        <v>Cadastro e Configuração de Questões</v>
      </c>
      <c r="D94" s="145" t="str">
        <f>IFERROR(IF(HLOOKUP(A94,PacoteXItem!$A70:$Z70,1,FALSE)&gt;0,PacoteXItem!$X70,"-"),"-")</f>
        <v>Consultoria</v>
      </c>
      <c r="E94" s="145" t="str">
        <f>IFERROR(IF(HLOOKUP(A94,PacoteXItem!$A70:$Z70,1,FALSE)&gt;0,PacoteXItem!$Z70,"-"),"-")</f>
        <v>Por Questão</v>
      </c>
      <c r="F94" s="145">
        <f>'Detalhamento LMS'!C23</f>
        <v>0</v>
      </c>
      <c r="G94" s="145" t="str">
        <f>IFERROR(IF(HLOOKUP(A94,PacoteXItem!$A70:$Z70,1,FALSE)&gt;0,IF(F94&gt;0,PacoteXItem!$AA70,"")),"")</f>
        <v/>
      </c>
      <c r="H94" s="145">
        <f>'Detalhamento LMS'!G23</f>
        <v>0</v>
      </c>
      <c r="I94" s="145" t="str">
        <f>IFERROR(IF(HLOOKUP(A94,PacoteXItem!$A70:$Z70,1,FALSE)&gt;0,IF(H94&gt;0,PacoteXItem!$AB70,"")),"")</f>
        <v/>
      </c>
      <c r="J94" s="145">
        <f>'Detalhamento LMS'!K23</f>
        <v>0</v>
      </c>
      <c r="K94" s="145" t="str">
        <f>IFERROR(IF(HLOOKUP(A94,PacoteXItem!$A70:$Z70,1,FALSE)&gt;0,IF(J94&gt;0,PacoteXItem!$AC70,"")),"")</f>
        <v/>
      </c>
      <c r="L94" s="145">
        <f>IFERROR(IF(HLOOKUP(A94,PacoteXItem!$A70:$Z70,1,FALSE)&gt;0,PacoteXItem!$AD70),"")</f>
        <v>137</v>
      </c>
      <c r="M94" s="145" t="str">
        <f t="shared" ref="M94:M100" si="9">IF((IFERROR(G94*F94,0)+IFERROR(H94*I94,0)+IFERROR(J94*K94,0))&gt;0,(IFERROR(G94*F94,0)+IFERROR(H94*I94,0)+IFERROR(J94*K94,0))*(1+$D$11),"")</f>
        <v/>
      </c>
      <c r="N94" s="145" t="str">
        <f t="shared" ref="N94:N100" si="10">IFERROR(M94*L94,"")</f>
        <v/>
      </c>
      <c r="O94" s="10"/>
      <c r="P94" s="10"/>
      <c r="Q94" s="10"/>
      <c r="S94" s="7"/>
    </row>
    <row r="95" spans="1:19" ht="18" customHeight="1" x14ac:dyDescent="0.2">
      <c r="A95" s="111">
        <f t="shared" si="8"/>
        <v>23</v>
      </c>
      <c r="B95" s="13"/>
      <c r="C95" s="144" t="str">
        <f>IFERROR(IF(HLOOKUP(A95,PacoteXItem!$A71:$Z71,1,FALSE)&gt;0,PacoteXItem!$Y71,"-"),"-")</f>
        <v>Cadastro e Configuração de  Blocos</v>
      </c>
      <c r="D95" s="145" t="str">
        <f>IFERROR(IF(HLOOKUP(A95,PacoteXItem!$A71:$Z71,1,FALSE)&gt;0,PacoteXItem!$X71,"-"),"-")</f>
        <v>Consultoria</v>
      </c>
      <c r="E95" s="145" t="str">
        <f>IFERROR(IF(HLOOKUP(A95,PacoteXItem!$A71:$Z71,1,FALSE)&gt;0,PacoteXItem!$Z71,"-"),"-")</f>
        <v>Por Bloco</v>
      </c>
      <c r="F95" s="145">
        <f>'Detalhamento LMS'!C24</f>
        <v>0</v>
      </c>
      <c r="G95" s="145" t="str">
        <f>IFERROR(IF(HLOOKUP(A95,PacoteXItem!$A71:$Z71,1,FALSE)&gt;0,IF(F95&gt;0,PacoteXItem!$AA71,"")),"")</f>
        <v/>
      </c>
      <c r="H95" s="145">
        <f>'Detalhamento LMS'!G24</f>
        <v>0</v>
      </c>
      <c r="I95" s="145" t="str">
        <f>IFERROR(IF(HLOOKUP(A95,PacoteXItem!$A71:$Z71,1,FALSE)&gt;0,IF(H95&gt;0,PacoteXItem!$AB71,"")),"")</f>
        <v/>
      </c>
      <c r="J95" s="145">
        <f>'Detalhamento LMS'!K24</f>
        <v>0</v>
      </c>
      <c r="K95" s="145" t="str">
        <f>IFERROR(IF(HLOOKUP(A95,PacoteXItem!$A71:$Z71,1,FALSE)&gt;0,IF(J95&gt;0,PacoteXItem!$AC71,"")),"")</f>
        <v/>
      </c>
      <c r="L95" s="145">
        <f>IFERROR(IF(HLOOKUP(A95,PacoteXItem!$A71:$Z71,1,FALSE)&gt;0,PacoteXItem!$AD71),"")</f>
        <v>137</v>
      </c>
      <c r="M95" s="145" t="str">
        <f t="shared" si="9"/>
        <v/>
      </c>
      <c r="N95" s="145" t="str">
        <f t="shared" si="10"/>
        <v/>
      </c>
      <c r="O95" s="10"/>
      <c r="P95" s="10"/>
      <c r="Q95" s="10"/>
      <c r="S95" s="7"/>
    </row>
    <row r="96" spans="1:19" ht="18" customHeight="1" x14ac:dyDescent="0.2">
      <c r="A96" s="111">
        <f t="shared" si="8"/>
        <v>23</v>
      </c>
      <c r="B96" s="13"/>
      <c r="C96" s="144" t="str">
        <f>IFERROR(IF(HLOOKUP(A96,PacoteXItem!$A72:$Z72,1,FALSE)&gt;0,PacoteXItem!$Y72,"-"),"-")</f>
        <v>Cadastro e Configuração de Avaliações</v>
      </c>
      <c r="D96" s="145" t="str">
        <f>IFERROR(IF(HLOOKUP(A96,PacoteXItem!$A72:$Z72,1,FALSE)&gt;0,PacoteXItem!$X72,"-"),"-")</f>
        <v>Consultoria</v>
      </c>
      <c r="E96" s="145" t="str">
        <f>IFERROR(IF(HLOOKUP(A96,PacoteXItem!$A72:$Z72,1,FALSE)&gt;0,PacoteXItem!$Z72,"-"),"-")</f>
        <v>Por Avaliação</v>
      </c>
      <c r="F96" s="145">
        <f>'Detalhamento LMS'!C25</f>
        <v>0</v>
      </c>
      <c r="G96" s="145" t="str">
        <f>IFERROR(IF(HLOOKUP(A96,PacoteXItem!$A72:$Z72,1,FALSE)&gt;0,IF(F96&gt;0,PacoteXItem!$AA72,"")),"")</f>
        <v/>
      </c>
      <c r="H96" s="145">
        <f>'Detalhamento LMS'!G25</f>
        <v>0</v>
      </c>
      <c r="I96" s="145" t="str">
        <f>IFERROR(IF(HLOOKUP(A96,PacoteXItem!$A72:$Z72,1,FALSE)&gt;0,IF(H96&gt;0,PacoteXItem!$AB72,"")),"")</f>
        <v/>
      </c>
      <c r="J96" s="145">
        <f>'Detalhamento LMS'!K25</f>
        <v>0</v>
      </c>
      <c r="K96" s="145" t="str">
        <f>IFERROR(IF(HLOOKUP(A96,PacoteXItem!$A72:$Z72,1,FALSE)&gt;0,IF(J96&gt;0,PacoteXItem!$AC72,"")),"")</f>
        <v/>
      </c>
      <c r="L96" s="145">
        <f>IFERROR(IF(HLOOKUP(A96,PacoteXItem!$A72:$Z72,1,FALSE)&gt;0,PacoteXItem!$AD72),"")</f>
        <v>137</v>
      </c>
      <c r="M96" s="145" t="str">
        <f t="shared" si="9"/>
        <v/>
      </c>
      <c r="N96" s="145" t="str">
        <f t="shared" si="10"/>
        <v/>
      </c>
      <c r="O96" s="10"/>
      <c r="P96" s="10"/>
      <c r="Q96" s="10"/>
      <c r="S96" s="7"/>
    </row>
    <row r="97" spans="1:19" ht="18" customHeight="1" x14ac:dyDescent="0.2">
      <c r="A97" s="111">
        <f t="shared" si="8"/>
        <v>23</v>
      </c>
      <c r="B97" s="13"/>
      <c r="C97" s="144" t="str">
        <f>IFERROR(IF(HLOOKUP(A97,PacoteXItem!$A73:$Z73,1,FALSE)&gt;0,PacoteXItem!$Y73,"-"),"-")</f>
        <v>Cadastro de  Agendamento de Avaliações</v>
      </c>
      <c r="D97" s="145" t="str">
        <f>IFERROR(IF(HLOOKUP(A97,PacoteXItem!$A73:$Z73,1,FALSE)&gt;0,PacoteXItem!$X73,"-"),"-")</f>
        <v>Consultoria</v>
      </c>
      <c r="E97" s="145" t="str">
        <f>IFERROR(IF(HLOOKUP(A97,PacoteXItem!$A73:$Z73,1,FALSE)&gt;0,PacoteXItem!$Z73,"-"),"-")</f>
        <v>Por Agendamento</v>
      </c>
      <c r="F97" s="145">
        <f>'Detalhamento LMS'!C26</f>
        <v>0</v>
      </c>
      <c r="G97" s="145" t="str">
        <f>IFERROR(IF(HLOOKUP(A97,PacoteXItem!$A73:$Z73,1,FALSE)&gt;0,IF(F97&gt;0,PacoteXItem!$AA73,"")),"")</f>
        <v/>
      </c>
      <c r="H97" s="145">
        <f>'Detalhamento LMS'!G26</f>
        <v>0</v>
      </c>
      <c r="I97" s="145" t="str">
        <f>IFERROR(IF(HLOOKUP(A97,PacoteXItem!$A73:$Z73,1,FALSE)&gt;0,IF(H97&gt;0,PacoteXItem!$AB73,"")),"")</f>
        <v/>
      </c>
      <c r="J97" s="145">
        <f>'Detalhamento LMS'!K26</f>
        <v>0</v>
      </c>
      <c r="K97" s="145" t="str">
        <f>IFERROR(IF(HLOOKUP(A97,PacoteXItem!$A73:$Z73,1,FALSE)&gt;0,IF(J97&gt;0,PacoteXItem!$AC73,"")),"")</f>
        <v/>
      </c>
      <c r="L97" s="145">
        <f>IFERROR(IF(HLOOKUP(A97,PacoteXItem!$A73:$Z73,1,FALSE)&gt;0,PacoteXItem!$AD73),"")</f>
        <v>137</v>
      </c>
      <c r="M97" s="145" t="str">
        <f t="shared" si="9"/>
        <v/>
      </c>
      <c r="N97" s="145" t="str">
        <f t="shared" si="10"/>
        <v/>
      </c>
      <c r="O97" s="10"/>
      <c r="P97" s="10"/>
      <c r="Q97" s="10"/>
      <c r="S97" s="7"/>
    </row>
    <row r="98" spans="1:19" ht="18" customHeight="1" x14ac:dyDescent="0.2">
      <c r="A98" s="111">
        <f t="shared" si="8"/>
        <v>23</v>
      </c>
      <c r="B98" s="13"/>
      <c r="C98" s="144" t="str">
        <f>IFERROR(IF(HLOOKUP(A98,PacoteXItem!$A74:$Z74,1,FALSE)&gt;0,PacoteXItem!$Y74,"-"),"-")</f>
        <v>Cadastro de Avaliações Externas</v>
      </c>
      <c r="D98" s="145" t="str">
        <f>IFERROR(IF(HLOOKUP(A98,PacoteXItem!$A74:$Z74,1,FALSE)&gt;0,PacoteXItem!$X74,"-"),"-")</f>
        <v>Consultoria</v>
      </c>
      <c r="E98" s="145" t="str">
        <f>IFERROR(IF(HLOOKUP(A98,PacoteXItem!$A74:$Z74,1,FALSE)&gt;0,PacoteXItem!$Z74,"-"),"-")</f>
        <v>Por Avaliação</v>
      </c>
      <c r="F98" s="145">
        <f>'Detalhamento LMS'!C27</f>
        <v>0</v>
      </c>
      <c r="G98" s="145" t="str">
        <f>IFERROR(IF(HLOOKUP(A98,PacoteXItem!$A74:$Z74,1,FALSE)&gt;0,IF(F98&gt;0,PacoteXItem!$AA74,"")),"")</f>
        <v/>
      </c>
      <c r="H98" s="145">
        <f>'Detalhamento LMS'!G27</f>
        <v>0</v>
      </c>
      <c r="I98" s="145" t="str">
        <f>IFERROR(IF(HLOOKUP(A98,PacoteXItem!$A74:$Z74,1,FALSE)&gt;0,IF(H98&gt;0,PacoteXItem!$AB74,"")),"")</f>
        <v/>
      </c>
      <c r="J98" s="145">
        <f>'Detalhamento LMS'!K27</f>
        <v>0</v>
      </c>
      <c r="K98" s="145" t="str">
        <f>IFERROR(IF(HLOOKUP(A98,PacoteXItem!$A74:$Z74,1,FALSE)&gt;0,IF(J98&gt;0,PacoteXItem!$AC74,"")),"")</f>
        <v/>
      </c>
      <c r="L98" s="145">
        <f>IFERROR(IF(HLOOKUP(A98,PacoteXItem!$A74:$Z74,1,FALSE)&gt;0,PacoteXItem!$AD74),"")</f>
        <v>137</v>
      </c>
      <c r="M98" s="145" t="str">
        <f t="shared" si="9"/>
        <v/>
      </c>
      <c r="N98" s="145" t="str">
        <f t="shared" si="10"/>
        <v/>
      </c>
      <c r="O98" s="10"/>
      <c r="P98" s="10"/>
      <c r="Q98" s="10"/>
      <c r="S98" s="7"/>
    </row>
    <row r="99" spans="1:19" ht="18" customHeight="1" x14ac:dyDescent="0.2">
      <c r="A99" s="111">
        <f t="shared" si="8"/>
        <v>23</v>
      </c>
      <c r="B99" s="13"/>
      <c r="C99" s="144" t="str">
        <f>IFERROR(IF(HLOOKUP(A99,PacoteXItem!$A75:$Z75,1,FALSE)&gt;0,PacoteXItem!$Y75,"-"),"-")</f>
        <v>Matricular usuários em Turma</v>
      </c>
      <c r="D99" s="145" t="str">
        <f>IFERROR(IF(HLOOKUP(A99,PacoteXItem!$A75:$Z75,1,FALSE)&gt;0,PacoteXItem!$X75,"-"),"-")</f>
        <v>Consultoria</v>
      </c>
      <c r="E99" s="145" t="str">
        <f>IFERROR(IF(HLOOKUP(A99,PacoteXItem!$A75:$Z75,1,FALSE)&gt;0,PacoteXItem!$Z75,"-"),"-")</f>
        <v>Por Matricula</v>
      </c>
      <c r="F99" s="145">
        <f>'Detalhamento LMS'!C28</f>
        <v>0</v>
      </c>
      <c r="G99" s="145" t="str">
        <f>IFERROR(IF(HLOOKUP(A99,PacoteXItem!$A75:$Z75,1,FALSE)&gt;0,IF(F99&gt;0,PacoteXItem!$AA75,"")),"")</f>
        <v/>
      </c>
      <c r="H99" s="145">
        <f>'Detalhamento LMS'!G28</f>
        <v>0</v>
      </c>
      <c r="I99" s="145" t="str">
        <f>IFERROR(IF(HLOOKUP(A99,PacoteXItem!$A75:$Z75,1,FALSE)&gt;0,IF(H99&gt;0,PacoteXItem!$AB75,"")),"")</f>
        <v/>
      </c>
      <c r="J99" s="145">
        <f>'Detalhamento LMS'!K28</f>
        <v>0</v>
      </c>
      <c r="K99" s="145" t="str">
        <f>IFERROR(IF(HLOOKUP(A99,PacoteXItem!$A75:$Z75,1,FALSE)&gt;0,IF(J99&gt;0,PacoteXItem!$AC75,"")),"")</f>
        <v/>
      </c>
      <c r="L99" s="145">
        <f>IFERROR(IF(HLOOKUP(A99,PacoteXItem!$A75:$Z75,1,FALSE)&gt;0,PacoteXItem!$AD75),"")</f>
        <v>137</v>
      </c>
      <c r="M99" s="145" t="str">
        <f t="shared" si="9"/>
        <v/>
      </c>
      <c r="N99" s="145" t="str">
        <f t="shared" si="10"/>
        <v/>
      </c>
      <c r="O99" s="10"/>
      <c r="P99" s="10"/>
      <c r="Q99" s="10"/>
      <c r="S99" s="7"/>
    </row>
    <row r="100" spans="1:19" ht="18" customHeight="1" x14ac:dyDescent="0.2">
      <c r="A100" s="111">
        <f t="shared" si="8"/>
        <v>23</v>
      </c>
      <c r="B100" s="13"/>
      <c r="C100" s="144" t="str">
        <f>IFERROR(IF(HLOOKUP(A100,PacoteXItem!$A76:$Z76,1,FALSE)&gt;0,PacoteXItem!$Y76,"-"),"-")</f>
        <v>Matricular usuários em Treinamento</v>
      </c>
      <c r="D100" s="145" t="str">
        <f>IFERROR(IF(HLOOKUP(A100,PacoteXItem!$A76:$Z76,1,FALSE)&gt;0,PacoteXItem!$X76,"-"),"-")</f>
        <v>Consultoria</v>
      </c>
      <c r="E100" s="145" t="str">
        <f>IFERROR(IF(HLOOKUP(A100,PacoteXItem!$A76:$Z76,1,FALSE)&gt;0,PacoteXItem!$Z76,"-"),"-")</f>
        <v>Por usuario</v>
      </c>
      <c r="F100" s="145">
        <f>'Detalhamento LMS'!C29</f>
        <v>0</v>
      </c>
      <c r="G100" s="145" t="str">
        <f>IFERROR(IF(HLOOKUP(A100,PacoteXItem!$A76:$Z76,1,FALSE)&gt;0,IF(F100&gt;0,PacoteXItem!$AA76,"")),"")</f>
        <v/>
      </c>
      <c r="H100" s="145">
        <f>'Detalhamento LMS'!G29</f>
        <v>0</v>
      </c>
      <c r="I100" s="145" t="str">
        <f>IFERROR(IF(HLOOKUP(A100,PacoteXItem!$A76:$Z76,1,FALSE)&gt;0,IF(H100&gt;0,PacoteXItem!$AB76,"")),"")</f>
        <v/>
      </c>
      <c r="J100" s="145">
        <f>'Detalhamento LMS'!K29</f>
        <v>0</v>
      </c>
      <c r="K100" s="145" t="str">
        <f>IFERROR(IF(HLOOKUP(A100,PacoteXItem!$A76:$Z76,1,FALSE)&gt;0,IF(J100&gt;0,PacoteXItem!$AC76,"")),"")</f>
        <v/>
      </c>
      <c r="L100" s="145">
        <f>IFERROR(IF(HLOOKUP(A100,PacoteXItem!$A76:$Z76,1,FALSE)&gt;0,PacoteXItem!$AD76),"")</f>
        <v>137</v>
      </c>
      <c r="M100" s="145" t="str">
        <f t="shared" si="9"/>
        <v/>
      </c>
      <c r="N100" s="145" t="str">
        <f t="shared" si="10"/>
        <v/>
      </c>
      <c r="O100" s="10"/>
      <c r="P100" s="10"/>
      <c r="Q100" s="10"/>
      <c r="S100" s="7"/>
    </row>
    <row r="101" spans="1:19" ht="18" customHeight="1" x14ac:dyDescent="0.2">
      <c r="A101" s="111">
        <f t="shared" si="8"/>
        <v>23</v>
      </c>
      <c r="B101" s="13"/>
      <c r="C101" s="144" t="str">
        <f>IFERROR(IF(HLOOKUP(A101,PacoteXItem!$A77:$Z77,1,FALSE)&gt;0,PacoteXItem!$Y77,"-"),"-")</f>
        <v>Matricular  usuários em Trilha</v>
      </c>
      <c r="D101" s="145" t="str">
        <f>IFERROR(IF(HLOOKUP(A101,PacoteXItem!$A77:$Z77,1,FALSE)&gt;0,PacoteXItem!$X77,"-"),"-")</f>
        <v>Consultoria</v>
      </c>
      <c r="E101" s="145" t="str">
        <f>IFERROR(IF(HLOOKUP(A101,PacoteXItem!$A77:$Z77,1,FALSE)&gt;0,PacoteXItem!$Z77,"-"),"-")</f>
        <v>Por usuario</v>
      </c>
      <c r="F101" s="145">
        <f>'Detalhamento LMS'!C30</f>
        <v>0</v>
      </c>
      <c r="G101" s="145" t="str">
        <f>IFERROR(IF(HLOOKUP(A101,PacoteXItem!$A77:$Z77,1,FALSE)&gt;0,IF(F101&gt;0,PacoteXItem!$AA77,"")),"")</f>
        <v/>
      </c>
      <c r="H101" s="145">
        <f>'Detalhamento LMS'!G30</f>
        <v>0</v>
      </c>
      <c r="I101" s="145" t="str">
        <f>IFERROR(IF(HLOOKUP(A101,PacoteXItem!$A77:$Z77,1,FALSE)&gt;0,IF(H101&gt;0,PacoteXItem!$AB77,"")),"")</f>
        <v/>
      </c>
      <c r="J101" s="145">
        <f>'Detalhamento LMS'!K30</f>
        <v>0</v>
      </c>
      <c r="K101" s="145" t="str">
        <f>IFERROR(IF(HLOOKUP(A101,PacoteXItem!$A77:$Z77,1,FALSE)&gt;0,IF(J101&gt;0,PacoteXItem!$AC77,"")),"")</f>
        <v/>
      </c>
      <c r="L101" s="145">
        <f>IFERROR(IF(HLOOKUP(A101,PacoteXItem!$A77:$Z77,1,FALSE)&gt;0,PacoteXItem!$AD77),"")</f>
        <v>137</v>
      </c>
      <c r="M101" s="145" t="str">
        <f t="shared" ref="M101:M105" si="11">IF((IFERROR(G101*F101,0)+IFERROR(H101*I101,0)+IFERROR(J101*K101,0))&gt;0,(IFERROR(G101*F101,0)+IFERROR(H101*I101,0)+IFERROR(J101*K101,0))*(1+$D$11),"")</f>
        <v/>
      </c>
      <c r="N101" s="145" t="str">
        <f t="shared" ref="N101:N105" si="12">IFERROR(M101*L101,"")</f>
        <v/>
      </c>
      <c r="O101" s="10"/>
      <c r="P101" s="10"/>
      <c r="Q101" s="10"/>
      <c r="S101" s="7"/>
    </row>
    <row r="102" spans="1:19" ht="18" customHeight="1" x14ac:dyDescent="0.2">
      <c r="A102" s="111">
        <f t="shared" si="8"/>
        <v>23</v>
      </c>
      <c r="B102" s="13"/>
      <c r="C102" s="144" t="str">
        <f>IFERROR(IF(HLOOKUP(A102,PacoteXItem!$A78:$Z78,1,FALSE)&gt;0,PacoteXItem!$Y78,"-"),"-")</f>
        <v>Adicionar Widget : Quadro de avisos</v>
      </c>
      <c r="D102" s="145" t="str">
        <f>IFERROR(IF(HLOOKUP(A102,PacoteXItem!$A78:$Z78,1,FALSE)&gt;0,PacoteXItem!$X78,"-"),"-")</f>
        <v>Consultoria</v>
      </c>
      <c r="E102" s="145" t="str">
        <f>IFERROR(IF(HLOOKUP(A102,PacoteXItem!$A78:$Z78,1,FALSE)&gt;0,PacoteXItem!$Z78,"-"),"-")</f>
        <v>Por Widget</v>
      </c>
      <c r="F102" s="145">
        <f>'Detalhamento LMS'!C31</f>
        <v>0</v>
      </c>
      <c r="G102" s="145" t="str">
        <f>IFERROR(IF(HLOOKUP(A102,PacoteXItem!$A78:$Z78,1,FALSE)&gt;0,IF(F102&gt;0,PacoteXItem!$AA78,"")),"")</f>
        <v/>
      </c>
      <c r="H102" s="145">
        <f>'Detalhamento LMS'!G31</f>
        <v>0</v>
      </c>
      <c r="I102" s="145" t="str">
        <f>IFERROR(IF(HLOOKUP(A102,PacoteXItem!$A78:$Z78,1,FALSE)&gt;0,IF(H102&gt;0,PacoteXItem!$AB78,"")),"")</f>
        <v/>
      </c>
      <c r="J102" s="145">
        <f>'Detalhamento LMS'!K31</f>
        <v>0</v>
      </c>
      <c r="K102" s="145" t="str">
        <f>IFERROR(IF(HLOOKUP(A102,PacoteXItem!$A78:$Z78,1,FALSE)&gt;0,IF(J102&gt;0,PacoteXItem!$AC78,"")),"")</f>
        <v/>
      </c>
      <c r="L102" s="145">
        <f>IFERROR(IF(HLOOKUP(A102,PacoteXItem!$A78:$Z78,1,FALSE)&gt;0,PacoteXItem!$AD78),"")</f>
        <v>137</v>
      </c>
      <c r="M102" s="145" t="str">
        <f t="shared" si="11"/>
        <v/>
      </c>
      <c r="N102" s="145" t="str">
        <f t="shared" si="12"/>
        <v/>
      </c>
      <c r="O102" s="10"/>
      <c r="P102" s="10"/>
      <c r="Q102" s="10"/>
      <c r="S102" s="7"/>
    </row>
    <row r="103" spans="1:19" ht="18" customHeight="1" x14ac:dyDescent="0.2">
      <c r="A103" s="111">
        <f t="shared" si="8"/>
        <v>23</v>
      </c>
      <c r="B103" s="13"/>
      <c r="C103" s="144" t="str">
        <f>IFERROR(IF(HLOOKUP(A103,PacoteXItem!$A79:$Z79,1,FALSE)&gt;0,PacoteXItem!$Y79,"-"),"-")</f>
        <v>Cadastro e Configuração de  Avisos</v>
      </c>
      <c r="D103" s="145" t="str">
        <f>IFERROR(IF(HLOOKUP(A103,PacoteXItem!$A79:$Z79,1,FALSE)&gt;0,PacoteXItem!$X79,"-"),"-")</f>
        <v>Consultoria</v>
      </c>
      <c r="E103" s="145" t="str">
        <f>IFERROR(IF(HLOOKUP(A103,PacoteXItem!$A79:$Z79,1,FALSE)&gt;0,PacoteXItem!$Z79,"-"),"-")</f>
        <v>Por Aviso</v>
      </c>
      <c r="F103" s="145">
        <f>'Detalhamento LMS'!C32</f>
        <v>0</v>
      </c>
      <c r="G103" s="145" t="str">
        <f>IFERROR(IF(HLOOKUP(A103,PacoteXItem!$A79:$Z79,1,FALSE)&gt;0,IF(F103&gt;0,PacoteXItem!$AA79,"")),"")</f>
        <v/>
      </c>
      <c r="H103" s="145">
        <f>'Detalhamento LMS'!G32</f>
        <v>0</v>
      </c>
      <c r="I103" s="145" t="str">
        <f>IFERROR(IF(HLOOKUP(A103,PacoteXItem!$A79:$Z79,1,FALSE)&gt;0,IF(H103&gt;0,PacoteXItem!$AB79,"")),"")</f>
        <v/>
      </c>
      <c r="J103" s="145">
        <f>'Detalhamento LMS'!K32</f>
        <v>0</v>
      </c>
      <c r="K103" s="145" t="str">
        <f>IFERROR(IF(HLOOKUP(A103,PacoteXItem!$A79:$Z79,1,FALSE)&gt;0,IF(J103&gt;0,PacoteXItem!$AC79,"")),"")</f>
        <v/>
      </c>
      <c r="L103" s="145">
        <f>IFERROR(IF(HLOOKUP(A103,PacoteXItem!$A79:$Z79,1,FALSE)&gt;0,PacoteXItem!$AD79),"")</f>
        <v>137</v>
      </c>
      <c r="M103" s="145" t="str">
        <f t="shared" si="11"/>
        <v/>
      </c>
      <c r="N103" s="145" t="str">
        <f t="shared" si="12"/>
        <v/>
      </c>
      <c r="O103" s="10"/>
      <c r="P103" s="10"/>
      <c r="Q103" s="10"/>
      <c r="S103" s="7"/>
    </row>
    <row r="104" spans="1:19" ht="18" customHeight="1" x14ac:dyDescent="0.2">
      <c r="A104" s="111">
        <f t="shared" si="8"/>
        <v>23</v>
      </c>
      <c r="B104" s="13"/>
      <c r="C104" s="144" t="str">
        <f>IFERROR(IF(HLOOKUP(A104,PacoteXItem!$A80:$Z80,1,FALSE)&gt;0,PacoteXItem!$Y80,"-"),"-")</f>
        <v>Treinamentos</v>
      </c>
      <c r="D104" s="145" t="str">
        <f>IFERROR(IF(HLOOKUP(A104,PacoteXItem!$A80:$Z80,1,FALSE)&gt;0,PacoteXItem!$X80,"-"),"-")</f>
        <v>Consultoria</v>
      </c>
      <c r="E104" s="145" t="str">
        <f>IFERROR(IF(HLOOKUP(A104,PacoteXItem!$A80:$Z80,1,FALSE)&gt;0,PacoteXItem!$Z80,"-"),"-")</f>
        <v>Por projeto</v>
      </c>
      <c r="F104" s="145">
        <f>'Detalhamento LMS'!C33</f>
        <v>0</v>
      </c>
      <c r="G104" s="145" t="str">
        <f>IFERROR(IF(HLOOKUP(A104,PacoteXItem!$A80:$Z80,1,FALSE)&gt;0,IF(F104&gt;0,PacoteXItem!$AA80,"")),"")</f>
        <v/>
      </c>
      <c r="H104" s="145">
        <f>'Detalhamento LMS'!G33</f>
        <v>0</v>
      </c>
      <c r="I104" s="145" t="str">
        <f>IFERROR(IF(HLOOKUP(A104,PacoteXItem!$A80:$Z80,1,FALSE)&gt;0,IF(H104&gt;0,PacoteXItem!$AB80,"")),"")</f>
        <v/>
      </c>
      <c r="J104" s="145">
        <f>'Detalhamento LMS'!K33</f>
        <v>0</v>
      </c>
      <c r="K104" s="145" t="str">
        <f>IFERROR(IF(HLOOKUP(A104,PacoteXItem!$A80:$Z80,1,FALSE)&gt;0,IF(J104&gt;0,PacoteXItem!$AC80,"")),"")</f>
        <v/>
      </c>
      <c r="L104" s="145">
        <f>IFERROR(IF(HLOOKUP(A104,PacoteXItem!$A80:$Z80,1,FALSE)&gt;0,PacoteXItem!$AD80),"")</f>
        <v>137</v>
      </c>
      <c r="M104" s="145" t="str">
        <f t="shared" si="11"/>
        <v/>
      </c>
      <c r="N104" s="145" t="str">
        <f t="shared" si="12"/>
        <v/>
      </c>
      <c r="O104" s="10"/>
      <c r="P104" s="10"/>
      <c r="Q104" s="10"/>
      <c r="S104" s="7"/>
    </row>
    <row r="105" spans="1:19" ht="18" customHeight="1" x14ac:dyDescent="0.2">
      <c r="A105" s="111">
        <f t="shared" si="8"/>
        <v>23</v>
      </c>
      <c r="B105" s="13"/>
      <c r="C105" s="144" t="str">
        <f>IFERROR(IF(HLOOKUP(A105,PacoteXItem!$A81:$Z81,1,FALSE)&gt;0,PacoteXItem!$Y81,"-"),"-")</f>
        <v>Homologação final do cliente</v>
      </c>
      <c r="D105" s="145" t="str">
        <f>IFERROR(IF(HLOOKUP(A105,PacoteXItem!$A81:$Z81,1,FALSE)&gt;0,PacoteXItem!$X81,"-"),"-")</f>
        <v>Consultoria</v>
      </c>
      <c r="E105" s="145" t="str">
        <f>IFERROR(IF(HLOOKUP(A105,PacoteXItem!$A81:$Z81,1,FALSE)&gt;0,PacoteXItem!$Z81,"-"),"-")</f>
        <v>Por projeto</v>
      </c>
      <c r="F105" s="145">
        <f>'Detalhamento LMS'!C34</f>
        <v>0</v>
      </c>
      <c r="G105" s="145" t="str">
        <f>IFERROR(IF(HLOOKUP(A105,PacoteXItem!$A81:$Z81,1,FALSE)&gt;0,IF(F105&gt;0,PacoteXItem!$AA81,"")),"")</f>
        <v/>
      </c>
      <c r="H105" s="145">
        <f>'Detalhamento LMS'!G34</f>
        <v>0</v>
      </c>
      <c r="I105" s="145" t="str">
        <f>IFERROR(IF(HLOOKUP(A105,PacoteXItem!$A81:$Z81,1,FALSE)&gt;0,IF(H105&gt;0,PacoteXItem!$AB81,"")),"")</f>
        <v/>
      </c>
      <c r="J105" s="145">
        <f>'Detalhamento LMS'!K34</f>
        <v>0</v>
      </c>
      <c r="K105" s="145" t="str">
        <f>IFERROR(IF(HLOOKUP(A105,PacoteXItem!$A81:$Z81,1,FALSE)&gt;0,IF(J105&gt;0,PacoteXItem!$AC81,"")),"")</f>
        <v/>
      </c>
      <c r="L105" s="145">
        <f>IFERROR(IF(HLOOKUP(A105,PacoteXItem!$A81:$Z81,1,FALSE)&gt;0,PacoteXItem!$AD81),"")</f>
        <v>137</v>
      </c>
      <c r="M105" s="145" t="str">
        <f t="shared" si="11"/>
        <v/>
      </c>
      <c r="N105" s="145" t="str">
        <f t="shared" si="12"/>
        <v/>
      </c>
      <c r="O105" s="10"/>
      <c r="P105" s="10"/>
      <c r="Q105" s="10"/>
      <c r="S105" s="7"/>
    </row>
    <row r="106" spans="1:19" ht="18" customHeight="1" x14ac:dyDescent="0.2">
      <c r="A106" s="111">
        <f t="shared" si="8"/>
        <v>23</v>
      </c>
      <c r="B106" s="13"/>
      <c r="C106" s="144" t="str">
        <f>IFERROR(IF(HLOOKUP(A106,PacoteXItem!$A82:$Z82,1,FALSE)&gt;0,PacoteXItem!$Y82,"-"),"-")</f>
        <v>Ajustes finais</v>
      </c>
      <c r="D106" s="145" t="str">
        <f>IFERROR(IF(HLOOKUP(A106,PacoteXItem!$A82:$Z82,1,FALSE)&gt;0,PacoteXItem!$X82,"-"),"-")</f>
        <v>Consultoria</v>
      </c>
      <c r="E106" s="145" t="str">
        <f>IFERROR(IF(HLOOKUP(A106,PacoteXItem!$A82:$Z82,1,FALSE)&gt;0,PacoteXItem!$Z82,"-"),"-")</f>
        <v>Por projeto</v>
      </c>
      <c r="F106" s="145">
        <f>'Detalhamento LMS'!C35</f>
        <v>0</v>
      </c>
      <c r="G106" s="145" t="str">
        <f>IFERROR(IF(HLOOKUP(A106,PacoteXItem!$A82:$Z82,1,FALSE)&gt;0,IF(F106&gt;0,PacoteXItem!$AA82,"")),"")</f>
        <v/>
      </c>
      <c r="H106" s="145">
        <f>'Detalhamento LMS'!G35</f>
        <v>0</v>
      </c>
      <c r="I106" s="145" t="str">
        <f>IFERROR(IF(HLOOKUP(A106,PacoteXItem!$A82:$Z82,1,FALSE)&gt;0,IF(H106&gt;0,PacoteXItem!$AB82,"")),"")</f>
        <v/>
      </c>
      <c r="J106" s="145">
        <f>'Detalhamento LMS'!K35</f>
        <v>0</v>
      </c>
      <c r="K106" s="145" t="str">
        <f>IFERROR(IF(HLOOKUP(A106,PacoteXItem!$A82:$Z82,1,FALSE)&gt;0,IF(J106&gt;0,PacoteXItem!$AC82,"")),"")</f>
        <v/>
      </c>
      <c r="L106" s="145">
        <f>IFERROR(IF(HLOOKUP(A106,PacoteXItem!$A82:$Z82,1,FALSE)&gt;0,PacoteXItem!$AD82),"")</f>
        <v>137</v>
      </c>
      <c r="M106" s="145" t="str">
        <f t="shared" ref="M106" si="13">IF((IFERROR(G106*F106,0)+IFERROR(H106*I106,0)+IFERROR(J106*K106,0))&gt;0,(IFERROR(G106*F106,0)+IFERROR(H106*I106,0)+IFERROR(J106*K106,0))*(1+$D$11),"")</f>
        <v/>
      </c>
      <c r="N106" s="145" t="str">
        <f t="shared" ref="N106" si="14">IFERROR(M106*L106,"")</f>
        <v/>
      </c>
      <c r="O106" s="10"/>
      <c r="P106" s="10"/>
      <c r="Q106" s="10"/>
      <c r="S106" s="7"/>
    </row>
    <row r="107" spans="1:19" ht="18" customHeight="1" x14ac:dyDescent="0.2">
      <c r="A107" s="111">
        <f>A72</f>
        <v>23</v>
      </c>
      <c r="B107" s="13"/>
      <c r="C107" s="16"/>
      <c r="D107" s="17"/>
      <c r="E107" s="17"/>
      <c r="F107" s="72"/>
      <c r="G107" s="17"/>
      <c r="H107" s="72"/>
      <c r="I107" s="17"/>
      <c r="J107" s="72"/>
      <c r="K107" s="17"/>
      <c r="L107" s="17"/>
      <c r="M107" s="17"/>
      <c r="N107" s="17"/>
      <c r="O107" s="10"/>
      <c r="P107" s="10"/>
      <c r="Q107" s="10"/>
      <c r="S107" s="7"/>
    </row>
    <row r="108" spans="1:19" ht="18" customHeight="1" x14ac:dyDescent="0.25">
      <c r="A108" s="111"/>
      <c r="B108" s="13"/>
      <c r="C108" s="43" t="s">
        <v>157</v>
      </c>
      <c r="D108" s="42"/>
      <c r="E108" s="42"/>
      <c r="F108" s="50"/>
      <c r="G108" s="42"/>
      <c r="H108" s="42"/>
      <c r="I108" s="42"/>
      <c r="J108" s="42"/>
      <c r="K108" s="42"/>
      <c r="L108" s="42"/>
      <c r="M108" s="42"/>
      <c r="N108" s="42"/>
      <c r="O108" s="10"/>
      <c r="P108" s="10"/>
      <c r="Q108" s="10"/>
      <c r="S108" s="7"/>
    </row>
    <row r="109" spans="1:19" ht="48" customHeight="1" x14ac:dyDescent="0.2">
      <c r="A109" s="111"/>
      <c r="B109" s="13"/>
      <c r="C109" s="204" t="s">
        <v>57</v>
      </c>
      <c r="D109" s="205"/>
      <c r="E109" s="206"/>
      <c r="F109" s="123" t="s">
        <v>59</v>
      </c>
      <c r="G109" s="123" t="s">
        <v>63</v>
      </c>
      <c r="H109" s="123" t="s">
        <v>60</v>
      </c>
      <c r="I109" s="123" t="s">
        <v>64</v>
      </c>
      <c r="J109" s="19" t="s">
        <v>155</v>
      </c>
      <c r="K109" s="19" t="s">
        <v>156</v>
      </c>
      <c r="L109" s="18" t="s">
        <v>51</v>
      </c>
      <c r="M109" s="18" t="s">
        <v>56</v>
      </c>
      <c r="N109" s="18" t="s">
        <v>55</v>
      </c>
      <c r="O109" s="10"/>
      <c r="P109" s="10"/>
      <c r="Q109" s="10"/>
      <c r="S109" s="7"/>
    </row>
    <row r="110" spans="1:19" ht="18" customHeight="1" x14ac:dyDescent="0.2">
      <c r="A110" s="111"/>
      <c r="B110" s="63"/>
      <c r="C110" s="141"/>
      <c r="D110" s="142"/>
      <c r="E110" s="143"/>
      <c r="F110" s="124"/>
      <c r="G110" s="124"/>
      <c r="H110" s="124"/>
      <c r="I110" s="124"/>
      <c r="J110" s="49"/>
      <c r="K110" s="49"/>
      <c r="L110" s="49"/>
      <c r="M110" s="117" t="str">
        <f>IF((IFERROR(G110*F110,0)+IFERROR(H110*I110,0)+IFERROR(J110*K110,0))&gt;0,(IFERROR(G110*F110,0)+IFERROR(H110*I110,0)+IFERROR(J110*K110,0))*(1+$D$11),"")</f>
        <v/>
      </c>
      <c r="N110" s="117" t="str">
        <f t="shared" ref="N110" si="15">IFERROR(M110*L110,"")</f>
        <v/>
      </c>
      <c r="O110" s="10"/>
      <c r="P110" s="10"/>
      <c r="Q110" s="10"/>
      <c r="S110" s="7"/>
    </row>
    <row r="111" spans="1:19" ht="18" customHeight="1" x14ac:dyDescent="0.2">
      <c r="A111" s="111"/>
      <c r="B111" s="63"/>
      <c r="C111" s="141"/>
      <c r="D111" s="142"/>
      <c r="E111" s="143"/>
      <c r="F111" s="124"/>
      <c r="G111" s="124"/>
      <c r="H111" s="124"/>
      <c r="I111" s="124"/>
      <c r="J111" s="49"/>
      <c r="K111" s="49"/>
      <c r="L111" s="49"/>
      <c r="M111" s="117" t="str">
        <f t="shared" ref="M111:M124" si="16">IF((IFERROR(G111*F111,0)+IFERROR(H111*I111,0)+IFERROR(J111*K111,0))&gt;0,(IFERROR(G111*F111,0)+IFERROR(H111*I111,0)+IFERROR(J111*K111,0))*(1+$D$11),"")</f>
        <v/>
      </c>
      <c r="N111" s="117" t="str">
        <f t="shared" ref="N111:N124" si="17">IFERROR(M111*L111,"")</f>
        <v/>
      </c>
      <c r="O111" s="10"/>
      <c r="P111" s="10"/>
      <c r="Q111" s="10"/>
      <c r="S111" s="7"/>
    </row>
    <row r="112" spans="1:19" ht="18" customHeight="1" x14ac:dyDescent="0.2">
      <c r="A112" s="111"/>
      <c r="B112" s="63"/>
      <c r="C112" s="104"/>
      <c r="D112" s="105"/>
      <c r="E112" s="106"/>
      <c r="F112" s="124"/>
      <c r="G112" s="124"/>
      <c r="H112" s="124"/>
      <c r="I112" s="124"/>
      <c r="J112" s="49"/>
      <c r="K112" s="49"/>
      <c r="L112" s="49"/>
      <c r="M112" s="117" t="str">
        <f t="shared" si="16"/>
        <v/>
      </c>
      <c r="N112" s="117" t="str">
        <f t="shared" si="17"/>
        <v/>
      </c>
      <c r="O112" s="10"/>
      <c r="P112" s="10"/>
      <c r="Q112" s="10"/>
      <c r="S112" s="7"/>
    </row>
    <row r="113" spans="1:19" ht="18" customHeight="1" x14ac:dyDescent="0.2">
      <c r="A113" s="111"/>
      <c r="B113" s="63"/>
      <c r="C113" s="104"/>
      <c r="D113" s="105"/>
      <c r="E113" s="106"/>
      <c r="F113" s="124"/>
      <c r="G113" s="124"/>
      <c r="H113" s="124"/>
      <c r="I113" s="124"/>
      <c r="J113" s="49"/>
      <c r="K113" s="49"/>
      <c r="L113" s="49"/>
      <c r="M113" s="117" t="str">
        <f t="shared" si="16"/>
        <v/>
      </c>
      <c r="N113" s="117" t="str">
        <f t="shared" si="17"/>
        <v/>
      </c>
      <c r="O113" s="10"/>
      <c r="P113" s="10"/>
      <c r="Q113" s="10"/>
      <c r="S113" s="7"/>
    </row>
    <row r="114" spans="1:19" ht="18" customHeight="1" x14ac:dyDescent="0.2">
      <c r="A114" s="111"/>
      <c r="B114" s="63"/>
      <c r="C114" s="104"/>
      <c r="D114" s="105"/>
      <c r="E114" s="106"/>
      <c r="F114" s="124"/>
      <c r="G114" s="124"/>
      <c r="H114" s="124"/>
      <c r="I114" s="124"/>
      <c r="J114" s="49"/>
      <c r="K114" s="49"/>
      <c r="L114" s="49"/>
      <c r="M114" s="117" t="str">
        <f t="shared" si="16"/>
        <v/>
      </c>
      <c r="N114" s="117" t="str">
        <f t="shared" si="17"/>
        <v/>
      </c>
      <c r="O114" s="10"/>
      <c r="P114" s="10"/>
      <c r="Q114" s="10"/>
      <c r="S114" s="7"/>
    </row>
    <row r="115" spans="1:19" ht="18" customHeight="1" x14ac:dyDescent="0.2">
      <c r="A115" s="111"/>
      <c r="B115" s="63"/>
      <c r="C115" s="104"/>
      <c r="D115" s="105"/>
      <c r="E115" s="106"/>
      <c r="F115" s="124"/>
      <c r="G115" s="124"/>
      <c r="H115" s="124"/>
      <c r="I115" s="124"/>
      <c r="J115" s="49"/>
      <c r="K115" s="49"/>
      <c r="L115" s="49"/>
      <c r="M115" s="117" t="str">
        <f t="shared" si="16"/>
        <v/>
      </c>
      <c r="N115" s="117" t="str">
        <f t="shared" si="17"/>
        <v/>
      </c>
      <c r="O115" s="10"/>
      <c r="P115" s="10"/>
      <c r="Q115" s="10"/>
      <c r="S115" s="7"/>
    </row>
    <row r="116" spans="1:19" ht="18" customHeight="1" x14ac:dyDescent="0.2">
      <c r="A116" s="111"/>
      <c r="B116" s="63"/>
      <c r="C116" s="104"/>
      <c r="D116" s="105"/>
      <c r="E116" s="106"/>
      <c r="F116" s="124"/>
      <c r="G116" s="124"/>
      <c r="H116" s="124"/>
      <c r="I116" s="124"/>
      <c r="J116" s="49"/>
      <c r="K116" s="49"/>
      <c r="L116" s="49"/>
      <c r="M116" s="117" t="str">
        <f t="shared" si="16"/>
        <v/>
      </c>
      <c r="N116" s="117" t="str">
        <f t="shared" si="17"/>
        <v/>
      </c>
      <c r="O116" s="10"/>
      <c r="P116" s="10"/>
      <c r="Q116" s="10"/>
      <c r="S116" s="7"/>
    </row>
    <row r="117" spans="1:19" ht="18" customHeight="1" x14ac:dyDescent="0.2">
      <c r="A117" s="111"/>
      <c r="B117" s="63"/>
      <c r="C117" s="104"/>
      <c r="D117" s="105"/>
      <c r="E117" s="106"/>
      <c r="F117" s="124"/>
      <c r="G117" s="124"/>
      <c r="H117" s="124"/>
      <c r="I117" s="124"/>
      <c r="J117" s="49"/>
      <c r="K117" s="49"/>
      <c r="L117" s="49"/>
      <c r="M117" s="117" t="str">
        <f t="shared" si="16"/>
        <v/>
      </c>
      <c r="N117" s="117" t="str">
        <f t="shared" si="17"/>
        <v/>
      </c>
      <c r="O117" s="10"/>
      <c r="P117" s="10"/>
      <c r="Q117" s="10"/>
      <c r="S117" s="7"/>
    </row>
    <row r="118" spans="1:19" ht="18" customHeight="1" x14ac:dyDescent="0.2">
      <c r="A118" s="111"/>
      <c r="B118" s="63"/>
      <c r="C118" s="104"/>
      <c r="D118" s="105"/>
      <c r="E118" s="106"/>
      <c r="F118" s="124"/>
      <c r="G118" s="124"/>
      <c r="H118" s="124"/>
      <c r="I118" s="124"/>
      <c r="J118" s="49"/>
      <c r="K118" s="49"/>
      <c r="L118" s="49"/>
      <c r="M118" s="117" t="str">
        <f t="shared" si="16"/>
        <v/>
      </c>
      <c r="N118" s="117" t="str">
        <f t="shared" si="17"/>
        <v/>
      </c>
      <c r="O118" s="10"/>
      <c r="P118" s="10"/>
      <c r="Q118" s="10"/>
      <c r="S118" s="7"/>
    </row>
    <row r="119" spans="1:19" ht="18" customHeight="1" x14ac:dyDescent="0.2">
      <c r="A119" s="111"/>
      <c r="B119" s="63"/>
      <c r="C119" s="104"/>
      <c r="D119" s="105"/>
      <c r="E119" s="106"/>
      <c r="F119" s="124"/>
      <c r="G119" s="124"/>
      <c r="H119" s="124"/>
      <c r="I119" s="124"/>
      <c r="J119" s="49"/>
      <c r="K119" s="49"/>
      <c r="L119" s="49"/>
      <c r="M119" s="117" t="str">
        <f t="shared" si="16"/>
        <v/>
      </c>
      <c r="N119" s="117" t="str">
        <f t="shared" si="17"/>
        <v/>
      </c>
      <c r="O119" s="10"/>
      <c r="P119" s="10"/>
      <c r="Q119" s="10"/>
      <c r="S119" s="7"/>
    </row>
    <row r="120" spans="1:19" ht="18" customHeight="1" x14ac:dyDescent="0.2">
      <c r="A120" s="111"/>
      <c r="B120" s="63"/>
      <c r="C120" s="104"/>
      <c r="D120" s="105"/>
      <c r="E120" s="106"/>
      <c r="F120" s="124"/>
      <c r="G120" s="124"/>
      <c r="H120" s="124"/>
      <c r="I120" s="124"/>
      <c r="J120" s="49"/>
      <c r="K120" s="49"/>
      <c r="L120" s="49"/>
      <c r="M120" s="117" t="str">
        <f t="shared" si="16"/>
        <v/>
      </c>
      <c r="N120" s="117" t="str">
        <f t="shared" si="17"/>
        <v/>
      </c>
      <c r="O120" s="10"/>
      <c r="P120" s="10"/>
      <c r="Q120" s="10"/>
      <c r="S120" s="7"/>
    </row>
    <row r="121" spans="1:19" ht="18" customHeight="1" x14ac:dyDescent="0.2">
      <c r="A121" s="111"/>
      <c r="B121" s="63"/>
      <c r="C121" s="104"/>
      <c r="D121" s="105"/>
      <c r="E121" s="106"/>
      <c r="F121" s="124"/>
      <c r="G121" s="124"/>
      <c r="H121" s="124"/>
      <c r="I121" s="124"/>
      <c r="J121" s="49"/>
      <c r="K121" s="49"/>
      <c r="L121" s="49"/>
      <c r="M121" s="117" t="str">
        <f t="shared" si="16"/>
        <v/>
      </c>
      <c r="N121" s="117" t="str">
        <f t="shared" si="17"/>
        <v/>
      </c>
      <c r="O121" s="10"/>
      <c r="P121" s="10"/>
      <c r="Q121" s="10"/>
      <c r="S121" s="7"/>
    </row>
    <row r="122" spans="1:19" ht="18" customHeight="1" x14ac:dyDescent="0.2">
      <c r="A122" s="111"/>
      <c r="B122" s="63"/>
      <c r="C122" s="195"/>
      <c r="D122" s="196"/>
      <c r="E122" s="197"/>
      <c r="F122" s="124"/>
      <c r="G122" s="124"/>
      <c r="H122" s="124"/>
      <c r="I122" s="124"/>
      <c r="J122" s="49"/>
      <c r="K122" s="49"/>
      <c r="L122" s="49"/>
      <c r="M122" s="117" t="str">
        <f t="shared" si="16"/>
        <v/>
      </c>
      <c r="N122" s="117" t="str">
        <f t="shared" si="17"/>
        <v/>
      </c>
      <c r="O122" s="10"/>
      <c r="P122" s="10"/>
      <c r="Q122" s="10"/>
      <c r="S122" s="7"/>
    </row>
    <row r="123" spans="1:19" ht="18" customHeight="1" x14ac:dyDescent="0.2">
      <c r="A123" s="111"/>
      <c r="B123" s="13"/>
      <c r="C123" s="198"/>
      <c r="D123" s="199"/>
      <c r="E123" s="200"/>
      <c r="F123" s="124"/>
      <c r="G123" s="124"/>
      <c r="H123" s="124"/>
      <c r="I123" s="124"/>
      <c r="J123" s="49"/>
      <c r="K123" s="49"/>
      <c r="L123" s="49"/>
      <c r="M123" s="117" t="str">
        <f t="shared" si="16"/>
        <v/>
      </c>
      <c r="N123" s="117" t="str">
        <f t="shared" si="17"/>
        <v/>
      </c>
      <c r="O123" s="10"/>
      <c r="P123" s="10"/>
      <c r="Q123" s="10"/>
      <c r="S123" s="7"/>
    </row>
    <row r="124" spans="1:19" ht="18" customHeight="1" x14ac:dyDescent="0.2">
      <c r="A124" s="111"/>
      <c r="B124" s="13"/>
      <c r="C124" s="201"/>
      <c r="D124" s="202"/>
      <c r="E124" s="203"/>
      <c r="F124" s="124"/>
      <c r="G124" s="124"/>
      <c r="H124" s="124"/>
      <c r="I124" s="124"/>
      <c r="J124" s="49"/>
      <c r="K124" s="49"/>
      <c r="L124" s="49"/>
      <c r="M124" s="117" t="str">
        <f t="shared" si="16"/>
        <v/>
      </c>
      <c r="N124" s="117" t="str">
        <f t="shared" si="17"/>
        <v/>
      </c>
      <c r="O124" s="10"/>
      <c r="P124" s="10"/>
      <c r="Q124" s="10"/>
      <c r="S124" s="7"/>
    </row>
    <row r="125" spans="1:19" ht="16" thickBot="1" x14ac:dyDescent="0.25">
      <c r="A125" s="112"/>
      <c r="B125" s="14"/>
      <c r="C125" s="4"/>
      <c r="D125" s="4"/>
      <c r="E125" s="6"/>
      <c r="F125" s="6"/>
      <c r="G125" s="6"/>
      <c r="H125" s="6"/>
      <c r="I125" s="6"/>
      <c r="J125" s="6"/>
      <c r="K125" s="6"/>
      <c r="L125" s="14"/>
      <c r="M125" s="6"/>
      <c r="N125" s="14"/>
      <c r="O125" s="14"/>
      <c r="P125" s="14"/>
      <c r="Q125" s="14"/>
      <c r="R125" s="6"/>
      <c r="S125" s="5"/>
    </row>
  </sheetData>
  <sheetProtection password="D974" sheet="1" objects="1" scenarios="1"/>
  <dataConsolidate/>
  <mergeCells count="29">
    <mergeCell ref="C122:E122"/>
    <mergeCell ref="C123:E123"/>
    <mergeCell ref="C124:E124"/>
    <mergeCell ref="C109:E109"/>
    <mergeCell ref="D2:G2"/>
    <mergeCell ref="C25:C26"/>
    <mergeCell ref="D1:L1"/>
    <mergeCell ref="K10:N10"/>
    <mergeCell ref="M14:N14"/>
    <mergeCell ref="G13:J13"/>
    <mergeCell ref="G14:I14"/>
    <mergeCell ref="C4:F4"/>
    <mergeCell ref="G8:I8"/>
    <mergeCell ref="C8:C9"/>
    <mergeCell ref="K13:N13"/>
    <mergeCell ref="J8:N8"/>
    <mergeCell ref="K9:N9"/>
    <mergeCell ref="K11:N11"/>
    <mergeCell ref="K12:N12"/>
    <mergeCell ref="G10:I10"/>
    <mergeCell ref="G6:N6"/>
    <mergeCell ref="K14:L14"/>
    <mergeCell ref="M15:N17"/>
    <mergeCell ref="C21:R21"/>
    <mergeCell ref="G16:I16"/>
    <mergeCell ref="G17:I17"/>
    <mergeCell ref="P26:R26"/>
    <mergeCell ref="G15:I15"/>
    <mergeCell ref="C22:R2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PacoteXItem!$A$2:$W$2</xm:f>
          </x14:formula1>
          <xm:sqref>C4:F4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 enableFormatConditionsCalculation="0">
    <tabColor rgb="FFFF0000"/>
  </sheetPr>
  <dimension ref="A1:BJ84"/>
  <sheetViews>
    <sheetView zoomScale="110" zoomScaleNormal="110" zoomScalePageLayoutView="110" workbookViewId="0">
      <selection activeCell="A21" sqref="A21"/>
    </sheetView>
  </sheetViews>
  <sheetFormatPr baseColWidth="10" defaultColWidth="8.83203125" defaultRowHeight="15" x14ac:dyDescent="0.2"/>
  <cols>
    <col min="1" max="1" width="60.1640625" customWidth="1"/>
    <col min="2" max="2" width="26.6640625" bestFit="1" customWidth="1"/>
    <col min="3" max="3" width="23.33203125" customWidth="1"/>
    <col min="4" max="6" width="2.5" hidden="1" customWidth="1"/>
    <col min="7" max="7" width="24.1640625" customWidth="1"/>
    <col min="8" max="10" width="2.5" hidden="1" customWidth="1"/>
    <col min="11" max="11" width="25.5" customWidth="1"/>
    <col min="12" max="14" width="2.5" hidden="1" customWidth="1"/>
    <col min="15" max="15" width="27" customWidth="1"/>
    <col min="16" max="18" width="2.5" hidden="1" customWidth="1"/>
    <col min="19" max="19" width="25.33203125" customWidth="1"/>
    <col min="20" max="22" width="2.5" hidden="1" customWidth="1"/>
    <col min="23" max="23" width="20.83203125" bestFit="1" customWidth="1"/>
    <col min="24" max="26" width="2.5" hidden="1" customWidth="1"/>
    <col min="27" max="27" width="19.33203125" bestFit="1" customWidth="1"/>
    <col min="28" max="30" width="2.5" hidden="1" customWidth="1"/>
    <col min="31" max="31" width="23.6640625" bestFit="1" customWidth="1"/>
    <col min="32" max="34" width="2.5" hidden="1" customWidth="1"/>
    <col min="35" max="35" width="22.33203125" bestFit="1" customWidth="1"/>
    <col min="36" max="38" width="2.5" hidden="1" customWidth="1"/>
    <col min="39" max="39" width="16.5" bestFit="1" customWidth="1"/>
    <col min="40" max="42" width="2.5" hidden="1" customWidth="1"/>
    <col min="43" max="43" width="22.1640625" bestFit="1" customWidth="1"/>
    <col min="44" max="46" width="2.5" hidden="1" customWidth="1"/>
    <col min="47" max="47" width="20.6640625" hidden="1" customWidth="1"/>
    <col min="48" max="50" width="2.5" hidden="1" customWidth="1"/>
    <col min="51" max="51" width="39.33203125" bestFit="1" customWidth="1"/>
    <col min="52" max="54" width="2.5" hidden="1" customWidth="1"/>
    <col min="55" max="55" width="50.33203125" bestFit="1" customWidth="1"/>
    <col min="56" max="58" width="2.5" hidden="1" customWidth="1"/>
    <col min="59" max="59" width="24.5" bestFit="1" customWidth="1"/>
    <col min="60" max="62" width="2.5" hidden="1" customWidth="1"/>
    <col min="63" max="63" width="0" hidden="1" customWidth="1"/>
  </cols>
  <sheetData>
    <row r="1" spans="1:62" ht="16" thickBot="1" x14ac:dyDescent="0.25">
      <c r="O1" s="92"/>
      <c r="P1" s="93"/>
      <c r="Q1" s="93"/>
      <c r="R1" s="93"/>
      <c r="S1" s="93" t="s">
        <v>126</v>
      </c>
      <c r="T1" s="93"/>
      <c r="U1" s="93"/>
      <c r="V1" s="93"/>
      <c r="W1" s="94"/>
    </row>
    <row r="2" spans="1:62" ht="30" x14ac:dyDescent="0.2">
      <c r="A2" s="79" t="s">
        <v>100</v>
      </c>
      <c r="B2" s="80" t="s">
        <v>31</v>
      </c>
      <c r="C2" s="58" t="s">
        <v>59</v>
      </c>
      <c r="D2" s="58"/>
      <c r="E2" s="58"/>
      <c r="F2" s="58"/>
      <c r="G2" s="59" t="s">
        <v>60</v>
      </c>
      <c r="H2" s="58"/>
      <c r="I2" s="58"/>
      <c r="J2" s="58"/>
      <c r="K2" s="60" t="s">
        <v>61</v>
      </c>
      <c r="L2" s="58"/>
      <c r="M2" s="58"/>
      <c r="N2" s="58"/>
      <c r="O2" s="90" t="s">
        <v>123</v>
      </c>
      <c r="P2" s="90"/>
      <c r="Q2" s="90"/>
      <c r="R2" s="90"/>
      <c r="S2" s="90" t="s">
        <v>124</v>
      </c>
      <c r="T2" s="90"/>
      <c r="U2" s="90"/>
      <c r="V2" s="90"/>
      <c r="W2" s="91" t="s">
        <v>125</v>
      </c>
      <c r="X2" s="58"/>
      <c r="Y2" s="58"/>
      <c r="Z2" s="58"/>
      <c r="AB2" s="58"/>
      <c r="AC2" s="58"/>
      <c r="AD2" s="58"/>
      <c r="AF2" s="58"/>
      <c r="AG2" s="58"/>
      <c r="AH2" s="58"/>
      <c r="AJ2" s="58"/>
      <c r="AK2" s="58"/>
      <c r="AL2" s="58"/>
      <c r="AN2" s="58"/>
      <c r="AO2" s="58"/>
      <c r="AP2" s="58"/>
      <c r="AR2" s="58"/>
      <c r="AS2" s="58"/>
      <c r="AT2" s="58"/>
      <c r="AV2" s="58"/>
      <c r="AW2" s="58"/>
      <c r="AX2" s="58"/>
      <c r="AZ2" s="58"/>
      <c r="BA2" s="58"/>
      <c r="BB2" s="58"/>
      <c r="BD2" s="58"/>
      <c r="BE2" s="58"/>
      <c r="BF2" s="58"/>
      <c r="BH2" s="58"/>
      <c r="BI2" s="58"/>
      <c r="BJ2" s="58"/>
    </row>
    <row r="3" spans="1:62" x14ac:dyDescent="0.2">
      <c r="A3" s="77" t="str">
        <f>'Catalogo de Item de Serviço'!C16</f>
        <v>BPM-Formulario HTML</v>
      </c>
      <c r="B3" s="81" t="str">
        <f>'Catalogo de Item de Serviço'!D16</f>
        <v>Número Campos</v>
      </c>
      <c r="C3" s="65">
        <f>SUM($D$20:$D$78)</f>
        <v>22</v>
      </c>
      <c r="D3" s="65"/>
      <c r="E3" s="65"/>
      <c r="F3" s="65"/>
      <c r="G3" s="65">
        <f>SUM($E$20:$E$78)</f>
        <v>0</v>
      </c>
      <c r="H3" s="65"/>
      <c r="I3" s="65"/>
      <c r="J3" s="65"/>
      <c r="K3" s="65">
        <f>SUM($F$20:$F$78)</f>
        <v>0</v>
      </c>
      <c r="L3" s="65"/>
      <c r="M3" s="65"/>
      <c r="N3" s="65"/>
      <c r="O3" s="89">
        <f>'Catalogo de Item de Serviço'!F16</f>
        <v>0.35</v>
      </c>
      <c r="P3" s="89"/>
      <c r="Q3" s="89"/>
      <c r="R3" s="89"/>
      <c r="S3" s="89">
        <f>'Catalogo de Item de Serviço'!G16</f>
        <v>0.7</v>
      </c>
      <c r="T3" s="89"/>
      <c r="U3" s="89"/>
      <c r="V3" s="89"/>
      <c r="W3" s="89">
        <f>'Catalogo de Item de Serviço'!H16</f>
        <v>1.05</v>
      </c>
      <c r="X3" s="65"/>
      <c r="Y3" s="65"/>
      <c r="Z3" s="65"/>
      <c r="AB3" s="65"/>
      <c r="AC3" s="65"/>
      <c r="AD3" s="65"/>
      <c r="AF3" s="65"/>
      <c r="AG3" s="65"/>
      <c r="AH3" s="65"/>
      <c r="AJ3" s="65"/>
      <c r="AK3" s="65"/>
      <c r="AL3" s="65"/>
      <c r="AN3" s="65"/>
      <c r="AO3" s="65"/>
      <c r="AP3" s="65"/>
      <c r="AR3" s="65"/>
      <c r="AS3" s="65"/>
      <c r="AT3" s="65"/>
      <c r="AV3" s="65"/>
      <c r="AW3" s="65"/>
      <c r="AX3" s="65"/>
      <c r="AZ3" s="65"/>
      <c r="BA3" s="65"/>
      <c r="BB3" s="65"/>
      <c r="BD3" s="65"/>
      <c r="BE3" s="65"/>
      <c r="BF3" s="65"/>
      <c r="BH3" s="65"/>
      <c r="BI3" s="65"/>
      <c r="BJ3" s="65"/>
    </row>
    <row r="4" spans="1:62" x14ac:dyDescent="0.2">
      <c r="A4" s="77" t="str">
        <f>'Catalogo de Item de Serviço'!C17</f>
        <v>BPM-Formulario Mobile</v>
      </c>
      <c r="B4" s="81" t="str">
        <f>'Catalogo de Item de Serviço'!D17</f>
        <v>Número Campos</v>
      </c>
      <c r="C4" s="65">
        <f>SUM($H$20:$H$78)</f>
        <v>22</v>
      </c>
      <c r="D4" s="65"/>
      <c r="E4" s="65"/>
      <c r="F4" s="65"/>
      <c r="G4" s="65">
        <f>SUM($I$20:$I$78)</f>
        <v>0</v>
      </c>
      <c r="H4" s="65"/>
      <c r="I4" s="65"/>
      <c r="J4" s="65"/>
      <c r="K4" s="65">
        <f>SUM($J$20:$J$78)</f>
        <v>0</v>
      </c>
      <c r="L4" s="65"/>
      <c r="M4" s="65"/>
      <c r="N4" s="65"/>
      <c r="O4" s="89">
        <f>'Catalogo de Item de Serviço'!F17</f>
        <v>0.1</v>
      </c>
      <c r="P4" s="89"/>
      <c r="Q4" s="89"/>
      <c r="R4" s="89"/>
      <c r="S4" s="89">
        <f>'Catalogo de Item de Serviço'!G17</f>
        <v>0.35</v>
      </c>
      <c r="T4" s="89"/>
      <c r="U4" s="89"/>
      <c r="V4" s="89"/>
      <c r="W4" s="89">
        <f>'Catalogo de Item de Serviço'!H17</f>
        <v>0.52500000000000002</v>
      </c>
      <c r="X4" s="65"/>
      <c r="Y4" s="65"/>
      <c r="Z4" s="65"/>
      <c r="AB4" s="65"/>
      <c r="AC4" s="65"/>
      <c r="AD4" s="65"/>
      <c r="AF4" s="65"/>
      <c r="AG4" s="65"/>
      <c r="AH4" s="65"/>
      <c r="AJ4" s="65"/>
      <c r="AK4" s="65"/>
      <c r="AL4" s="65"/>
      <c r="AN4" s="65"/>
      <c r="AO4" s="65"/>
      <c r="AP4" s="65"/>
      <c r="AR4" s="65"/>
      <c r="AS4" s="65"/>
      <c r="AT4" s="65"/>
      <c r="AV4" s="65"/>
      <c r="AW4" s="65"/>
      <c r="AX4" s="65"/>
      <c r="AZ4" s="65"/>
      <c r="BA4" s="65"/>
      <c r="BB4" s="65"/>
      <c r="BD4" s="65"/>
      <c r="BE4" s="65"/>
      <c r="BF4" s="65"/>
      <c r="BH4" s="65"/>
      <c r="BI4" s="65"/>
      <c r="BJ4" s="65"/>
    </row>
    <row r="5" spans="1:62" x14ac:dyDescent="0.2">
      <c r="A5" s="77" t="str">
        <f>'Catalogo de Item de Serviço'!C18</f>
        <v>BPM-Validações Java Script  no Formulario</v>
      </c>
      <c r="B5" s="81" t="str">
        <f>'Catalogo de Item de Serviço'!D18</f>
        <v>Número Validações</v>
      </c>
      <c r="C5" s="65">
        <f>SUM($L$20:$L$78)</f>
        <v>5</v>
      </c>
      <c r="D5" s="65"/>
      <c r="E5" s="65"/>
      <c r="F5" s="65"/>
      <c r="G5" s="65">
        <f>SUM($M$20:$M$78)</f>
        <v>0</v>
      </c>
      <c r="H5" s="65"/>
      <c r="I5" s="65"/>
      <c r="J5" s="65"/>
      <c r="K5" s="65">
        <f>SUM($N$20:$N$78)</f>
        <v>0</v>
      </c>
      <c r="L5" s="65"/>
      <c r="M5" s="65"/>
      <c r="N5" s="65"/>
      <c r="O5" s="89">
        <f>'Catalogo de Item de Serviço'!F18</f>
        <v>1</v>
      </c>
      <c r="P5" s="89"/>
      <c r="Q5" s="89"/>
      <c r="R5" s="89"/>
      <c r="S5" s="89">
        <f>'Catalogo de Item de Serviço'!G18</f>
        <v>2</v>
      </c>
      <c r="T5" s="89"/>
      <c r="U5" s="89"/>
      <c r="V5" s="89"/>
      <c r="W5" s="89">
        <f>'Catalogo de Item de Serviço'!H18</f>
        <v>3</v>
      </c>
      <c r="X5" s="65"/>
      <c r="Y5" s="65"/>
      <c r="Z5" s="65"/>
      <c r="AB5" s="65"/>
      <c r="AC5" s="65"/>
      <c r="AD5" s="65"/>
      <c r="AF5" s="65"/>
      <c r="AG5" s="65"/>
      <c r="AH5" s="65"/>
      <c r="AJ5" s="65"/>
      <c r="AK5" s="65"/>
      <c r="AL5" s="65"/>
      <c r="AN5" s="65"/>
      <c r="AO5" s="65"/>
      <c r="AP5" s="65"/>
      <c r="AR5" s="65"/>
      <c r="AS5" s="65"/>
      <c r="AT5" s="65"/>
      <c r="AV5" s="65"/>
      <c r="AW5" s="65"/>
      <c r="AX5" s="65"/>
      <c r="AZ5" s="65"/>
      <c r="BA5" s="65"/>
      <c r="BB5" s="65"/>
      <c r="BD5" s="65"/>
      <c r="BE5" s="65"/>
      <c r="BF5" s="65"/>
      <c r="BH5" s="65"/>
      <c r="BI5" s="65"/>
      <c r="BJ5" s="65"/>
    </row>
    <row r="6" spans="1:62" x14ac:dyDescent="0.2">
      <c r="A6" s="77" t="str">
        <f>'Catalogo de Item de Serviço'!C19</f>
        <v>BPM-Validações Java Script no Mobile</v>
      </c>
      <c r="B6" s="81" t="str">
        <f>'Catalogo de Item de Serviço'!D19</f>
        <v>Número Validações</v>
      </c>
      <c r="C6" s="65">
        <f>SUM($P$20:$P$78)</f>
        <v>4</v>
      </c>
      <c r="D6" s="65"/>
      <c r="E6" s="65"/>
      <c r="F6" s="65"/>
      <c r="G6" s="65">
        <f>SUM($Q$20:$Q$78)</f>
        <v>0</v>
      </c>
      <c r="H6" s="65"/>
      <c r="I6" s="65"/>
      <c r="J6" s="65"/>
      <c r="K6" s="65">
        <f>SUM($R$20:$R$78)</f>
        <v>0</v>
      </c>
      <c r="L6" s="65"/>
      <c r="M6" s="65"/>
      <c r="N6" s="65"/>
      <c r="O6" s="89">
        <f>'Catalogo de Item de Serviço'!F19</f>
        <v>0.5</v>
      </c>
      <c r="P6" s="89"/>
      <c r="Q6" s="89"/>
      <c r="R6" s="89"/>
      <c r="S6" s="89">
        <f>'Catalogo de Item de Serviço'!G19</f>
        <v>1</v>
      </c>
      <c r="T6" s="89"/>
      <c r="U6" s="89"/>
      <c r="V6" s="89"/>
      <c r="W6" s="89">
        <f>'Catalogo de Item de Serviço'!H19</f>
        <v>2</v>
      </c>
      <c r="X6" s="65"/>
      <c r="Y6" s="65"/>
      <c r="Z6" s="65"/>
      <c r="AB6" s="65"/>
      <c r="AC6" s="65"/>
      <c r="AD6" s="65"/>
      <c r="AF6" s="65"/>
      <c r="AG6" s="65"/>
      <c r="AH6" s="65"/>
      <c r="AJ6" s="65"/>
      <c r="AK6" s="65"/>
      <c r="AL6" s="65"/>
      <c r="AN6" s="65"/>
      <c r="AO6" s="65"/>
      <c r="AP6" s="65"/>
      <c r="AR6" s="65"/>
      <c r="AS6" s="65"/>
      <c r="AT6" s="65"/>
      <c r="AV6" s="65"/>
      <c r="AW6" s="65"/>
      <c r="AX6" s="65"/>
      <c r="AZ6" s="65"/>
      <c r="BA6" s="65"/>
      <c r="BB6" s="65"/>
      <c r="BD6" s="65"/>
      <c r="BE6" s="65"/>
      <c r="BF6" s="65"/>
      <c r="BH6" s="65"/>
      <c r="BI6" s="65"/>
      <c r="BJ6" s="65"/>
    </row>
    <row r="7" spans="1:62" x14ac:dyDescent="0.2">
      <c r="A7" s="77" t="str">
        <f>'Catalogo de Item de Serviço'!C20</f>
        <v>BPM-Pesquisa (Zoom)</v>
      </c>
      <c r="B7" s="81" t="str">
        <f>'Catalogo de Item de Serviço'!D20</f>
        <v>Número Pesquisa</v>
      </c>
      <c r="C7" s="65">
        <f>SUM($T$20:$T$78)</f>
        <v>1</v>
      </c>
      <c r="D7" s="65"/>
      <c r="E7" s="65"/>
      <c r="F7" s="65"/>
      <c r="G7" s="65">
        <f>SUM($U$20:$U$78)</f>
        <v>0</v>
      </c>
      <c r="H7" s="65"/>
      <c r="I7" s="65"/>
      <c r="J7" s="65"/>
      <c r="K7" s="65">
        <f>SUM($V$20:$V$78)</f>
        <v>0</v>
      </c>
      <c r="L7" s="65"/>
      <c r="M7" s="65"/>
      <c r="N7" s="65"/>
      <c r="O7" s="89">
        <f>'Catalogo de Item de Serviço'!F20</f>
        <v>1</v>
      </c>
      <c r="P7" s="89"/>
      <c r="Q7" s="89"/>
      <c r="R7" s="89"/>
      <c r="S7" s="89">
        <f>'Catalogo de Item de Serviço'!G20</f>
        <v>4</v>
      </c>
      <c r="T7" s="89"/>
      <c r="U7" s="89"/>
      <c r="V7" s="89"/>
      <c r="W7" s="89">
        <f>'Catalogo de Item de Serviço'!H20</f>
        <v>8</v>
      </c>
      <c r="X7" s="65"/>
      <c r="Y7" s="65"/>
      <c r="Z7" s="65"/>
      <c r="AB7" s="65"/>
      <c r="AC7" s="65"/>
      <c r="AD7" s="65"/>
      <c r="AF7" s="65"/>
      <c r="AG7" s="65"/>
      <c r="AH7" s="65"/>
      <c r="AJ7" s="65"/>
      <c r="AK7" s="65"/>
      <c r="AL7" s="65"/>
      <c r="AN7" s="65"/>
      <c r="AO7" s="65"/>
      <c r="AP7" s="65"/>
      <c r="AR7" s="65"/>
      <c r="AS7" s="65"/>
      <c r="AT7" s="65"/>
      <c r="AV7" s="65"/>
      <c r="AW7" s="65"/>
      <c r="AX7" s="65"/>
      <c r="AZ7" s="65"/>
      <c r="BA7" s="65"/>
      <c r="BB7" s="65"/>
      <c r="BD7" s="65"/>
      <c r="BE7" s="65"/>
      <c r="BF7" s="65"/>
      <c r="BH7" s="65"/>
      <c r="BI7" s="65"/>
      <c r="BJ7" s="65"/>
    </row>
    <row r="8" spans="1:62" x14ac:dyDescent="0.2">
      <c r="A8" s="77" t="str">
        <f>'Catalogo de Item de Serviço'!C21</f>
        <v>BPM-Eventos de formulário</v>
      </c>
      <c r="B8" s="81" t="str">
        <f>'Catalogo de Item de Serviço'!D21</f>
        <v>Número Atividades</v>
      </c>
      <c r="C8" s="65">
        <f>SUM($X$20:$X$78)</f>
        <v>2</v>
      </c>
      <c r="D8" s="65"/>
      <c r="E8" s="65"/>
      <c r="F8" s="65"/>
      <c r="G8" s="65">
        <f>SUM($Y$20:$Y$78)</f>
        <v>0</v>
      </c>
      <c r="H8" s="65"/>
      <c r="I8" s="65"/>
      <c r="J8" s="65"/>
      <c r="K8" s="65">
        <f>SUM($Z$20:$Z$78)</f>
        <v>0</v>
      </c>
      <c r="L8" s="65"/>
      <c r="M8" s="65"/>
      <c r="N8" s="65"/>
      <c r="O8" s="89">
        <f>'Catalogo de Item de Serviço'!F21</f>
        <v>1</v>
      </c>
      <c r="P8" s="89"/>
      <c r="Q8" s="89"/>
      <c r="R8" s="89"/>
      <c r="S8" s="89">
        <f>'Catalogo de Item de Serviço'!G21</f>
        <v>1.25</v>
      </c>
      <c r="T8" s="89"/>
      <c r="U8" s="89"/>
      <c r="V8" s="89"/>
      <c r="W8" s="89">
        <f>'Catalogo de Item de Serviço'!H21</f>
        <v>1.5</v>
      </c>
      <c r="X8" s="65"/>
      <c r="Y8" s="65"/>
      <c r="Z8" s="65"/>
      <c r="AB8" s="65"/>
      <c r="AC8" s="65"/>
      <c r="AD8" s="65"/>
      <c r="AF8" s="65"/>
      <c r="AG8" s="65"/>
      <c r="AH8" s="65"/>
      <c r="AJ8" s="65"/>
      <c r="AK8" s="65"/>
      <c r="AL8" s="65"/>
      <c r="AN8" s="65"/>
      <c r="AO8" s="65"/>
      <c r="AP8" s="65"/>
      <c r="AR8" s="65"/>
      <c r="AS8" s="65"/>
      <c r="AT8" s="65"/>
      <c r="AV8" s="65"/>
      <c r="AW8" s="65"/>
      <c r="AX8" s="65"/>
      <c r="AZ8" s="65"/>
      <c r="BA8" s="65"/>
      <c r="BB8" s="65"/>
      <c r="BD8" s="65"/>
      <c r="BE8" s="65"/>
      <c r="BF8" s="65"/>
      <c r="BH8" s="65"/>
      <c r="BI8" s="65"/>
      <c r="BJ8" s="65"/>
    </row>
    <row r="9" spans="1:62" x14ac:dyDescent="0.2">
      <c r="A9" s="77" t="str">
        <f>'Catalogo de Item de Serviço'!C22</f>
        <v>BPM-Eventos do processo</v>
      </c>
      <c r="B9" s="81" t="str">
        <f>'Catalogo de Item de Serviço'!D22</f>
        <v>Número Eventos</v>
      </c>
      <c r="C9" s="65">
        <f>SUM($AB$20:$AB$78)</f>
        <v>2</v>
      </c>
      <c r="D9" s="65"/>
      <c r="E9" s="65"/>
      <c r="F9" s="65"/>
      <c r="G9" s="65">
        <f>SUM($AC$20:$AC$78)</f>
        <v>0</v>
      </c>
      <c r="H9" s="65"/>
      <c r="I9" s="65"/>
      <c r="J9" s="65"/>
      <c r="K9" s="65">
        <f>SUM($AD$20:$AD$78)</f>
        <v>0</v>
      </c>
      <c r="L9" s="65"/>
      <c r="M9" s="65"/>
      <c r="N9" s="65"/>
      <c r="O9" s="89">
        <f>'Catalogo de Item de Serviço'!F22</f>
        <v>8</v>
      </c>
      <c r="P9" s="89"/>
      <c r="Q9" s="89"/>
      <c r="R9" s="89"/>
      <c r="S9" s="89">
        <f>'Catalogo de Item de Serviço'!G22</f>
        <v>12</v>
      </c>
      <c r="T9" s="89"/>
      <c r="U9" s="89"/>
      <c r="V9" s="89"/>
      <c r="W9" s="89">
        <f>'Catalogo de Item de Serviço'!H22</f>
        <v>16</v>
      </c>
      <c r="X9" s="65"/>
      <c r="Y9" s="65"/>
      <c r="Z9" s="65"/>
      <c r="AB9" s="65"/>
      <c r="AC9" s="65"/>
      <c r="AD9" s="65"/>
      <c r="AF9" s="65"/>
      <c r="AG9" s="65"/>
      <c r="AH9" s="65"/>
      <c r="AJ9" s="65"/>
      <c r="AK9" s="65"/>
      <c r="AL9" s="65"/>
      <c r="AN9" s="65"/>
      <c r="AO9" s="65"/>
      <c r="AP9" s="65"/>
      <c r="AR9" s="65"/>
      <c r="AS9" s="65"/>
      <c r="AT9" s="65"/>
      <c r="AV9" s="65"/>
      <c r="AW9" s="65"/>
      <c r="AX9" s="65"/>
      <c r="AZ9" s="65"/>
      <c r="BA9" s="65"/>
      <c r="BB9" s="65"/>
      <c r="BD9" s="65"/>
      <c r="BE9" s="65"/>
      <c r="BF9" s="65"/>
      <c r="BH9" s="65"/>
      <c r="BI9" s="65"/>
      <c r="BJ9" s="65"/>
    </row>
    <row r="10" spans="1:62" x14ac:dyDescent="0.2">
      <c r="A10" s="77" t="str">
        <f>'Catalogo de Item de Serviço'!C23</f>
        <v>BPM-Atividades Processo</v>
      </c>
      <c r="B10" s="81" t="str">
        <f>'Catalogo de Item de Serviço'!D23</f>
        <v>Número Atividades</v>
      </c>
      <c r="C10" s="65">
        <f>SUM($AF$20:$AF$78)</f>
        <v>4</v>
      </c>
      <c r="D10" s="65"/>
      <c r="E10" s="65"/>
      <c r="F10" s="65"/>
      <c r="G10" s="65">
        <f>SUM($AG$20:$AG$78)</f>
        <v>0</v>
      </c>
      <c r="H10" s="65"/>
      <c r="I10" s="65"/>
      <c r="J10" s="65"/>
      <c r="K10" s="65">
        <f>SUM($AH$20:$AH$78)</f>
        <v>0</v>
      </c>
      <c r="L10" s="65"/>
      <c r="M10" s="65"/>
      <c r="N10" s="65"/>
      <c r="O10" s="89">
        <f>'Catalogo de Item de Serviço'!F23</f>
        <v>0.5</v>
      </c>
      <c r="P10" s="89"/>
      <c r="Q10" s="89"/>
      <c r="R10" s="89"/>
      <c r="S10" s="89">
        <f>'Catalogo de Item de Serviço'!G23</f>
        <v>1.5</v>
      </c>
      <c r="T10" s="89"/>
      <c r="U10" s="89"/>
      <c r="V10" s="89"/>
      <c r="W10" s="89">
        <f>'Catalogo de Item de Serviço'!H23</f>
        <v>2</v>
      </c>
      <c r="X10" s="65"/>
      <c r="Y10" s="65"/>
      <c r="Z10" s="65"/>
      <c r="AB10" s="65"/>
      <c r="AC10" s="65"/>
      <c r="AD10" s="65"/>
      <c r="AF10" s="65"/>
      <c r="AG10" s="65"/>
      <c r="AH10" s="65"/>
      <c r="AJ10" s="65"/>
      <c r="AK10" s="65"/>
      <c r="AL10" s="65"/>
      <c r="AN10" s="65"/>
      <c r="AO10" s="65"/>
      <c r="AP10" s="65"/>
      <c r="AR10" s="65"/>
      <c r="AS10" s="65"/>
      <c r="AT10" s="65"/>
      <c r="AV10" s="65"/>
      <c r="AW10" s="65"/>
      <c r="AX10" s="65"/>
      <c r="AZ10" s="65"/>
      <c r="BA10" s="65"/>
      <c r="BB10" s="65"/>
      <c r="BD10" s="65"/>
      <c r="BE10" s="65"/>
      <c r="BF10" s="65"/>
      <c r="BH10" s="65"/>
      <c r="BI10" s="65"/>
      <c r="BJ10" s="65"/>
    </row>
    <row r="11" spans="1:62" x14ac:dyDescent="0.2">
      <c r="A11" s="77" t="str">
        <f>'Catalogo de Item de Serviço'!C24</f>
        <v>BPM-Atividades Automaticas</v>
      </c>
      <c r="B11" s="81" t="str">
        <f>'Catalogo de Item de Serviço'!D24</f>
        <v>Número Atividades</v>
      </c>
      <c r="C11" s="65">
        <f>SUM($AJ$20:$AJ$78)</f>
        <v>3</v>
      </c>
      <c r="D11" s="65"/>
      <c r="E11" s="65"/>
      <c r="F11" s="65"/>
      <c r="G11" s="65">
        <f>SUM($AK$20:$AK$78)</f>
        <v>0</v>
      </c>
      <c r="H11" s="65"/>
      <c r="I11" s="65"/>
      <c r="J11" s="65"/>
      <c r="K11" s="65">
        <f>SUM($AL$20:$AL$78)</f>
        <v>0</v>
      </c>
      <c r="L11" s="65"/>
      <c r="M11" s="65"/>
      <c r="N11" s="65"/>
      <c r="O11" s="89">
        <f>'Catalogo de Item de Serviço'!F24</f>
        <v>1</v>
      </c>
      <c r="P11" s="89"/>
      <c r="Q11" s="89"/>
      <c r="R11" s="89"/>
      <c r="S11" s="89">
        <f>'Catalogo de Item de Serviço'!G24</f>
        <v>2</v>
      </c>
      <c r="T11" s="89"/>
      <c r="U11" s="89"/>
      <c r="V11" s="89"/>
      <c r="W11" s="89">
        <f>'Catalogo de Item de Serviço'!H24</f>
        <v>4</v>
      </c>
      <c r="X11" s="65"/>
      <c r="Y11" s="65"/>
      <c r="Z11" s="65"/>
      <c r="AB11" s="65"/>
      <c r="AC11" s="65"/>
      <c r="AD11" s="65"/>
      <c r="AF11" s="65"/>
      <c r="AG11" s="65"/>
      <c r="AH11" s="65"/>
      <c r="AJ11" s="65"/>
      <c r="AK11" s="65"/>
      <c r="AL11" s="65"/>
      <c r="AN11" s="65"/>
      <c r="AO11" s="65"/>
      <c r="AP11" s="65"/>
      <c r="AR11" s="65"/>
      <c r="AS11" s="65"/>
      <c r="AT11" s="65"/>
      <c r="AV11" s="65"/>
      <c r="AW11" s="65"/>
      <c r="AX11" s="65"/>
      <c r="AZ11" s="65"/>
      <c r="BA11" s="65"/>
      <c r="BB11" s="65"/>
      <c r="BD11" s="65"/>
      <c r="BE11" s="65"/>
      <c r="BF11" s="65"/>
      <c r="BH11" s="65"/>
      <c r="BI11" s="65"/>
      <c r="BJ11" s="65"/>
    </row>
    <row r="12" spans="1:62" x14ac:dyDescent="0.2">
      <c r="A12" s="77" t="str">
        <f>'Catalogo de Item de Serviço'!C25</f>
        <v>BPM-Dataset Interno</v>
      </c>
      <c r="B12" s="81" t="str">
        <f>'Catalogo de Item de Serviço'!D25</f>
        <v>Número Datasets</v>
      </c>
      <c r="C12" s="65">
        <f>SUM($AN$20:$AN$78)</f>
        <v>1</v>
      </c>
      <c r="D12" s="65"/>
      <c r="E12" s="65"/>
      <c r="F12" s="65"/>
      <c r="G12" s="65">
        <f>SUM($AO$20:$AO$78)</f>
        <v>0</v>
      </c>
      <c r="H12" s="65"/>
      <c r="I12" s="65"/>
      <c r="J12" s="65"/>
      <c r="K12" s="65">
        <f>SUM($AP$20:$AP$78)</f>
        <v>0</v>
      </c>
      <c r="L12" s="65"/>
      <c r="M12" s="65"/>
      <c r="N12" s="65"/>
      <c r="O12" s="89">
        <f>'Catalogo de Item de Serviço'!F25</f>
        <v>2</v>
      </c>
      <c r="P12" s="89"/>
      <c r="Q12" s="89"/>
      <c r="R12" s="89"/>
      <c r="S12" s="89">
        <f>'Catalogo de Item de Serviço'!G25</f>
        <v>4</v>
      </c>
      <c r="T12" s="89"/>
      <c r="U12" s="89"/>
      <c r="V12" s="89"/>
      <c r="W12" s="89">
        <f>'Catalogo de Item de Serviço'!H25</f>
        <v>8</v>
      </c>
      <c r="X12" s="65"/>
      <c r="Y12" s="65"/>
      <c r="Z12" s="65"/>
      <c r="AB12" s="65"/>
      <c r="AC12" s="65"/>
      <c r="AD12" s="65"/>
      <c r="AF12" s="65"/>
      <c r="AG12" s="65"/>
      <c r="AH12" s="65"/>
      <c r="AJ12" s="65"/>
      <c r="AK12" s="65"/>
      <c r="AL12" s="65"/>
      <c r="AN12" s="65"/>
      <c r="AO12" s="65"/>
      <c r="AP12" s="65"/>
      <c r="AR12" s="65"/>
      <c r="AS12" s="65"/>
      <c r="AT12" s="65"/>
      <c r="AV12" s="65"/>
      <c r="AW12" s="65"/>
      <c r="AX12" s="65"/>
      <c r="AZ12" s="65"/>
      <c r="BA12" s="65"/>
      <c r="BB12" s="65"/>
      <c r="BD12" s="65"/>
      <c r="BE12" s="65"/>
      <c r="BF12" s="65"/>
      <c r="BH12" s="65"/>
      <c r="BI12" s="65"/>
      <c r="BJ12" s="65"/>
    </row>
    <row r="13" spans="1:62" x14ac:dyDescent="0.2">
      <c r="A13" s="77" t="str">
        <f>'Catalogo de Item de Serviço'!C26</f>
        <v>BPM-Dataset para integração</v>
      </c>
      <c r="B13" s="81" t="str">
        <f>'Catalogo de Item de Serviço'!D26</f>
        <v>Número Datasets</v>
      </c>
      <c r="C13" s="65">
        <f>SUM($AR$20:$AR$78)</f>
        <v>0</v>
      </c>
      <c r="D13" s="65"/>
      <c r="E13" s="65"/>
      <c r="F13" s="65"/>
      <c r="G13" s="65">
        <f>SUM($AS$20:$AS$78)</f>
        <v>0</v>
      </c>
      <c r="H13" s="65"/>
      <c r="I13" s="65"/>
      <c r="J13" s="65"/>
      <c r="K13" s="65">
        <f>SUM($AT$20:$AT$78)</f>
        <v>0</v>
      </c>
      <c r="L13" s="65"/>
      <c r="M13" s="65"/>
      <c r="N13" s="65"/>
      <c r="O13" s="89">
        <f>'Catalogo de Item de Serviço'!F26</f>
        <v>8</v>
      </c>
      <c r="P13" s="89"/>
      <c r="Q13" s="89"/>
      <c r="R13" s="89"/>
      <c r="S13" s="89">
        <f>'Catalogo de Item de Serviço'!G26</f>
        <v>16</v>
      </c>
      <c r="T13" s="89"/>
      <c r="U13" s="89"/>
      <c r="V13" s="89"/>
      <c r="W13" s="89">
        <f>'Catalogo de Item de Serviço'!H26</f>
        <v>32</v>
      </c>
      <c r="X13" s="65"/>
      <c r="Y13" s="65"/>
      <c r="Z13" s="65"/>
      <c r="AB13" s="65"/>
      <c r="AC13" s="65"/>
      <c r="AD13" s="65"/>
      <c r="AF13" s="65"/>
      <c r="AG13" s="65"/>
      <c r="AH13" s="65"/>
      <c r="AJ13" s="65"/>
      <c r="AK13" s="65"/>
      <c r="AL13" s="65"/>
      <c r="AN13" s="65"/>
      <c r="AO13" s="65"/>
      <c r="AP13" s="65"/>
      <c r="AR13" s="65"/>
      <c r="AS13" s="65"/>
      <c r="AT13" s="65"/>
      <c r="AV13" s="65"/>
      <c r="AW13" s="65"/>
      <c r="AX13" s="65"/>
      <c r="AZ13" s="65"/>
      <c r="BA13" s="65"/>
      <c r="BB13" s="65"/>
      <c r="BD13" s="65"/>
      <c r="BE13" s="65"/>
      <c r="BF13" s="65"/>
      <c r="BH13" s="65"/>
      <c r="BI13" s="65"/>
      <c r="BJ13" s="65"/>
    </row>
    <row r="14" spans="1:62" hidden="1" x14ac:dyDescent="0.2">
      <c r="A14" s="77" t="str">
        <f>'Catalogo de Item de Serviço'!C27</f>
        <v>Não utilizar</v>
      </c>
      <c r="B14" s="81" t="str">
        <f>'Catalogo de Item de Serviço'!D27</f>
        <v>Não utilizar</v>
      </c>
      <c r="C14" s="65">
        <f>SUM($AV$20:$AV$78)</f>
        <v>0</v>
      </c>
      <c r="D14" s="65"/>
      <c r="E14" s="65"/>
      <c r="F14" s="65"/>
      <c r="G14" s="65">
        <f>SUM($AW$20:$AW$78)</f>
        <v>0</v>
      </c>
      <c r="H14" s="65"/>
      <c r="I14" s="65"/>
      <c r="J14" s="65"/>
      <c r="K14" s="65">
        <f>SUM($AX$20:$AX$78)</f>
        <v>0</v>
      </c>
      <c r="L14" s="65"/>
      <c r="M14" s="65"/>
      <c r="N14" s="65"/>
      <c r="O14" s="89">
        <f>'Catalogo de Item de Serviço'!F27</f>
        <v>0</v>
      </c>
      <c r="P14" s="89"/>
      <c r="Q14" s="89"/>
      <c r="R14" s="89"/>
      <c r="S14" s="89">
        <f>'Catalogo de Item de Serviço'!G27</f>
        <v>0</v>
      </c>
      <c r="T14" s="89"/>
      <c r="U14" s="89"/>
      <c r="V14" s="89"/>
      <c r="W14" s="89">
        <f>'Catalogo de Item de Serviço'!H27</f>
        <v>0</v>
      </c>
      <c r="X14" s="65"/>
      <c r="Y14" s="65"/>
      <c r="Z14" s="65"/>
      <c r="AB14" s="65"/>
      <c r="AC14" s="65"/>
      <c r="AD14" s="65"/>
      <c r="AF14" s="65"/>
      <c r="AG14" s="65"/>
      <c r="AH14" s="65"/>
      <c r="AJ14" s="65"/>
      <c r="AK14" s="65"/>
      <c r="AL14" s="65"/>
      <c r="AN14" s="65"/>
      <c r="AO14" s="65"/>
      <c r="AP14" s="65"/>
      <c r="AR14" s="65"/>
      <c r="AS14" s="65"/>
      <c r="AT14" s="65"/>
      <c r="AV14" s="65"/>
      <c r="AW14" s="65"/>
      <c r="AX14" s="65"/>
      <c r="AZ14" s="65"/>
      <c r="BA14" s="65"/>
      <c r="BB14" s="65"/>
      <c r="BD14" s="65"/>
      <c r="BE14" s="65"/>
      <c r="BF14" s="65"/>
      <c r="BH14" s="65"/>
      <c r="BI14" s="65"/>
      <c r="BJ14" s="65"/>
    </row>
    <row r="15" spans="1:62" x14ac:dyDescent="0.2">
      <c r="A15" s="77" t="str">
        <f>'Catalogo de Item de Serviço'!C28</f>
        <v>BPM-Web Services Externo para integração</v>
      </c>
      <c r="B15" s="81" t="str">
        <f>'Catalogo de Item de Serviço'!D28</f>
        <v>Número Web Services</v>
      </c>
      <c r="C15" s="65">
        <f>SUM($AZ$20:$AZ$78)</f>
        <v>0</v>
      </c>
      <c r="D15" s="65"/>
      <c r="E15" s="65"/>
      <c r="F15" s="65"/>
      <c r="G15" s="65">
        <f>SUM($BA$20:$BA$78)</f>
        <v>0</v>
      </c>
      <c r="H15" s="65"/>
      <c r="I15" s="65"/>
      <c r="J15" s="65"/>
      <c r="K15" s="65">
        <f>SUM($BB$20:$BB$78)</f>
        <v>0</v>
      </c>
      <c r="L15" s="65"/>
      <c r="M15" s="65"/>
      <c r="N15" s="65"/>
      <c r="O15" s="89">
        <f>'Catalogo de Item de Serviço'!F28</f>
        <v>8</v>
      </c>
      <c r="P15" s="89"/>
      <c r="Q15" s="89"/>
      <c r="R15" s="89"/>
      <c r="S15" s="89">
        <f>'Catalogo de Item de Serviço'!G28</f>
        <v>16</v>
      </c>
      <c r="T15" s="89"/>
      <c r="U15" s="89"/>
      <c r="V15" s="89"/>
      <c r="W15" s="89">
        <f>'Catalogo de Item de Serviço'!H28</f>
        <v>24</v>
      </c>
      <c r="X15" s="65"/>
      <c r="Y15" s="65"/>
      <c r="Z15" s="65"/>
      <c r="AB15" s="65"/>
      <c r="AC15" s="65"/>
      <c r="AD15" s="65"/>
      <c r="AF15" s="65"/>
      <c r="AG15" s="65"/>
      <c r="AH15" s="65"/>
      <c r="AJ15" s="65"/>
      <c r="AK15" s="65"/>
      <c r="AL15" s="65"/>
      <c r="AN15" s="65"/>
      <c r="AO15" s="65"/>
      <c r="AP15" s="65"/>
      <c r="AR15" s="65"/>
      <c r="AS15" s="65"/>
      <c r="AT15" s="65"/>
      <c r="AV15" s="65"/>
      <c r="AW15" s="65"/>
      <c r="AX15" s="65"/>
      <c r="AZ15" s="65"/>
      <c r="BA15" s="65"/>
      <c r="BB15" s="65"/>
      <c r="BD15" s="65"/>
      <c r="BE15" s="65"/>
      <c r="BF15" s="65"/>
      <c r="BH15" s="65"/>
      <c r="BI15" s="65"/>
      <c r="BJ15" s="65"/>
    </row>
    <row r="16" spans="1:62" x14ac:dyDescent="0.2">
      <c r="A16" s="77" t="str">
        <f>'Catalogo de Item de Serviço'!C29</f>
        <v>BPM-Desenvolvimento Relatório Analytics</v>
      </c>
      <c r="B16" s="81" t="str">
        <f>'Catalogo de Item de Serviço'!D29</f>
        <v>Número Relatórios</v>
      </c>
      <c r="C16" s="65">
        <f>SUM($BD$20:$BD$78)</f>
        <v>0</v>
      </c>
      <c r="D16" s="65"/>
      <c r="E16" s="65"/>
      <c r="F16" s="65"/>
      <c r="G16" s="65">
        <f>SUM($BE$20:$BE$78)</f>
        <v>0</v>
      </c>
      <c r="H16" s="65"/>
      <c r="I16" s="65"/>
      <c r="J16" s="65"/>
      <c r="K16" s="65">
        <f>SUM($BF$20:$BF$78)</f>
        <v>0</v>
      </c>
      <c r="L16" s="65"/>
      <c r="M16" s="65"/>
      <c r="N16" s="65"/>
      <c r="O16" s="89">
        <f>'Catalogo de Item de Serviço'!F29</f>
        <v>16</v>
      </c>
      <c r="P16" s="89"/>
      <c r="Q16" s="89"/>
      <c r="R16" s="89"/>
      <c r="S16" s="89">
        <f>'Catalogo de Item de Serviço'!G29</f>
        <v>24</v>
      </c>
      <c r="T16" s="89"/>
      <c r="U16" s="89"/>
      <c r="V16" s="89"/>
      <c r="W16" s="89">
        <f>'Catalogo de Item de Serviço'!H29</f>
        <v>40</v>
      </c>
      <c r="X16" s="127"/>
      <c r="Y16" s="127"/>
      <c r="Z16" s="127"/>
      <c r="AB16" s="127"/>
      <c r="AC16" s="127"/>
      <c r="AD16" s="127"/>
      <c r="AF16" s="127"/>
      <c r="AG16" s="127"/>
      <c r="AH16" s="127"/>
      <c r="AJ16" s="127"/>
      <c r="AK16" s="127"/>
      <c r="AL16" s="127"/>
      <c r="AN16" s="127"/>
      <c r="AO16" s="127"/>
      <c r="AP16" s="127"/>
      <c r="AR16" s="127"/>
      <c r="AS16" s="127"/>
      <c r="AT16" s="127"/>
      <c r="AV16" s="127"/>
      <c r="AW16" s="127"/>
      <c r="AX16" s="127"/>
      <c r="AZ16" s="127"/>
      <c r="BA16" s="127"/>
      <c r="BB16" s="127"/>
      <c r="BD16" s="127"/>
      <c r="BE16" s="127"/>
      <c r="BF16" s="127"/>
      <c r="BH16" s="127"/>
      <c r="BI16" s="127"/>
      <c r="BJ16" s="127"/>
    </row>
    <row r="17" spans="1:62" x14ac:dyDescent="0.2">
      <c r="A17" s="77" t="str">
        <f>'Catalogo de Item de Serviço'!C30</f>
        <v>BPM-Relatorio BIRT</v>
      </c>
      <c r="B17" s="81" t="str">
        <f>'Catalogo de Item de Serviço'!D30</f>
        <v>Número Relatórios</v>
      </c>
      <c r="C17" s="65">
        <f>SUM($BH$20:$BH$78)</f>
        <v>0</v>
      </c>
      <c r="D17" s="65"/>
      <c r="E17" s="65"/>
      <c r="F17" s="65"/>
      <c r="G17" s="65">
        <f>SUM($BI$20:$BI$78)</f>
        <v>0</v>
      </c>
      <c r="H17" s="65"/>
      <c r="I17" s="65"/>
      <c r="J17" s="65"/>
      <c r="K17" s="65">
        <f>SUM($BJ$20:$BJ$78)</f>
        <v>0</v>
      </c>
      <c r="L17" s="127"/>
      <c r="M17" s="127"/>
      <c r="N17" s="127"/>
      <c r="O17" s="89">
        <f>'Catalogo de Item de Serviço'!F30</f>
        <v>24</v>
      </c>
      <c r="P17" s="89"/>
      <c r="Q17" s="89"/>
      <c r="R17" s="89"/>
      <c r="S17" s="89">
        <f>'Catalogo de Item de Serviço'!G30</f>
        <v>40</v>
      </c>
      <c r="T17" s="89"/>
      <c r="U17" s="89"/>
      <c r="V17" s="89"/>
      <c r="W17" s="89">
        <f>'Catalogo de Item de Serviço'!H30</f>
        <v>80</v>
      </c>
      <c r="X17" s="127"/>
      <c r="Y17" s="127"/>
      <c r="Z17" s="127"/>
      <c r="AB17" s="127"/>
      <c r="AC17" s="127"/>
      <c r="AD17" s="127"/>
      <c r="AF17" s="127"/>
      <c r="AG17" s="127"/>
      <c r="AH17" s="127"/>
      <c r="AJ17" s="127"/>
      <c r="AK17" s="127"/>
      <c r="AL17" s="127"/>
      <c r="AN17" s="127"/>
      <c r="AO17" s="127"/>
      <c r="AP17" s="127"/>
      <c r="AR17" s="127"/>
      <c r="AS17" s="127"/>
      <c r="AT17" s="127"/>
      <c r="AV17" s="127"/>
      <c r="AW17" s="127"/>
      <c r="AX17" s="127"/>
      <c r="AZ17" s="127"/>
      <c r="BA17" s="127"/>
      <c r="BB17" s="127"/>
      <c r="BD17" s="127"/>
      <c r="BE17" s="127"/>
      <c r="BF17" s="127"/>
      <c r="BH17" s="127"/>
      <c r="BI17" s="127"/>
      <c r="BJ17" s="127"/>
    </row>
    <row r="18" spans="1:62" x14ac:dyDescent="0.2">
      <c r="A18" s="68"/>
      <c r="B18" s="66"/>
      <c r="C18" s="66" t="s">
        <v>198</v>
      </c>
      <c r="D18" s="66" t="s">
        <v>198</v>
      </c>
      <c r="E18" s="66" t="s">
        <v>198</v>
      </c>
      <c r="F18" s="66" t="s">
        <v>198</v>
      </c>
      <c r="G18" s="66" t="s">
        <v>198</v>
      </c>
      <c r="H18" s="66" t="s">
        <v>198</v>
      </c>
      <c r="I18" s="66" t="s">
        <v>198</v>
      </c>
      <c r="J18" s="66" t="s">
        <v>198</v>
      </c>
      <c r="K18" s="66" t="s">
        <v>198</v>
      </c>
      <c r="L18" s="66" t="s">
        <v>198</v>
      </c>
      <c r="M18" s="66" t="s">
        <v>198</v>
      </c>
      <c r="N18" s="66" t="s">
        <v>198</v>
      </c>
      <c r="O18" s="66" t="s">
        <v>198</v>
      </c>
      <c r="P18" s="66" t="s">
        <v>198</v>
      </c>
      <c r="Q18" s="66" t="s">
        <v>198</v>
      </c>
      <c r="R18" s="66" t="s">
        <v>198</v>
      </c>
      <c r="S18" s="66" t="s">
        <v>198</v>
      </c>
      <c r="T18" s="66" t="s">
        <v>198</v>
      </c>
      <c r="U18" s="66" t="s">
        <v>198</v>
      </c>
      <c r="V18" s="66" t="s">
        <v>198</v>
      </c>
      <c r="W18" s="66" t="s">
        <v>198</v>
      </c>
      <c r="X18" s="66" t="s">
        <v>198</v>
      </c>
      <c r="Y18" s="66" t="s">
        <v>198</v>
      </c>
      <c r="Z18" s="66" t="s">
        <v>198</v>
      </c>
      <c r="AA18" s="66" t="s">
        <v>198</v>
      </c>
      <c r="AB18" s="66" t="s">
        <v>198</v>
      </c>
      <c r="AC18" s="66" t="s">
        <v>198</v>
      </c>
      <c r="AD18" s="66" t="s">
        <v>198</v>
      </c>
      <c r="AE18" s="66" t="s">
        <v>198</v>
      </c>
      <c r="AF18" s="66" t="s">
        <v>198</v>
      </c>
      <c r="AG18" s="66" t="s">
        <v>198</v>
      </c>
      <c r="AH18" s="66" t="s">
        <v>198</v>
      </c>
      <c r="AI18" s="66" t="s">
        <v>198</v>
      </c>
      <c r="AJ18" s="66" t="s">
        <v>198</v>
      </c>
      <c r="AK18" s="66" t="s">
        <v>198</v>
      </c>
      <c r="AL18" s="66" t="s">
        <v>198</v>
      </c>
      <c r="AM18" s="66" t="s">
        <v>198</v>
      </c>
      <c r="AN18" s="66" t="s">
        <v>198</v>
      </c>
      <c r="AO18" s="66" t="s">
        <v>198</v>
      </c>
      <c r="AP18" s="66" t="s">
        <v>198</v>
      </c>
      <c r="AQ18" s="66" t="s">
        <v>198</v>
      </c>
      <c r="AR18" s="66" t="s">
        <v>198</v>
      </c>
      <c r="AS18" s="66" t="s">
        <v>198</v>
      </c>
      <c r="AT18" s="66" t="s">
        <v>198</v>
      </c>
      <c r="AU18" s="66" t="s">
        <v>198</v>
      </c>
      <c r="AV18" s="66" t="s">
        <v>198</v>
      </c>
      <c r="AW18" s="66" t="s">
        <v>198</v>
      </c>
      <c r="AX18" s="66" t="s">
        <v>198</v>
      </c>
      <c r="AY18" s="66" t="s">
        <v>198</v>
      </c>
      <c r="AZ18" s="66" t="s">
        <v>198</v>
      </c>
      <c r="BA18" s="66" t="s">
        <v>198</v>
      </c>
      <c r="BB18" s="66" t="s">
        <v>198</v>
      </c>
      <c r="BC18" s="66" t="s">
        <v>198</v>
      </c>
      <c r="BD18" s="66" t="s">
        <v>198</v>
      </c>
      <c r="BE18" s="66" t="s">
        <v>198</v>
      </c>
      <c r="BF18" s="66" t="s">
        <v>198</v>
      </c>
      <c r="BG18" s="66" t="s">
        <v>198</v>
      </c>
    </row>
    <row r="19" spans="1:62" s="74" customFormat="1" ht="53.25" customHeight="1" x14ac:dyDescent="0.2">
      <c r="A19" s="64" t="s">
        <v>99</v>
      </c>
      <c r="B19" s="18" t="s">
        <v>101</v>
      </c>
      <c r="C19" s="18" t="str">
        <f>A3</f>
        <v>BPM-Formulario HTML</v>
      </c>
      <c r="D19" s="18"/>
      <c r="E19" s="18"/>
      <c r="F19" s="18"/>
      <c r="G19" s="18" t="str">
        <f>A4</f>
        <v>BPM-Formulario Mobile</v>
      </c>
      <c r="H19" s="18"/>
      <c r="I19" s="18"/>
      <c r="J19" s="18"/>
      <c r="K19" s="18" t="str">
        <f>A5</f>
        <v>BPM-Validações Java Script  no Formulario</v>
      </c>
      <c r="L19" s="18"/>
      <c r="M19" s="18"/>
      <c r="N19" s="18"/>
      <c r="O19" s="18" t="str">
        <f>A6</f>
        <v>BPM-Validações Java Script no Mobile</v>
      </c>
      <c r="P19" s="18"/>
      <c r="Q19" s="18"/>
      <c r="R19" s="18"/>
      <c r="S19" s="18" t="str">
        <f>A7</f>
        <v>BPM-Pesquisa (Zoom)</v>
      </c>
      <c r="T19" s="18"/>
      <c r="U19" s="18"/>
      <c r="V19" s="18"/>
      <c r="W19" s="18" t="str">
        <f>A8</f>
        <v>BPM-Eventos de formulário</v>
      </c>
      <c r="X19" s="18"/>
      <c r="Y19" s="18"/>
      <c r="Z19" s="18"/>
      <c r="AA19" s="18" t="str">
        <f>A9</f>
        <v>BPM-Eventos do processo</v>
      </c>
      <c r="AB19" s="18"/>
      <c r="AC19" s="18"/>
      <c r="AD19" s="18"/>
      <c r="AE19" s="18" t="str">
        <f>A10</f>
        <v>BPM-Atividades Processo</v>
      </c>
      <c r="AF19" s="18"/>
      <c r="AG19" s="18"/>
      <c r="AH19" s="18"/>
      <c r="AI19" s="18" t="str">
        <f>A11</f>
        <v>BPM-Atividades Automaticas</v>
      </c>
      <c r="AJ19" s="18"/>
      <c r="AK19" s="18"/>
      <c r="AL19" s="18"/>
      <c r="AM19" s="18" t="str">
        <f>A12</f>
        <v>BPM-Dataset Interno</v>
      </c>
      <c r="AN19" s="18"/>
      <c r="AO19" s="18"/>
      <c r="AP19" s="18"/>
      <c r="AQ19" s="18" t="str">
        <f>A13</f>
        <v>BPM-Dataset para integração</v>
      </c>
      <c r="AR19" s="18"/>
      <c r="AS19" s="18"/>
      <c r="AT19" s="18"/>
      <c r="AU19" s="140" t="str">
        <f>A14</f>
        <v>Não utilizar</v>
      </c>
      <c r="AV19" s="18"/>
      <c r="AW19" s="18"/>
      <c r="AX19" s="18"/>
      <c r="AY19" s="18" t="str">
        <f>A15</f>
        <v>BPM-Web Services Externo para integração</v>
      </c>
      <c r="AZ19" s="73"/>
      <c r="BA19" s="73"/>
      <c r="BB19" s="73"/>
      <c r="BC19" s="18" t="str">
        <f>A16</f>
        <v>BPM-Desenvolvimento Relatório Analytics</v>
      </c>
      <c r="BD19" s="73"/>
      <c r="BE19" s="73"/>
      <c r="BF19" s="73"/>
      <c r="BG19" s="18" t="str">
        <f>A17</f>
        <v>BPM-Relatorio BIRT</v>
      </c>
      <c r="BH19" s="73"/>
      <c r="BI19" s="73"/>
      <c r="BJ19" s="73"/>
    </row>
    <row r="20" spans="1:62" x14ac:dyDescent="0.2">
      <c r="A20" s="71" t="s">
        <v>259</v>
      </c>
      <c r="B20" s="96" t="s">
        <v>52</v>
      </c>
      <c r="C20" s="96">
        <v>20</v>
      </c>
      <c r="D20" s="97">
        <f>IF($B20="1-baixa",C20,0)</f>
        <v>20</v>
      </c>
      <c r="E20" s="97">
        <f>IF($B20="2-media",C20,0)</f>
        <v>0</v>
      </c>
      <c r="F20" s="97">
        <f>IF($B20="3-Alta",C20,0)</f>
        <v>0</v>
      </c>
      <c r="G20" s="96">
        <v>20</v>
      </c>
      <c r="H20" s="97">
        <f>IF($B20="1-baixa",G20,0)</f>
        <v>20</v>
      </c>
      <c r="I20" s="97">
        <f>IF($B20="2-media",G20,0)</f>
        <v>0</v>
      </c>
      <c r="J20" s="97">
        <f>IF($B20="3-Alta",G20,0)</f>
        <v>0</v>
      </c>
      <c r="K20" s="96">
        <v>4</v>
      </c>
      <c r="L20" s="97">
        <f>IF($B20="1-baixa",K20,0)</f>
        <v>4</v>
      </c>
      <c r="M20" s="97">
        <f>IF($B20="2-media",K20,0)</f>
        <v>0</v>
      </c>
      <c r="N20" s="97">
        <f>IF($B20="3-Alta",K20,0)</f>
        <v>0</v>
      </c>
      <c r="O20" s="96">
        <v>4</v>
      </c>
      <c r="P20" s="97">
        <f>IF($B20="1-baixa",O20,0)</f>
        <v>4</v>
      </c>
      <c r="Q20" s="97">
        <f>IF($B20="2-media",O20,0)</f>
        <v>0</v>
      </c>
      <c r="R20" s="97">
        <f>IF($B20="3-Alta",O20,0)</f>
        <v>0</v>
      </c>
      <c r="S20" s="96">
        <v>1</v>
      </c>
      <c r="T20" s="97">
        <f>IF($B20="1-baixa",S20,0)</f>
        <v>1</v>
      </c>
      <c r="U20" s="97">
        <f>IF($B20="2-media",S20,0)</f>
        <v>0</v>
      </c>
      <c r="V20" s="97">
        <f>IF($B20="3-Alta",S20,0)</f>
        <v>0</v>
      </c>
      <c r="W20" s="96">
        <v>1</v>
      </c>
      <c r="X20" s="97">
        <f>IF($B20="1-baixa",W20,0)</f>
        <v>1</v>
      </c>
      <c r="Y20" s="97">
        <f>IF($B20="2-media",W20,0)</f>
        <v>0</v>
      </c>
      <c r="Z20" s="97">
        <f>IF($B20="3-Alta",W20,0)</f>
        <v>0</v>
      </c>
      <c r="AA20" s="96">
        <v>2</v>
      </c>
      <c r="AB20" s="97">
        <f>IF($B20="1-baixa",AA20,0)</f>
        <v>2</v>
      </c>
      <c r="AC20" s="97">
        <f>IF($B20="2-media",AA20,0)</f>
        <v>0</v>
      </c>
      <c r="AD20" s="97">
        <f>IF($B20="3-Alta",AA20,0)</f>
        <v>0</v>
      </c>
      <c r="AE20" s="96">
        <v>4</v>
      </c>
      <c r="AF20" s="97">
        <f>IF($B20="1-baixa",AE20,0)</f>
        <v>4</v>
      </c>
      <c r="AG20" s="97">
        <f>IF($B20="2-media",AE20,0)</f>
        <v>0</v>
      </c>
      <c r="AH20" s="97">
        <f>IF($B20="3-Alta",AE20,0)</f>
        <v>0</v>
      </c>
      <c r="AI20" s="96">
        <v>3</v>
      </c>
      <c r="AJ20" s="97">
        <f>IF($B20="1-baixa",AI20,0)</f>
        <v>3</v>
      </c>
      <c r="AK20" s="97">
        <f>IF($B20="2-media",AI20,0)</f>
        <v>0</v>
      </c>
      <c r="AL20" s="97">
        <f>IF($B20="3-Alta",AI20,0)</f>
        <v>0</v>
      </c>
      <c r="AM20" s="96">
        <v>1</v>
      </c>
      <c r="AN20" s="97">
        <f>IF($B20="1-baixa",AM20,0)</f>
        <v>1</v>
      </c>
      <c r="AO20" s="97">
        <f>IF($B20="2-media",AM20,0)</f>
        <v>0</v>
      </c>
      <c r="AP20" s="97">
        <f>IF($B20="3-Alta",AM20,0)</f>
        <v>0</v>
      </c>
      <c r="AQ20" s="96"/>
      <c r="AR20" s="97">
        <f>IF($B20="1-baixa",AQ20,0)</f>
        <v>0</v>
      </c>
      <c r="AS20" s="97">
        <f>IF($B20="2-media",AQ20,0)</f>
        <v>0</v>
      </c>
      <c r="AT20" s="97">
        <f>IF($B20="3-Alta",AQ20,0)</f>
        <v>0</v>
      </c>
      <c r="AU20" s="96"/>
      <c r="AV20" s="97">
        <f>IF($B20="1-baixa",AU20,0)</f>
        <v>0</v>
      </c>
      <c r="AW20" s="97">
        <f>IF($B20="2-media",AU20,0)</f>
        <v>0</v>
      </c>
      <c r="AX20" s="97">
        <f>IF($B20="3-Alta",AU20,0)</f>
        <v>0</v>
      </c>
      <c r="AY20" s="96"/>
      <c r="AZ20" s="65">
        <f>IF($B20="1-baixa",AY20,0)</f>
        <v>0</v>
      </c>
      <c r="BA20" s="65">
        <f>IF($B20="2-media",AY20,0)</f>
        <v>0</v>
      </c>
      <c r="BB20" s="65">
        <f>IF($B20="3-Alta",AY20,0)</f>
        <v>0</v>
      </c>
      <c r="BC20" s="96"/>
      <c r="BD20" s="65">
        <f>IF($B20="1-baixa",BC20,0)</f>
        <v>0</v>
      </c>
      <c r="BE20" s="65">
        <f>IF($B20="2-media",BC20,0)</f>
        <v>0</v>
      </c>
      <c r="BF20" s="65">
        <f>IF($B20="3-Alta",BC20,0)</f>
        <v>0</v>
      </c>
      <c r="BG20" s="96"/>
      <c r="BH20" s="65">
        <f>IF($B20="1-baixa",BG20,0)</f>
        <v>0</v>
      </c>
      <c r="BI20" s="65">
        <f>IF($B20="2-media",BG20,0)</f>
        <v>0</v>
      </c>
      <c r="BJ20" s="65">
        <f>IF($B20="3-Alta",BG20,0)</f>
        <v>0</v>
      </c>
    </row>
    <row r="21" spans="1:62" x14ac:dyDescent="0.2">
      <c r="A21" s="71" t="s">
        <v>260</v>
      </c>
      <c r="B21" s="96" t="s">
        <v>52</v>
      </c>
      <c r="C21" s="96">
        <v>2</v>
      </c>
      <c r="D21" s="97">
        <f t="shared" ref="D21:D78" si="0">IF($B21="1-baixa",C21,0)</f>
        <v>2</v>
      </c>
      <c r="E21" s="97">
        <f>IF($B21="2-media",C21,0)</f>
        <v>0</v>
      </c>
      <c r="F21" s="97">
        <f>IF($B21="3-Alta",C21,0)</f>
        <v>0</v>
      </c>
      <c r="G21" s="96">
        <v>2</v>
      </c>
      <c r="H21" s="97">
        <f t="shared" ref="H21:H78" si="1">IF($B21="1-baixa",G21,0)</f>
        <v>2</v>
      </c>
      <c r="I21" s="97">
        <f t="shared" ref="I21:I78" si="2">IF($B21="2-media",G21,0)</f>
        <v>0</v>
      </c>
      <c r="J21" s="97">
        <f t="shared" ref="J21:J78" si="3">IF($B21="3-Alta",G21,0)</f>
        <v>0</v>
      </c>
      <c r="K21" s="96">
        <v>1</v>
      </c>
      <c r="L21" s="97">
        <f t="shared" ref="L21:L78" si="4">IF($B21="1-baixa",K21,0)</f>
        <v>1</v>
      </c>
      <c r="M21" s="97">
        <f t="shared" ref="M21:M78" si="5">IF($B21="2-media",K21,0)</f>
        <v>0</v>
      </c>
      <c r="N21" s="97">
        <f t="shared" ref="N21:N78" si="6">IF($B21="3-Alta",K21,0)</f>
        <v>0</v>
      </c>
      <c r="O21" s="96"/>
      <c r="P21" s="97">
        <f t="shared" ref="P21:P78" si="7">IF($B21="1-baixa",O21,0)</f>
        <v>0</v>
      </c>
      <c r="Q21" s="97">
        <f t="shared" ref="Q21:Q78" si="8">IF($B21="2-media",O21,0)</f>
        <v>0</v>
      </c>
      <c r="R21" s="97">
        <f t="shared" ref="R21:R78" si="9">IF($B21="3-Alta",O21,0)</f>
        <v>0</v>
      </c>
      <c r="S21" s="96"/>
      <c r="T21" s="97">
        <f t="shared" ref="T21:T78" si="10">IF($B21="1-baixa",S21,0)</f>
        <v>0</v>
      </c>
      <c r="U21" s="97">
        <f t="shared" ref="U21:U78" si="11">IF($B21="2-media",S21,0)</f>
        <v>0</v>
      </c>
      <c r="V21" s="97">
        <f t="shared" ref="V21:V78" si="12">IF($B21="3-Alta",S21,0)</f>
        <v>0</v>
      </c>
      <c r="W21" s="96">
        <v>1</v>
      </c>
      <c r="X21" s="97">
        <f t="shared" ref="X21:X78" si="13">IF($B21="1-baixa",W21,0)</f>
        <v>1</v>
      </c>
      <c r="Y21" s="97">
        <f t="shared" ref="Y21:Y78" si="14">IF($B21="2-media",W21,0)</f>
        <v>0</v>
      </c>
      <c r="Z21" s="97">
        <f t="shared" ref="Z21:Z78" si="15">IF($B21="3-Alta",W21,0)</f>
        <v>0</v>
      </c>
      <c r="AA21" s="96"/>
      <c r="AB21" s="97">
        <f t="shared" ref="AB21:AB78" si="16">IF($B21="1-baixa",AA21,0)</f>
        <v>0</v>
      </c>
      <c r="AC21" s="97">
        <f t="shared" ref="AC21:AC78" si="17">IF($B21="2-media",AA21,0)</f>
        <v>0</v>
      </c>
      <c r="AD21" s="97">
        <f t="shared" ref="AD21:AD78" si="18">IF($B21="3-Alta",AA21,0)</f>
        <v>0</v>
      </c>
      <c r="AE21" s="96"/>
      <c r="AF21" s="97">
        <f t="shared" ref="AF21:AF78" si="19">IF($B21="1-baixa",AE21,0)</f>
        <v>0</v>
      </c>
      <c r="AG21" s="97">
        <f t="shared" ref="AG21:AG78" si="20">IF($B21="2-media",AE21,0)</f>
        <v>0</v>
      </c>
      <c r="AH21" s="97">
        <f t="shared" ref="AH21:AH78" si="21">IF($B21="3-Alta",AE21,0)</f>
        <v>0</v>
      </c>
      <c r="AI21" s="96"/>
      <c r="AJ21" s="97">
        <f t="shared" ref="AJ21:AJ78" si="22">IF($B21="1-baixa",AI21,0)</f>
        <v>0</v>
      </c>
      <c r="AK21" s="97">
        <f t="shared" ref="AK21:AK78" si="23">IF($B21="2-media",AI21,0)</f>
        <v>0</v>
      </c>
      <c r="AL21" s="97">
        <f t="shared" ref="AL21:AL78" si="24">IF($B21="3-Alta",AI21,0)</f>
        <v>0</v>
      </c>
      <c r="AM21" s="96"/>
      <c r="AN21" s="97">
        <f t="shared" ref="AN21:AN78" si="25">IF($B21="1-baixa",AM21,0)</f>
        <v>0</v>
      </c>
      <c r="AO21" s="97">
        <f t="shared" ref="AO21:AO78" si="26">IF($B21="2-media",AM21,0)</f>
        <v>0</v>
      </c>
      <c r="AP21" s="97">
        <f t="shared" ref="AP21:AP78" si="27">IF($B21="3-Alta",AM21,0)</f>
        <v>0</v>
      </c>
      <c r="AQ21" s="96"/>
      <c r="AR21" s="97">
        <f t="shared" ref="AR21:AR78" si="28">IF($B21="1-baixa",AQ21,0)</f>
        <v>0</v>
      </c>
      <c r="AS21" s="97">
        <f t="shared" ref="AS21:AS78" si="29">IF($B21="2-media",AQ21,0)</f>
        <v>0</v>
      </c>
      <c r="AT21" s="97">
        <f t="shared" ref="AT21:AT78" si="30">IF($B21="3-Alta",AQ21,0)</f>
        <v>0</v>
      </c>
      <c r="AU21" s="96"/>
      <c r="AV21" s="97">
        <f t="shared" ref="AV21:AV78" si="31">IF($B21="1-baixa",AU21,0)</f>
        <v>0</v>
      </c>
      <c r="AW21" s="97">
        <f t="shared" ref="AW21:AW78" si="32">IF($B21="2-media",AU21,0)</f>
        <v>0</v>
      </c>
      <c r="AX21" s="97">
        <f t="shared" ref="AX21:AX78" si="33">IF($B21="3-Alta",AU21,0)</f>
        <v>0</v>
      </c>
      <c r="AY21" s="96"/>
      <c r="AZ21" s="65">
        <f t="shared" ref="AZ21:AZ78" si="34">IF($B21="1-baixa",AY21,0)</f>
        <v>0</v>
      </c>
      <c r="BA21" s="65">
        <f t="shared" ref="BA21:BA78" si="35">IF($B21="2-media",AY21,0)</f>
        <v>0</v>
      </c>
      <c r="BB21" s="65">
        <f t="shared" ref="BB21:BB78" si="36">IF($B21="3-Alta",AY21,0)</f>
        <v>0</v>
      </c>
      <c r="BC21" s="96"/>
      <c r="BD21" s="65">
        <f t="shared" ref="BD21:BD78" si="37">IF($B21="1-baixa",BC21,0)</f>
        <v>0</v>
      </c>
      <c r="BE21" s="65">
        <f t="shared" ref="BE21:BE78" si="38">IF($B21="2-media",BC21,0)</f>
        <v>0</v>
      </c>
      <c r="BF21" s="65">
        <f t="shared" ref="BF21:BF78" si="39">IF($B21="3-Alta",BC21,0)</f>
        <v>0</v>
      </c>
      <c r="BG21" s="96"/>
      <c r="BH21" s="65">
        <f t="shared" ref="BH21:BH78" si="40">IF($B21="1-baixa",BG21,0)</f>
        <v>0</v>
      </c>
      <c r="BI21" s="65">
        <f t="shared" ref="BI21:BI78" si="41">IF($B21="2-media",BG21,0)</f>
        <v>0</v>
      </c>
      <c r="BJ21" s="65">
        <f t="shared" ref="BJ21:BJ78" si="42">IF($B21="3-Alta",BG21,0)</f>
        <v>0</v>
      </c>
    </row>
    <row r="22" spans="1:62" x14ac:dyDescent="0.2">
      <c r="A22" s="71"/>
      <c r="B22" s="96" t="s">
        <v>52</v>
      </c>
      <c r="C22" s="96"/>
      <c r="D22" s="97">
        <f t="shared" si="0"/>
        <v>0</v>
      </c>
      <c r="E22" s="97">
        <f>IF($B22="2-media",C22,0)</f>
        <v>0</v>
      </c>
      <c r="F22" s="97">
        <f>IF($B22="3-Alta",C22,0)</f>
        <v>0</v>
      </c>
      <c r="G22" s="96"/>
      <c r="H22" s="97">
        <f t="shared" si="1"/>
        <v>0</v>
      </c>
      <c r="I22" s="97">
        <f t="shared" si="2"/>
        <v>0</v>
      </c>
      <c r="J22" s="97">
        <f t="shared" si="3"/>
        <v>0</v>
      </c>
      <c r="K22" s="96"/>
      <c r="L22" s="97">
        <f t="shared" si="4"/>
        <v>0</v>
      </c>
      <c r="M22" s="97">
        <f t="shared" si="5"/>
        <v>0</v>
      </c>
      <c r="N22" s="97">
        <f t="shared" si="6"/>
        <v>0</v>
      </c>
      <c r="O22" s="96"/>
      <c r="P22" s="97">
        <f t="shared" si="7"/>
        <v>0</v>
      </c>
      <c r="Q22" s="97">
        <f t="shared" si="8"/>
        <v>0</v>
      </c>
      <c r="R22" s="97">
        <f t="shared" si="9"/>
        <v>0</v>
      </c>
      <c r="S22" s="96"/>
      <c r="T22" s="97">
        <f t="shared" si="10"/>
        <v>0</v>
      </c>
      <c r="U22" s="97">
        <f t="shared" si="11"/>
        <v>0</v>
      </c>
      <c r="V22" s="97">
        <f t="shared" si="12"/>
        <v>0</v>
      </c>
      <c r="W22" s="96"/>
      <c r="X22" s="97">
        <f t="shared" si="13"/>
        <v>0</v>
      </c>
      <c r="Y22" s="97">
        <f t="shared" si="14"/>
        <v>0</v>
      </c>
      <c r="Z22" s="97">
        <f t="shared" si="15"/>
        <v>0</v>
      </c>
      <c r="AA22" s="96"/>
      <c r="AB22" s="97">
        <f t="shared" si="16"/>
        <v>0</v>
      </c>
      <c r="AC22" s="97">
        <f t="shared" si="17"/>
        <v>0</v>
      </c>
      <c r="AD22" s="97">
        <f t="shared" si="18"/>
        <v>0</v>
      </c>
      <c r="AE22" s="96"/>
      <c r="AF22" s="97">
        <f t="shared" si="19"/>
        <v>0</v>
      </c>
      <c r="AG22" s="97">
        <f t="shared" si="20"/>
        <v>0</v>
      </c>
      <c r="AH22" s="97">
        <f t="shared" si="21"/>
        <v>0</v>
      </c>
      <c r="AI22" s="96"/>
      <c r="AJ22" s="97">
        <f t="shared" si="22"/>
        <v>0</v>
      </c>
      <c r="AK22" s="97">
        <f t="shared" si="23"/>
        <v>0</v>
      </c>
      <c r="AL22" s="97">
        <f t="shared" si="24"/>
        <v>0</v>
      </c>
      <c r="AM22" s="96"/>
      <c r="AN22" s="97">
        <f t="shared" si="25"/>
        <v>0</v>
      </c>
      <c r="AO22" s="97">
        <f t="shared" si="26"/>
        <v>0</v>
      </c>
      <c r="AP22" s="97">
        <f t="shared" si="27"/>
        <v>0</v>
      </c>
      <c r="AQ22" s="96"/>
      <c r="AR22" s="97">
        <f t="shared" si="28"/>
        <v>0</v>
      </c>
      <c r="AS22" s="97">
        <f t="shared" si="29"/>
        <v>0</v>
      </c>
      <c r="AT22" s="97">
        <f t="shared" si="30"/>
        <v>0</v>
      </c>
      <c r="AU22" s="96"/>
      <c r="AV22" s="97">
        <f t="shared" si="31"/>
        <v>0</v>
      </c>
      <c r="AW22" s="97">
        <f t="shared" si="32"/>
        <v>0</v>
      </c>
      <c r="AX22" s="97">
        <f t="shared" si="33"/>
        <v>0</v>
      </c>
      <c r="AY22" s="96"/>
      <c r="AZ22" s="65">
        <f t="shared" si="34"/>
        <v>0</v>
      </c>
      <c r="BA22" s="65">
        <f t="shared" si="35"/>
        <v>0</v>
      </c>
      <c r="BB22" s="65">
        <f t="shared" si="36"/>
        <v>0</v>
      </c>
      <c r="BC22" s="96"/>
      <c r="BD22" s="65">
        <f t="shared" si="37"/>
        <v>0</v>
      </c>
      <c r="BE22" s="65">
        <f t="shared" si="38"/>
        <v>0</v>
      </c>
      <c r="BF22" s="65">
        <f t="shared" si="39"/>
        <v>0</v>
      </c>
      <c r="BG22" s="96"/>
      <c r="BH22" s="65">
        <f t="shared" si="40"/>
        <v>0</v>
      </c>
      <c r="BI22" s="65">
        <f t="shared" si="41"/>
        <v>0</v>
      </c>
      <c r="BJ22" s="65">
        <f t="shared" si="42"/>
        <v>0</v>
      </c>
    </row>
    <row r="23" spans="1:62" x14ac:dyDescent="0.2">
      <c r="A23" s="71"/>
      <c r="B23" s="96" t="s">
        <v>52</v>
      </c>
      <c r="C23" s="96"/>
      <c r="D23" s="97">
        <f t="shared" si="0"/>
        <v>0</v>
      </c>
      <c r="E23" s="97">
        <f>IF($B23="2-media",C23,0)</f>
        <v>0</v>
      </c>
      <c r="F23" s="97">
        <f>IF($B23="3-Alta",C23,0)</f>
        <v>0</v>
      </c>
      <c r="G23" s="96"/>
      <c r="H23" s="97">
        <f t="shared" si="1"/>
        <v>0</v>
      </c>
      <c r="I23" s="97">
        <f t="shared" si="2"/>
        <v>0</v>
      </c>
      <c r="J23" s="97">
        <f t="shared" si="3"/>
        <v>0</v>
      </c>
      <c r="K23" s="96"/>
      <c r="L23" s="97">
        <f t="shared" si="4"/>
        <v>0</v>
      </c>
      <c r="M23" s="97">
        <f t="shared" si="5"/>
        <v>0</v>
      </c>
      <c r="N23" s="97">
        <f t="shared" si="6"/>
        <v>0</v>
      </c>
      <c r="O23" s="96"/>
      <c r="P23" s="97">
        <f t="shared" si="7"/>
        <v>0</v>
      </c>
      <c r="Q23" s="97">
        <f t="shared" si="8"/>
        <v>0</v>
      </c>
      <c r="R23" s="97">
        <f t="shared" si="9"/>
        <v>0</v>
      </c>
      <c r="S23" s="96"/>
      <c r="T23" s="97">
        <f t="shared" si="10"/>
        <v>0</v>
      </c>
      <c r="U23" s="97">
        <f t="shared" si="11"/>
        <v>0</v>
      </c>
      <c r="V23" s="97">
        <f t="shared" si="12"/>
        <v>0</v>
      </c>
      <c r="W23" s="96"/>
      <c r="X23" s="97">
        <f t="shared" si="13"/>
        <v>0</v>
      </c>
      <c r="Y23" s="97">
        <f t="shared" si="14"/>
        <v>0</v>
      </c>
      <c r="Z23" s="97">
        <f t="shared" si="15"/>
        <v>0</v>
      </c>
      <c r="AA23" s="96"/>
      <c r="AB23" s="97">
        <f t="shared" si="16"/>
        <v>0</v>
      </c>
      <c r="AC23" s="97">
        <f t="shared" si="17"/>
        <v>0</v>
      </c>
      <c r="AD23" s="97">
        <f t="shared" si="18"/>
        <v>0</v>
      </c>
      <c r="AE23" s="96"/>
      <c r="AF23" s="97">
        <f t="shared" si="19"/>
        <v>0</v>
      </c>
      <c r="AG23" s="97">
        <f t="shared" si="20"/>
        <v>0</v>
      </c>
      <c r="AH23" s="97">
        <f t="shared" si="21"/>
        <v>0</v>
      </c>
      <c r="AI23" s="96"/>
      <c r="AJ23" s="97">
        <f t="shared" si="22"/>
        <v>0</v>
      </c>
      <c r="AK23" s="97">
        <f t="shared" si="23"/>
        <v>0</v>
      </c>
      <c r="AL23" s="97">
        <f t="shared" si="24"/>
        <v>0</v>
      </c>
      <c r="AM23" s="96"/>
      <c r="AN23" s="97">
        <f t="shared" si="25"/>
        <v>0</v>
      </c>
      <c r="AO23" s="97">
        <f t="shared" si="26"/>
        <v>0</v>
      </c>
      <c r="AP23" s="97">
        <f t="shared" si="27"/>
        <v>0</v>
      </c>
      <c r="AQ23" s="96"/>
      <c r="AR23" s="97">
        <f t="shared" si="28"/>
        <v>0</v>
      </c>
      <c r="AS23" s="97">
        <f t="shared" si="29"/>
        <v>0</v>
      </c>
      <c r="AT23" s="97">
        <f t="shared" si="30"/>
        <v>0</v>
      </c>
      <c r="AU23" s="96"/>
      <c r="AV23" s="97">
        <f t="shared" si="31"/>
        <v>0</v>
      </c>
      <c r="AW23" s="97">
        <f t="shared" si="32"/>
        <v>0</v>
      </c>
      <c r="AX23" s="97">
        <f t="shared" si="33"/>
        <v>0</v>
      </c>
      <c r="AY23" s="96"/>
      <c r="AZ23" s="65">
        <f t="shared" si="34"/>
        <v>0</v>
      </c>
      <c r="BA23" s="65">
        <f t="shared" si="35"/>
        <v>0</v>
      </c>
      <c r="BB23" s="65">
        <f t="shared" si="36"/>
        <v>0</v>
      </c>
      <c r="BC23" s="96"/>
      <c r="BD23" s="65">
        <f t="shared" si="37"/>
        <v>0</v>
      </c>
      <c r="BE23" s="65">
        <f t="shared" si="38"/>
        <v>0</v>
      </c>
      <c r="BF23" s="65">
        <f t="shared" si="39"/>
        <v>0</v>
      </c>
      <c r="BG23" s="96"/>
      <c r="BH23" s="65">
        <f t="shared" si="40"/>
        <v>0</v>
      </c>
      <c r="BI23" s="65">
        <f t="shared" si="41"/>
        <v>0</v>
      </c>
      <c r="BJ23" s="65">
        <f t="shared" si="42"/>
        <v>0</v>
      </c>
    </row>
    <row r="24" spans="1:62" x14ac:dyDescent="0.2">
      <c r="A24" s="71"/>
      <c r="B24" s="96" t="s">
        <v>52</v>
      </c>
      <c r="C24" s="96"/>
      <c r="D24" s="97">
        <f t="shared" si="0"/>
        <v>0</v>
      </c>
      <c r="E24" s="97">
        <f>IF($B24="2-media",C24,0)</f>
        <v>0</v>
      </c>
      <c r="F24" s="97">
        <f>IF($B24="3-Alta",C24,0)</f>
        <v>0</v>
      </c>
      <c r="G24" s="96"/>
      <c r="H24" s="97">
        <f t="shared" si="1"/>
        <v>0</v>
      </c>
      <c r="I24" s="97">
        <f t="shared" si="2"/>
        <v>0</v>
      </c>
      <c r="J24" s="97">
        <f t="shared" si="3"/>
        <v>0</v>
      </c>
      <c r="K24" s="96"/>
      <c r="L24" s="97">
        <f t="shared" si="4"/>
        <v>0</v>
      </c>
      <c r="M24" s="97">
        <f t="shared" si="5"/>
        <v>0</v>
      </c>
      <c r="N24" s="97">
        <f t="shared" si="6"/>
        <v>0</v>
      </c>
      <c r="O24" s="96"/>
      <c r="P24" s="97">
        <f t="shared" si="7"/>
        <v>0</v>
      </c>
      <c r="Q24" s="97">
        <f t="shared" si="8"/>
        <v>0</v>
      </c>
      <c r="R24" s="97">
        <f t="shared" si="9"/>
        <v>0</v>
      </c>
      <c r="S24" s="96"/>
      <c r="T24" s="97">
        <f t="shared" si="10"/>
        <v>0</v>
      </c>
      <c r="U24" s="97">
        <f t="shared" si="11"/>
        <v>0</v>
      </c>
      <c r="V24" s="97">
        <f t="shared" si="12"/>
        <v>0</v>
      </c>
      <c r="W24" s="96"/>
      <c r="X24" s="97">
        <f t="shared" si="13"/>
        <v>0</v>
      </c>
      <c r="Y24" s="97">
        <f t="shared" si="14"/>
        <v>0</v>
      </c>
      <c r="Z24" s="97">
        <f t="shared" si="15"/>
        <v>0</v>
      </c>
      <c r="AA24" s="96"/>
      <c r="AB24" s="97">
        <f t="shared" si="16"/>
        <v>0</v>
      </c>
      <c r="AC24" s="97">
        <f t="shared" si="17"/>
        <v>0</v>
      </c>
      <c r="AD24" s="97">
        <f t="shared" si="18"/>
        <v>0</v>
      </c>
      <c r="AE24" s="96"/>
      <c r="AF24" s="97">
        <f t="shared" si="19"/>
        <v>0</v>
      </c>
      <c r="AG24" s="97">
        <f t="shared" si="20"/>
        <v>0</v>
      </c>
      <c r="AH24" s="97">
        <f t="shared" si="21"/>
        <v>0</v>
      </c>
      <c r="AI24" s="96"/>
      <c r="AJ24" s="97">
        <f t="shared" si="22"/>
        <v>0</v>
      </c>
      <c r="AK24" s="97">
        <f t="shared" si="23"/>
        <v>0</v>
      </c>
      <c r="AL24" s="97">
        <f t="shared" si="24"/>
        <v>0</v>
      </c>
      <c r="AM24" s="96"/>
      <c r="AN24" s="97">
        <f t="shared" si="25"/>
        <v>0</v>
      </c>
      <c r="AO24" s="97">
        <f t="shared" si="26"/>
        <v>0</v>
      </c>
      <c r="AP24" s="97">
        <f t="shared" si="27"/>
        <v>0</v>
      </c>
      <c r="AQ24" s="96"/>
      <c r="AR24" s="97">
        <f t="shared" si="28"/>
        <v>0</v>
      </c>
      <c r="AS24" s="97">
        <f t="shared" si="29"/>
        <v>0</v>
      </c>
      <c r="AT24" s="97">
        <f t="shared" si="30"/>
        <v>0</v>
      </c>
      <c r="AU24" s="96"/>
      <c r="AV24" s="97">
        <f t="shared" si="31"/>
        <v>0</v>
      </c>
      <c r="AW24" s="97">
        <f t="shared" si="32"/>
        <v>0</v>
      </c>
      <c r="AX24" s="97">
        <f t="shared" si="33"/>
        <v>0</v>
      </c>
      <c r="AY24" s="96"/>
      <c r="AZ24" s="65">
        <f t="shared" si="34"/>
        <v>0</v>
      </c>
      <c r="BA24" s="65">
        <f t="shared" si="35"/>
        <v>0</v>
      </c>
      <c r="BB24" s="65">
        <f t="shared" si="36"/>
        <v>0</v>
      </c>
      <c r="BC24" s="96"/>
      <c r="BD24" s="65">
        <f t="shared" si="37"/>
        <v>0</v>
      </c>
      <c r="BE24" s="65">
        <f t="shared" si="38"/>
        <v>0</v>
      </c>
      <c r="BF24" s="65">
        <f t="shared" si="39"/>
        <v>0</v>
      </c>
      <c r="BG24" s="96"/>
      <c r="BH24" s="65">
        <f t="shared" si="40"/>
        <v>0</v>
      </c>
      <c r="BI24" s="65">
        <f t="shared" si="41"/>
        <v>0</v>
      </c>
      <c r="BJ24" s="65">
        <f t="shared" si="42"/>
        <v>0</v>
      </c>
    </row>
    <row r="25" spans="1:62" x14ac:dyDescent="0.2">
      <c r="A25" s="71"/>
      <c r="B25" s="96" t="s">
        <v>52</v>
      </c>
      <c r="C25" s="96"/>
      <c r="D25" s="97">
        <f t="shared" si="0"/>
        <v>0</v>
      </c>
      <c r="E25" s="97">
        <f t="shared" ref="E25:E78" si="43">IF($B25="2-media",C25,0)</f>
        <v>0</v>
      </c>
      <c r="F25" s="97">
        <f t="shared" ref="F25:F78" si="44">IF($B25="3-Alta",C25,0)</f>
        <v>0</v>
      </c>
      <c r="G25" s="96"/>
      <c r="H25" s="97">
        <f t="shared" si="1"/>
        <v>0</v>
      </c>
      <c r="I25" s="97">
        <f t="shared" si="2"/>
        <v>0</v>
      </c>
      <c r="J25" s="97">
        <f t="shared" si="3"/>
        <v>0</v>
      </c>
      <c r="K25" s="96"/>
      <c r="L25" s="97">
        <f t="shared" si="4"/>
        <v>0</v>
      </c>
      <c r="M25" s="97">
        <f t="shared" si="5"/>
        <v>0</v>
      </c>
      <c r="N25" s="97">
        <f t="shared" si="6"/>
        <v>0</v>
      </c>
      <c r="O25" s="96"/>
      <c r="P25" s="97">
        <f t="shared" si="7"/>
        <v>0</v>
      </c>
      <c r="Q25" s="97">
        <f t="shared" si="8"/>
        <v>0</v>
      </c>
      <c r="R25" s="97">
        <f t="shared" si="9"/>
        <v>0</v>
      </c>
      <c r="S25" s="96"/>
      <c r="T25" s="97">
        <f t="shared" si="10"/>
        <v>0</v>
      </c>
      <c r="U25" s="97">
        <f t="shared" si="11"/>
        <v>0</v>
      </c>
      <c r="V25" s="97">
        <f t="shared" si="12"/>
        <v>0</v>
      </c>
      <c r="W25" s="96"/>
      <c r="X25" s="97">
        <f t="shared" si="13"/>
        <v>0</v>
      </c>
      <c r="Y25" s="97">
        <f t="shared" si="14"/>
        <v>0</v>
      </c>
      <c r="Z25" s="97">
        <f t="shared" si="15"/>
        <v>0</v>
      </c>
      <c r="AA25" s="96"/>
      <c r="AB25" s="97">
        <f t="shared" si="16"/>
        <v>0</v>
      </c>
      <c r="AC25" s="97">
        <f t="shared" si="17"/>
        <v>0</v>
      </c>
      <c r="AD25" s="97">
        <f t="shared" si="18"/>
        <v>0</v>
      </c>
      <c r="AE25" s="96"/>
      <c r="AF25" s="97">
        <f t="shared" si="19"/>
        <v>0</v>
      </c>
      <c r="AG25" s="97">
        <f t="shared" si="20"/>
        <v>0</v>
      </c>
      <c r="AH25" s="97">
        <f t="shared" si="21"/>
        <v>0</v>
      </c>
      <c r="AI25" s="96"/>
      <c r="AJ25" s="97">
        <f t="shared" si="22"/>
        <v>0</v>
      </c>
      <c r="AK25" s="97">
        <f t="shared" si="23"/>
        <v>0</v>
      </c>
      <c r="AL25" s="97">
        <f t="shared" si="24"/>
        <v>0</v>
      </c>
      <c r="AM25" s="96"/>
      <c r="AN25" s="97">
        <f t="shared" si="25"/>
        <v>0</v>
      </c>
      <c r="AO25" s="97">
        <f t="shared" si="26"/>
        <v>0</v>
      </c>
      <c r="AP25" s="97">
        <f t="shared" si="27"/>
        <v>0</v>
      </c>
      <c r="AQ25" s="96"/>
      <c r="AR25" s="97">
        <f t="shared" si="28"/>
        <v>0</v>
      </c>
      <c r="AS25" s="97">
        <f t="shared" si="29"/>
        <v>0</v>
      </c>
      <c r="AT25" s="97">
        <f t="shared" si="30"/>
        <v>0</v>
      </c>
      <c r="AU25" s="96"/>
      <c r="AV25" s="97">
        <f t="shared" si="31"/>
        <v>0</v>
      </c>
      <c r="AW25" s="97">
        <f t="shared" si="32"/>
        <v>0</v>
      </c>
      <c r="AX25" s="97">
        <f t="shared" si="33"/>
        <v>0</v>
      </c>
      <c r="AY25" s="96"/>
      <c r="AZ25" s="65">
        <f t="shared" si="34"/>
        <v>0</v>
      </c>
      <c r="BA25" s="65">
        <f t="shared" si="35"/>
        <v>0</v>
      </c>
      <c r="BB25" s="65">
        <f t="shared" si="36"/>
        <v>0</v>
      </c>
      <c r="BC25" s="96"/>
      <c r="BD25" s="65">
        <f t="shared" si="37"/>
        <v>0</v>
      </c>
      <c r="BE25" s="65">
        <f t="shared" si="38"/>
        <v>0</v>
      </c>
      <c r="BF25" s="65">
        <f t="shared" si="39"/>
        <v>0</v>
      </c>
      <c r="BG25" s="96"/>
      <c r="BH25" s="65">
        <f t="shared" si="40"/>
        <v>0</v>
      </c>
      <c r="BI25" s="65">
        <f t="shared" si="41"/>
        <v>0</v>
      </c>
      <c r="BJ25" s="65">
        <f t="shared" si="42"/>
        <v>0</v>
      </c>
    </row>
    <row r="26" spans="1:62" x14ac:dyDescent="0.2">
      <c r="A26" s="71"/>
      <c r="B26" s="96" t="s">
        <v>52</v>
      </c>
      <c r="C26" s="96"/>
      <c r="D26" s="97">
        <f t="shared" si="0"/>
        <v>0</v>
      </c>
      <c r="E26" s="97">
        <f t="shared" si="43"/>
        <v>0</v>
      </c>
      <c r="F26" s="97">
        <f t="shared" si="44"/>
        <v>0</v>
      </c>
      <c r="G26" s="96"/>
      <c r="H26" s="97">
        <f t="shared" si="1"/>
        <v>0</v>
      </c>
      <c r="I26" s="97">
        <f t="shared" si="2"/>
        <v>0</v>
      </c>
      <c r="J26" s="97">
        <f t="shared" si="3"/>
        <v>0</v>
      </c>
      <c r="K26" s="96"/>
      <c r="L26" s="97">
        <f t="shared" si="4"/>
        <v>0</v>
      </c>
      <c r="M26" s="97">
        <f t="shared" si="5"/>
        <v>0</v>
      </c>
      <c r="N26" s="97">
        <f t="shared" si="6"/>
        <v>0</v>
      </c>
      <c r="O26" s="96"/>
      <c r="P26" s="97">
        <f t="shared" si="7"/>
        <v>0</v>
      </c>
      <c r="Q26" s="97">
        <f t="shared" si="8"/>
        <v>0</v>
      </c>
      <c r="R26" s="97">
        <f t="shared" si="9"/>
        <v>0</v>
      </c>
      <c r="S26" s="96"/>
      <c r="T26" s="97">
        <f t="shared" si="10"/>
        <v>0</v>
      </c>
      <c r="U26" s="97">
        <f t="shared" si="11"/>
        <v>0</v>
      </c>
      <c r="V26" s="97">
        <f t="shared" si="12"/>
        <v>0</v>
      </c>
      <c r="W26" s="96"/>
      <c r="X26" s="97">
        <f t="shared" si="13"/>
        <v>0</v>
      </c>
      <c r="Y26" s="97">
        <f t="shared" si="14"/>
        <v>0</v>
      </c>
      <c r="Z26" s="97">
        <f t="shared" si="15"/>
        <v>0</v>
      </c>
      <c r="AA26" s="96"/>
      <c r="AB26" s="97">
        <f t="shared" si="16"/>
        <v>0</v>
      </c>
      <c r="AC26" s="97">
        <f t="shared" si="17"/>
        <v>0</v>
      </c>
      <c r="AD26" s="97">
        <f t="shared" si="18"/>
        <v>0</v>
      </c>
      <c r="AE26" s="96"/>
      <c r="AF26" s="97">
        <f t="shared" si="19"/>
        <v>0</v>
      </c>
      <c r="AG26" s="97">
        <f t="shared" si="20"/>
        <v>0</v>
      </c>
      <c r="AH26" s="97">
        <f t="shared" si="21"/>
        <v>0</v>
      </c>
      <c r="AI26" s="96"/>
      <c r="AJ26" s="97">
        <f t="shared" si="22"/>
        <v>0</v>
      </c>
      <c r="AK26" s="97">
        <f t="shared" si="23"/>
        <v>0</v>
      </c>
      <c r="AL26" s="97">
        <f t="shared" si="24"/>
        <v>0</v>
      </c>
      <c r="AM26" s="96"/>
      <c r="AN26" s="97">
        <f t="shared" si="25"/>
        <v>0</v>
      </c>
      <c r="AO26" s="97">
        <f t="shared" si="26"/>
        <v>0</v>
      </c>
      <c r="AP26" s="97">
        <f t="shared" si="27"/>
        <v>0</v>
      </c>
      <c r="AQ26" s="96"/>
      <c r="AR26" s="97">
        <f t="shared" si="28"/>
        <v>0</v>
      </c>
      <c r="AS26" s="97">
        <f t="shared" si="29"/>
        <v>0</v>
      </c>
      <c r="AT26" s="97">
        <f t="shared" si="30"/>
        <v>0</v>
      </c>
      <c r="AU26" s="96"/>
      <c r="AV26" s="97">
        <f t="shared" si="31"/>
        <v>0</v>
      </c>
      <c r="AW26" s="97">
        <f t="shared" si="32"/>
        <v>0</v>
      </c>
      <c r="AX26" s="97">
        <f t="shared" si="33"/>
        <v>0</v>
      </c>
      <c r="AY26" s="96"/>
      <c r="AZ26" s="65">
        <f t="shared" si="34"/>
        <v>0</v>
      </c>
      <c r="BA26" s="65">
        <f t="shared" si="35"/>
        <v>0</v>
      </c>
      <c r="BB26" s="65">
        <f t="shared" si="36"/>
        <v>0</v>
      </c>
      <c r="BC26" s="96"/>
      <c r="BD26" s="65">
        <f t="shared" si="37"/>
        <v>0</v>
      </c>
      <c r="BE26" s="65">
        <f t="shared" si="38"/>
        <v>0</v>
      </c>
      <c r="BF26" s="65">
        <f t="shared" si="39"/>
        <v>0</v>
      </c>
      <c r="BG26" s="96"/>
      <c r="BH26" s="65">
        <f t="shared" si="40"/>
        <v>0</v>
      </c>
      <c r="BI26" s="65">
        <f t="shared" si="41"/>
        <v>0</v>
      </c>
      <c r="BJ26" s="65">
        <f t="shared" si="42"/>
        <v>0</v>
      </c>
    </row>
    <row r="27" spans="1:62" x14ac:dyDescent="0.2">
      <c r="A27" s="71"/>
      <c r="B27" s="96" t="s">
        <v>52</v>
      </c>
      <c r="C27" s="96"/>
      <c r="D27" s="97">
        <f t="shared" si="0"/>
        <v>0</v>
      </c>
      <c r="E27" s="97">
        <f t="shared" si="43"/>
        <v>0</v>
      </c>
      <c r="F27" s="97">
        <f t="shared" si="44"/>
        <v>0</v>
      </c>
      <c r="G27" s="96"/>
      <c r="H27" s="97">
        <f t="shared" si="1"/>
        <v>0</v>
      </c>
      <c r="I27" s="97">
        <f t="shared" si="2"/>
        <v>0</v>
      </c>
      <c r="J27" s="97">
        <f t="shared" si="3"/>
        <v>0</v>
      </c>
      <c r="K27" s="96"/>
      <c r="L27" s="97">
        <f t="shared" si="4"/>
        <v>0</v>
      </c>
      <c r="M27" s="97">
        <f t="shared" si="5"/>
        <v>0</v>
      </c>
      <c r="N27" s="97">
        <f t="shared" si="6"/>
        <v>0</v>
      </c>
      <c r="O27" s="96"/>
      <c r="P27" s="97">
        <f t="shared" si="7"/>
        <v>0</v>
      </c>
      <c r="Q27" s="97">
        <f t="shared" si="8"/>
        <v>0</v>
      </c>
      <c r="R27" s="97">
        <f t="shared" si="9"/>
        <v>0</v>
      </c>
      <c r="S27" s="96"/>
      <c r="T27" s="97">
        <f t="shared" si="10"/>
        <v>0</v>
      </c>
      <c r="U27" s="97">
        <f t="shared" si="11"/>
        <v>0</v>
      </c>
      <c r="V27" s="97">
        <f t="shared" si="12"/>
        <v>0</v>
      </c>
      <c r="W27" s="96"/>
      <c r="X27" s="97">
        <f t="shared" si="13"/>
        <v>0</v>
      </c>
      <c r="Y27" s="97">
        <f t="shared" si="14"/>
        <v>0</v>
      </c>
      <c r="Z27" s="97">
        <f t="shared" si="15"/>
        <v>0</v>
      </c>
      <c r="AA27" s="96"/>
      <c r="AB27" s="97">
        <f t="shared" si="16"/>
        <v>0</v>
      </c>
      <c r="AC27" s="97">
        <f t="shared" si="17"/>
        <v>0</v>
      </c>
      <c r="AD27" s="97">
        <f t="shared" si="18"/>
        <v>0</v>
      </c>
      <c r="AE27" s="96"/>
      <c r="AF27" s="97">
        <f t="shared" si="19"/>
        <v>0</v>
      </c>
      <c r="AG27" s="97">
        <f t="shared" si="20"/>
        <v>0</v>
      </c>
      <c r="AH27" s="97">
        <f t="shared" si="21"/>
        <v>0</v>
      </c>
      <c r="AI27" s="96"/>
      <c r="AJ27" s="97">
        <f t="shared" si="22"/>
        <v>0</v>
      </c>
      <c r="AK27" s="97">
        <f t="shared" si="23"/>
        <v>0</v>
      </c>
      <c r="AL27" s="97">
        <f t="shared" si="24"/>
        <v>0</v>
      </c>
      <c r="AM27" s="96"/>
      <c r="AN27" s="97">
        <f t="shared" si="25"/>
        <v>0</v>
      </c>
      <c r="AO27" s="97">
        <f t="shared" si="26"/>
        <v>0</v>
      </c>
      <c r="AP27" s="97">
        <f t="shared" si="27"/>
        <v>0</v>
      </c>
      <c r="AQ27" s="96"/>
      <c r="AR27" s="97">
        <f t="shared" si="28"/>
        <v>0</v>
      </c>
      <c r="AS27" s="97">
        <f t="shared" si="29"/>
        <v>0</v>
      </c>
      <c r="AT27" s="97">
        <f t="shared" si="30"/>
        <v>0</v>
      </c>
      <c r="AU27" s="96"/>
      <c r="AV27" s="97">
        <f t="shared" si="31"/>
        <v>0</v>
      </c>
      <c r="AW27" s="97">
        <f t="shared" si="32"/>
        <v>0</v>
      </c>
      <c r="AX27" s="97">
        <f t="shared" si="33"/>
        <v>0</v>
      </c>
      <c r="AY27" s="96"/>
      <c r="AZ27" s="65">
        <f t="shared" si="34"/>
        <v>0</v>
      </c>
      <c r="BA27" s="65">
        <f t="shared" si="35"/>
        <v>0</v>
      </c>
      <c r="BB27" s="65">
        <f t="shared" si="36"/>
        <v>0</v>
      </c>
      <c r="BC27" s="96"/>
      <c r="BD27" s="65">
        <f t="shared" si="37"/>
        <v>0</v>
      </c>
      <c r="BE27" s="65">
        <f t="shared" si="38"/>
        <v>0</v>
      </c>
      <c r="BF27" s="65">
        <f t="shared" si="39"/>
        <v>0</v>
      </c>
      <c r="BG27" s="96"/>
      <c r="BH27" s="65">
        <f t="shared" si="40"/>
        <v>0</v>
      </c>
      <c r="BI27" s="65">
        <f t="shared" si="41"/>
        <v>0</v>
      </c>
      <c r="BJ27" s="65">
        <f t="shared" si="42"/>
        <v>0</v>
      </c>
    </row>
    <row r="28" spans="1:62" x14ac:dyDescent="0.2">
      <c r="A28" s="71"/>
      <c r="B28" s="96" t="s">
        <v>52</v>
      </c>
      <c r="C28" s="96"/>
      <c r="D28" s="97">
        <f t="shared" si="0"/>
        <v>0</v>
      </c>
      <c r="E28" s="97">
        <f t="shared" si="43"/>
        <v>0</v>
      </c>
      <c r="F28" s="97">
        <f t="shared" si="44"/>
        <v>0</v>
      </c>
      <c r="G28" s="96"/>
      <c r="H28" s="97">
        <f t="shared" si="1"/>
        <v>0</v>
      </c>
      <c r="I28" s="97">
        <f t="shared" si="2"/>
        <v>0</v>
      </c>
      <c r="J28" s="97">
        <f t="shared" si="3"/>
        <v>0</v>
      </c>
      <c r="K28" s="96"/>
      <c r="L28" s="97">
        <f t="shared" si="4"/>
        <v>0</v>
      </c>
      <c r="M28" s="97">
        <f t="shared" si="5"/>
        <v>0</v>
      </c>
      <c r="N28" s="97">
        <f t="shared" si="6"/>
        <v>0</v>
      </c>
      <c r="O28" s="96"/>
      <c r="P28" s="97">
        <f t="shared" si="7"/>
        <v>0</v>
      </c>
      <c r="Q28" s="97">
        <f t="shared" si="8"/>
        <v>0</v>
      </c>
      <c r="R28" s="97">
        <f t="shared" si="9"/>
        <v>0</v>
      </c>
      <c r="S28" s="96"/>
      <c r="T28" s="97">
        <f t="shared" si="10"/>
        <v>0</v>
      </c>
      <c r="U28" s="97">
        <f t="shared" si="11"/>
        <v>0</v>
      </c>
      <c r="V28" s="97">
        <f t="shared" si="12"/>
        <v>0</v>
      </c>
      <c r="W28" s="96"/>
      <c r="X28" s="97">
        <f t="shared" si="13"/>
        <v>0</v>
      </c>
      <c r="Y28" s="97">
        <f t="shared" si="14"/>
        <v>0</v>
      </c>
      <c r="Z28" s="97">
        <f t="shared" si="15"/>
        <v>0</v>
      </c>
      <c r="AA28" s="96"/>
      <c r="AB28" s="97">
        <f t="shared" si="16"/>
        <v>0</v>
      </c>
      <c r="AC28" s="97">
        <f t="shared" si="17"/>
        <v>0</v>
      </c>
      <c r="AD28" s="97">
        <f t="shared" si="18"/>
        <v>0</v>
      </c>
      <c r="AE28" s="96"/>
      <c r="AF28" s="97">
        <f t="shared" si="19"/>
        <v>0</v>
      </c>
      <c r="AG28" s="97">
        <f t="shared" si="20"/>
        <v>0</v>
      </c>
      <c r="AH28" s="97">
        <f t="shared" si="21"/>
        <v>0</v>
      </c>
      <c r="AI28" s="96"/>
      <c r="AJ28" s="97">
        <f t="shared" si="22"/>
        <v>0</v>
      </c>
      <c r="AK28" s="97">
        <f t="shared" si="23"/>
        <v>0</v>
      </c>
      <c r="AL28" s="97">
        <f t="shared" si="24"/>
        <v>0</v>
      </c>
      <c r="AM28" s="96"/>
      <c r="AN28" s="97">
        <f t="shared" si="25"/>
        <v>0</v>
      </c>
      <c r="AO28" s="97">
        <f t="shared" si="26"/>
        <v>0</v>
      </c>
      <c r="AP28" s="97">
        <f t="shared" si="27"/>
        <v>0</v>
      </c>
      <c r="AQ28" s="96"/>
      <c r="AR28" s="97">
        <f t="shared" si="28"/>
        <v>0</v>
      </c>
      <c r="AS28" s="97">
        <f t="shared" si="29"/>
        <v>0</v>
      </c>
      <c r="AT28" s="97">
        <f t="shared" si="30"/>
        <v>0</v>
      </c>
      <c r="AU28" s="96"/>
      <c r="AV28" s="97">
        <f t="shared" si="31"/>
        <v>0</v>
      </c>
      <c r="AW28" s="97">
        <f t="shared" si="32"/>
        <v>0</v>
      </c>
      <c r="AX28" s="97">
        <f t="shared" si="33"/>
        <v>0</v>
      </c>
      <c r="AY28" s="96"/>
      <c r="AZ28" s="65">
        <f t="shared" si="34"/>
        <v>0</v>
      </c>
      <c r="BA28" s="65">
        <f t="shared" si="35"/>
        <v>0</v>
      </c>
      <c r="BB28" s="65">
        <f t="shared" si="36"/>
        <v>0</v>
      </c>
      <c r="BC28" s="96"/>
      <c r="BD28" s="65">
        <f t="shared" si="37"/>
        <v>0</v>
      </c>
      <c r="BE28" s="65">
        <f t="shared" si="38"/>
        <v>0</v>
      </c>
      <c r="BF28" s="65">
        <f t="shared" si="39"/>
        <v>0</v>
      </c>
      <c r="BG28" s="96"/>
      <c r="BH28" s="65">
        <f t="shared" si="40"/>
        <v>0</v>
      </c>
      <c r="BI28" s="65">
        <f t="shared" si="41"/>
        <v>0</v>
      </c>
      <c r="BJ28" s="65">
        <f t="shared" si="42"/>
        <v>0</v>
      </c>
    </row>
    <row r="29" spans="1:62" x14ac:dyDescent="0.2">
      <c r="A29" s="71"/>
      <c r="B29" s="96" t="s">
        <v>52</v>
      </c>
      <c r="C29" s="96"/>
      <c r="D29" s="97">
        <f t="shared" si="0"/>
        <v>0</v>
      </c>
      <c r="E29" s="97">
        <f t="shared" si="43"/>
        <v>0</v>
      </c>
      <c r="F29" s="97">
        <f t="shared" si="44"/>
        <v>0</v>
      </c>
      <c r="G29" s="96"/>
      <c r="H29" s="97">
        <f t="shared" si="1"/>
        <v>0</v>
      </c>
      <c r="I29" s="97">
        <f t="shared" si="2"/>
        <v>0</v>
      </c>
      <c r="J29" s="97">
        <f t="shared" si="3"/>
        <v>0</v>
      </c>
      <c r="K29" s="96"/>
      <c r="L29" s="97">
        <f t="shared" si="4"/>
        <v>0</v>
      </c>
      <c r="M29" s="97">
        <f t="shared" si="5"/>
        <v>0</v>
      </c>
      <c r="N29" s="97">
        <f t="shared" si="6"/>
        <v>0</v>
      </c>
      <c r="O29" s="96"/>
      <c r="P29" s="97">
        <f t="shared" si="7"/>
        <v>0</v>
      </c>
      <c r="Q29" s="97">
        <f t="shared" si="8"/>
        <v>0</v>
      </c>
      <c r="R29" s="97">
        <f t="shared" si="9"/>
        <v>0</v>
      </c>
      <c r="S29" s="96"/>
      <c r="T29" s="97">
        <f t="shared" si="10"/>
        <v>0</v>
      </c>
      <c r="U29" s="97">
        <f t="shared" si="11"/>
        <v>0</v>
      </c>
      <c r="V29" s="97">
        <f t="shared" si="12"/>
        <v>0</v>
      </c>
      <c r="W29" s="96"/>
      <c r="X29" s="97">
        <f t="shared" si="13"/>
        <v>0</v>
      </c>
      <c r="Y29" s="97">
        <f t="shared" si="14"/>
        <v>0</v>
      </c>
      <c r="Z29" s="97">
        <f t="shared" si="15"/>
        <v>0</v>
      </c>
      <c r="AA29" s="96"/>
      <c r="AB29" s="97">
        <f t="shared" si="16"/>
        <v>0</v>
      </c>
      <c r="AC29" s="97">
        <f t="shared" si="17"/>
        <v>0</v>
      </c>
      <c r="AD29" s="97">
        <f t="shared" si="18"/>
        <v>0</v>
      </c>
      <c r="AE29" s="96"/>
      <c r="AF29" s="97">
        <f t="shared" si="19"/>
        <v>0</v>
      </c>
      <c r="AG29" s="97">
        <f t="shared" si="20"/>
        <v>0</v>
      </c>
      <c r="AH29" s="97">
        <f t="shared" si="21"/>
        <v>0</v>
      </c>
      <c r="AI29" s="96"/>
      <c r="AJ29" s="97">
        <f t="shared" si="22"/>
        <v>0</v>
      </c>
      <c r="AK29" s="97">
        <f t="shared" si="23"/>
        <v>0</v>
      </c>
      <c r="AL29" s="97">
        <f t="shared" si="24"/>
        <v>0</v>
      </c>
      <c r="AM29" s="96"/>
      <c r="AN29" s="97">
        <f t="shared" si="25"/>
        <v>0</v>
      </c>
      <c r="AO29" s="97">
        <f t="shared" si="26"/>
        <v>0</v>
      </c>
      <c r="AP29" s="97">
        <f t="shared" si="27"/>
        <v>0</v>
      </c>
      <c r="AQ29" s="96"/>
      <c r="AR29" s="97">
        <f t="shared" si="28"/>
        <v>0</v>
      </c>
      <c r="AS29" s="97">
        <f t="shared" si="29"/>
        <v>0</v>
      </c>
      <c r="AT29" s="97">
        <f t="shared" si="30"/>
        <v>0</v>
      </c>
      <c r="AU29" s="96"/>
      <c r="AV29" s="97">
        <f t="shared" si="31"/>
        <v>0</v>
      </c>
      <c r="AW29" s="97">
        <f t="shared" si="32"/>
        <v>0</v>
      </c>
      <c r="AX29" s="97">
        <f t="shared" si="33"/>
        <v>0</v>
      </c>
      <c r="AY29" s="96"/>
      <c r="AZ29" s="65">
        <f t="shared" si="34"/>
        <v>0</v>
      </c>
      <c r="BA29" s="65">
        <f t="shared" si="35"/>
        <v>0</v>
      </c>
      <c r="BB29" s="65">
        <f t="shared" si="36"/>
        <v>0</v>
      </c>
      <c r="BC29" s="96"/>
      <c r="BD29" s="65">
        <f t="shared" si="37"/>
        <v>0</v>
      </c>
      <c r="BE29" s="65">
        <f t="shared" si="38"/>
        <v>0</v>
      </c>
      <c r="BF29" s="65">
        <f t="shared" si="39"/>
        <v>0</v>
      </c>
      <c r="BG29" s="96"/>
      <c r="BH29" s="65">
        <f t="shared" si="40"/>
        <v>0</v>
      </c>
      <c r="BI29" s="65">
        <f t="shared" si="41"/>
        <v>0</v>
      </c>
      <c r="BJ29" s="65">
        <f t="shared" si="42"/>
        <v>0</v>
      </c>
    </row>
    <row r="30" spans="1:62" x14ac:dyDescent="0.2">
      <c r="A30" s="71"/>
      <c r="B30" s="96" t="s">
        <v>52</v>
      </c>
      <c r="C30" s="96"/>
      <c r="D30" s="97">
        <f t="shared" si="0"/>
        <v>0</v>
      </c>
      <c r="E30" s="97">
        <f t="shared" si="43"/>
        <v>0</v>
      </c>
      <c r="F30" s="97">
        <f t="shared" si="44"/>
        <v>0</v>
      </c>
      <c r="G30" s="96"/>
      <c r="H30" s="97">
        <f t="shared" si="1"/>
        <v>0</v>
      </c>
      <c r="I30" s="97">
        <f t="shared" si="2"/>
        <v>0</v>
      </c>
      <c r="J30" s="97">
        <f t="shared" si="3"/>
        <v>0</v>
      </c>
      <c r="K30" s="96"/>
      <c r="L30" s="97">
        <f t="shared" si="4"/>
        <v>0</v>
      </c>
      <c r="M30" s="97">
        <f t="shared" si="5"/>
        <v>0</v>
      </c>
      <c r="N30" s="97">
        <f t="shared" si="6"/>
        <v>0</v>
      </c>
      <c r="O30" s="96"/>
      <c r="P30" s="97">
        <f t="shared" si="7"/>
        <v>0</v>
      </c>
      <c r="Q30" s="97">
        <f t="shared" si="8"/>
        <v>0</v>
      </c>
      <c r="R30" s="97">
        <f t="shared" si="9"/>
        <v>0</v>
      </c>
      <c r="S30" s="96"/>
      <c r="T30" s="97">
        <f t="shared" si="10"/>
        <v>0</v>
      </c>
      <c r="U30" s="97">
        <f t="shared" si="11"/>
        <v>0</v>
      </c>
      <c r="V30" s="97">
        <f t="shared" si="12"/>
        <v>0</v>
      </c>
      <c r="W30" s="96"/>
      <c r="X30" s="97">
        <f t="shared" si="13"/>
        <v>0</v>
      </c>
      <c r="Y30" s="97">
        <f t="shared" si="14"/>
        <v>0</v>
      </c>
      <c r="Z30" s="97">
        <f t="shared" si="15"/>
        <v>0</v>
      </c>
      <c r="AA30" s="96"/>
      <c r="AB30" s="97">
        <f t="shared" si="16"/>
        <v>0</v>
      </c>
      <c r="AC30" s="97">
        <f t="shared" si="17"/>
        <v>0</v>
      </c>
      <c r="AD30" s="97">
        <f t="shared" si="18"/>
        <v>0</v>
      </c>
      <c r="AE30" s="96"/>
      <c r="AF30" s="97">
        <f t="shared" si="19"/>
        <v>0</v>
      </c>
      <c r="AG30" s="97">
        <f t="shared" si="20"/>
        <v>0</v>
      </c>
      <c r="AH30" s="97">
        <f t="shared" si="21"/>
        <v>0</v>
      </c>
      <c r="AI30" s="96"/>
      <c r="AJ30" s="97">
        <f t="shared" si="22"/>
        <v>0</v>
      </c>
      <c r="AK30" s="97">
        <f t="shared" si="23"/>
        <v>0</v>
      </c>
      <c r="AL30" s="97">
        <f t="shared" si="24"/>
        <v>0</v>
      </c>
      <c r="AM30" s="96"/>
      <c r="AN30" s="97">
        <f t="shared" si="25"/>
        <v>0</v>
      </c>
      <c r="AO30" s="97">
        <f t="shared" si="26"/>
        <v>0</v>
      </c>
      <c r="AP30" s="97">
        <f t="shared" si="27"/>
        <v>0</v>
      </c>
      <c r="AQ30" s="96"/>
      <c r="AR30" s="97">
        <f t="shared" si="28"/>
        <v>0</v>
      </c>
      <c r="AS30" s="97">
        <f t="shared" si="29"/>
        <v>0</v>
      </c>
      <c r="AT30" s="97">
        <f t="shared" si="30"/>
        <v>0</v>
      </c>
      <c r="AU30" s="96"/>
      <c r="AV30" s="97">
        <f t="shared" si="31"/>
        <v>0</v>
      </c>
      <c r="AW30" s="97">
        <f t="shared" si="32"/>
        <v>0</v>
      </c>
      <c r="AX30" s="97">
        <f t="shared" si="33"/>
        <v>0</v>
      </c>
      <c r="AY30" s="96"/>
      <c r="AZ30" s="65">
        <f t="shared" si="34"/>
        <v>0</v>
      </c>
      <c r="BA30" s="65">
        <f t="shared" si="35"/>
        <v>0</v>
      </c>
      <c r="BB30" s="65">
        <f t="shared" si="36"/>
        <v>0</v>
      </c>
      <c r="BC30" s="96"/>
      <c r="BD30" s="65">
        <f t="shared" si="37"/>
        <v>0</v>
      </c>
      <c r="BE30" s="65">
        <f t="shared" si="38"/>
        <v>0</v>
      </c>
      <c r="BF30" s="65">
        <f t="shared" si="39"/>
        <v>0</v>
      </c>
      <c r="BG30" s="96"/>
      <c r="BH30" s="65">
        <f t="shared" si="40"/>
        <v>0</v>
      </c>
      <c r="BI30" s="65">
        <f t="shared" si="41"/>
        <v>0</v>
      </c>
      <c r="BJ30" s="65">
        <f t="shared" si="42"/>
        <v>0</v>
      </c>
    </row>
    <row r="31" spans="1:62" x14ac:dyDescent="0.2">
      <c r="A31" s="71"/>
      <c r="B31" s="96" t="s">
        <v>52</v>
      </c>
      <c r="C31" s="96"/>
      <c r="D31" s="97">
        <f t="shared" si="0"/>
        <v>0</v>
      </c>
      <c r="E31" s="97">
        <f t="shared" si="43"/>
        <v>0</v>
      </c>
      <c r="F31" s="97">
        <f t="shared" si="44"/>
        <v>0</v>
      </c>
      <c r="G31" s="96"/>
      <c r="H31" s="97">
        <f t="shared" si="1"/>
        <v>0</v>
      </c>
      <c r="I31" s="97">
        <f t="shared" si="2"/>
        <v>0</v>
      </c>
      <c r="J31" s="97">
        <f t="shared" si="3"/>
        <v>0</v>
      </c>
      <c r="K31" s="96"/>
      <c r="L31" s="97">
        <f t="shared" si="4"/>
        <v>0</v>
      </c>
      <c r="M31" s="97">
        <f t="shared" si="5"/>
        <v>0</v>
      </c>
      <c r="N31" s="97">
        <f t="shared" si="6"/>
        <v>0</v>
      </c>
      <c r="O31" s="96"/>
      <c r="P31" s="97">
        <f t="shared" si="7"/>
        <v>0</v>
      </c>
      <c r="Q31" s="97">
        <f t="shared" si="8"/>
        <v>0</v>
      </c>
      <c r="R31" s="97">
        <f t="shared" si="9"/>
        <v>0</v>
      </c>
      <c r="S31" s="96"/>
      <c r="T31" s="97">
        <f t="shared" si="10"/>
        <v>0</v>
      </c>
      <c r="U31" s="97">
        <f t="shared" si="11"/>
        <v>0</v>
      </c>
      <c r="V31" s="97">
        <f t="shared" si="12"/>
        <v>0</v>
      </c>
      <c r="W31" s="96"/>
      <c r="X31" s="97">
        <f t="shared" si="13"/>
        <v>0</v>
      </c>
      <c r="Y31" s="97">
        <f t="shared" si="14"/>
        <v>0</v>
      </c>
      <c r="Z31" s="97">
        <f t="shared" si="15"/>
        <v>0</v>
      </c>
      <c r="AA31" s="96"/>
      <c r="AB31" s="97">
        <f t="shared" si="16"/>
        <v>0</v>
      </c>
      <c r="AC31" s="97">
        <f t="shared" si="17"/>
        <v>0</v>
      </c>
      <c r="AD31" s="97">
        <f t="shared" si="18"/>
        <v>0</v>
      </c>
      <c r="AE31" s="96"/>
      <c r="AF31" s="97">
        <f t="shared" si="19"/>
        <v>0</v>
      </c>
      <c r="AG31" s="97">
        <f t="shared" si="20"/>
        <v>0</v>
      </c>
      <c r="AH31" s="97">
        <f t="shared" si="21"/>
        <v>0</v>
      </c>
      <c r="AI31" s="96"/>
      <c r="AJ31" s="97">
        <f t="shared" si="22"/>
        <v>0</v>
      </c>
      <c r="AK31" s="97">
        <f t="shared" si="23"/>
        <v>0</v>
      </c>
      <c r="AL31" s="97">
        <f t="shared" si="24"/>
        <v>0</v>
      </c>
      <c r="AM31" s="96"/>
      <c r="AN31" s="97">
        <f t="shared" si="25"/>
        <v>0</v>
      </c>
      <c r="AO31" s="97">
        <f t="shared" si="26"/>
        <v>0</v>
      </c>
      <c r="AP31" s="97">
        <f t="shared" si="27"/>
        <v>0</v>
      </c>
      <c r="AQ31" s="96"/>
      <c r="AR31" s="97">
        <f t="shared" si="28"/>
        <v>0</v>
      </c>
      <c r="AS31" s="97">
        <f t="shared" si="29"/>
        <v>0</v>
      </c>
      <c r="AT31" s="97">
        <f t="shared" si="30"/>
        <v>0</v>
      </c>
      <c r="AU31" s="96"/>
      <c r="AV31" s="97">
        <f t="shared" si="31"/>
        <v>0</v>
      </c>
      <c r="AW31" s="97">
        <f t="shared" si="32"/>
        <v>0</v>
      </c>
      <c r="AX31" s="97">
        <f t="shared" si="33"/>
        <v>0</v>
      </c>
      <c r="AY31" s="96"/>
      <c r="AZ31" s="65">
        <f t="shared" si="34"/>
        <v>0</v>
      </c>
      <c r="BA31" s="65">
        <f t="shared" si="35"/>
        <v>0</v>
      </c>
      <c r="BB31" s="65">
        <f t="shared" si="36"/>
        <v>0</v>
      </c>
      <c r="BC31" s="96"/>
      <c r="BD31" s="65">
        <f t="shared" si="37"/>
        <v>0</v>
      </c>
      <c r="BE31" s="65">
        <f t="shared" si="38"/>
        <v>0</v>
      </c>
      <c r="BF31" s="65">
        <f t="shared" si="39"/>
        <v>0</v>
      </c>
      <c r="BG31" s="96"/>
      <c r="BH31" s="65">
        <f t="shared" si="40"/>
        <v>0</v>
      </c>
      <c r="BI31" s="65">
        <f t="shared" si="41"/>
        <v>0</v>
      </c>
      <c r="BJ31" s="65">
        <f t="shared" si="42"/>
        <v>0</v>
      </c>
    </row>
    <row r="32" spans="1:62" x14ac:dyDescent="0.2">
      <c r="A32" s="71"/>
      <c r="B32" s="96" t="s">
        <v>52</v>
      </c>
      <c r="C32" s="96"/>
      <c r="D32" s="97">
        <f t="shared" si="0"/>
        <v>0</v>
      </c>
      <c r="E32" s="97">
        <f t="shared" si="43"/>
        <v>0</v>
      </c>
      <c r="F32" s="97">
        <f t="shared" si="44"/>
        <v>0</v>
      </c>
      <c r="G32" s="96"/>
      <c r="H32" s="97">
        <f t="shared" si="1"/>
        <v>0</v>
      </c>
      <c r="I32" s="97">
        <f t="shared" si="2"/>
        <v>0</v>
      </c>
      <c r="J32" s="97">
        <f t="shared" si="3"/>
        <v>0</v>
      </c>
      <c r="K32" s="96"/>
      <c r="L32" s="97">
        <f t="shared" si="4"/>
        <v>0</v>
      </c>
      <c r="M32" s="97">
        <f t="shared" si="5"/>
        <v>0</v>
      </c>
      <c r="N32" s="97">
        <f t="shared" si="6"/>
        <v>0</v>
      </c>
      <c r="O32" s="96"/>
      <c r="P32" s="97">
        <f t="shared" si="7"/>
        <v>0</v>
      </c>
      <c r="Q32" s="97">
        <f t="shared" si="8"/>
        <v>0</v>
      </c>
      <c r="R32" s="97">
        <f t="shared" si="9"/>
        <v>0</v>
      </c>
      <c r="S32" s="96"/>
      <c r="T32" s="97">
        <f t="shared" si="10"/>
        <v>0</v>
      </c>
      <c r="U32" s="97">
        <f t="shared" si="11"/>
        <v>0</v>
      </c>
      <c r="V32" s="97">
        <f t="shared" si="12"/>
        <v>0</v>
      </c>
      <c r="W32" s="96"/>
      <c r="X32" s="97">
        <f t="shared" si="13"/>
        <v>0</v>
      </c>
      <c r="Y32" s="97">
        <f t="shared" si="14"/>
        <v>0</v>
      </c>
      <c r="Z32" s="97">
        <f t="shared" si="15"/>
        <v>0</v>
      </c>
      <c r="AA32" s="96"/>
      <c r="AB32" s="97">
        <f t="shared" si="16"/>
        <v>0</v>
      </c>
      <c r="AC32" s="97">
        <f t="shared" si="17"/>
        <v>0</v>
      </c>
      <c r="AD32" s="97">
        <f t="shared" si="18"/>
        <v>0</v>
      </c>
      <c r="AE32" s="96"/>
      <c r="AF32" s="97">
        <f t="shared" si="19"/>
        <v>0</v>
      </c>
      <c r="AG32" s="97">
        <f t="shared" si="20"/>
        <v>0</v>
      </c>
      <c r="AH32" s="97">
        <f t="shared" si="21"/>
        <v>0</v>
      </c>
      <c r="AI32" s="96"/>
      <c r="AJ32" s="97">
        <f t="shared" si="22"/>
        <v>0</v>
      </c>
      <c r="AK32" s="97">
        <f t="shared" si="23"/>
        <v>0</v>
      </c>
      <c r="AL32" s="97">
        <f t="shared" si="24"/>
        <v>0</v>
      </c>
      <c r="AM32" s="96"/>
      <c r="AN32" s="97">
        <f t="shared" si="25"/>
        <v>0</v>
      </c>
      <c r="AO32" s="97">
        <f t="shared" si="26"/>
        <v>0</v>
      </c>
      <c r="AP32" s="97">
        <f t="shared" si="27"/>
        <v>0</v>
      </c>
      <c r="AQ32" s="96"/>
      <c r="AR32" s="97">
        <f t="shared" si="28"/>
        <v>0</v>
      </c>
      <c r="AS32" s="97">
        <f t="shared" si="29"/>
        <v>0</v>
      </c>
      <c r="AT32" s="97">
        <f t="shared" si="30"/>
        <v>0</v>
      </c>
      <c r="AU32" s="96"/>
      <c r="AV32" s="97">
        <f t="shared" si="31"/>
        <v>0</v>
      </c>
      <c r="AW32" s="97">
        <f t="shared" si="32"/>
        <v>0</v>
      </c>
      <c r="AX32" s="97">
        <f t="shared" si="33"/>
        <v>0</v>
      </c>
      <c r="AY32" s="96"/>
      <c r="AZ32" s="65">
        <f t="shared" si="34"/>
        <v>0</v>
      </c>
      <c r="BA32" s="65">
        <f t="shared" si="35"/>
        <v>0</v>
      </c>
      <c r="BB32" s="65">
        <f t="shared" si="36"/>
        <v>0</v>
      </c>
      <c r="BC32" s="96"/>
      <c r="BD32" s="65">
        <f t="shared" si="37"/>
        <v>0</v>
      </c>
      <c r="BE32" s="65">
        <f t="shared" si="38"/>
        <v>0</v>
      </c>
      <c r="BF32" s="65">
        <f t="shared" si="39"/>
        <v>0</v>
      </c>
      <c r="BG32" s="96"/>
      <c r="BH32" s="65">
        <f t="shared" si="40"/>
        <v>0</v>
      </c>
      <c r="BI32" s="65">
        <f t="shared" si="41"/>
        <v>0</v>
      </c>
      <c r="BJ32" s="65">
        <f t="shared" si="42"/>
        <v>0</v>
      </c>
    </row>
    <row r="33" spans="1:62" x14ac:dyDescent="0.2">
      <c r="A33" s="71"/>
      <c r="B33" s="96" t="s">
        <v>52</v>
      </c>
      <c r="C33" s="96"/>
      <c r="D33" s="97">
        <f t="shared" si="0"/>
        <v>0</v>
      </c>
      <c r="E33" s="97">
        <f t="shared" si="43"/>
        <v>0</v>
      </c>
      <c r="F33" s="97">
        <f t="shared" si="44"/>
        <v>0</v>
      </c>
      <c r="G33" s="96"/>
      <c r="H33" s="97">
        <f t="shared" si="1"/>
        <v>0</v>
      </c>
      <c r="I33" s="97">
        <f t="shared" si="2"/>
        <v>0</v>
      </c>
      <c r="J33" s="97">
        <f t="shared" si="3"/>
        <v>0</v>
      </c>
      <c r="K33" s="96"/>
      <c r="L33" s="97">
        <f t="shared" si="4"/>
        <v>0</v>
      </c>
      <c r="M33" s="97">
        <f t="shared" si="5"/>
        <v>0</v>
      </c>
      <c r="N33" s="97">
        <f t="shared" si="6"/>
        <v>0</v>
      </c>
      <c r="O33" s="96"/>
      <c r="P33" s="97">
        <f t="shared" si="7"/>
        <v>0</v>
      </c>
      <c r="Q33" s="97">
        <f t="shared" si="8"/>
        <v>0</v>
      </c>
      <c r="R33" s="97">
        <f t="shared" si="9"/>
        <v>0</v>
      </c>
      <c r="S33" s="96"/>
      <c r="T33" s="97">
        <f t="shared" si="10"/>
        <v>0</v>
      </c>
      <c r="U33" s="97">
        <f t="shared" si="11"/>
        <v>0</v>
      </c>
      <c r="V33" s="97">
        <f t="shared" si="12"/>
        <v>0</v>
      </c>
      <c r="W33" s="96"/>
      <c r="X33" s="97">
        <f t="shared" si="13"/>
        <v>0</v>
      </c>
      <c r="Y33" s="97">
        <f t="shared" si="14"/>
        <v>0</v>
      </c>
      <c r="Z33" s="97">
        <f t="shared" si="15"/>
        <v>0</v>
      </c>
      <c r="AA33" s="96"/>
      <c r="AB33" s="97">
        <f t="shared" si="16"/>
        <v>0</v>
      </c>
      <c r="AC33" s="97">
        <f t="shared" si="17"/>
        <v>0</v>
      </c>
      <c r="AD33" s="97">
        <f t="shared" si="18"/>
        <v>0</v>
      </c>
      <c r="AE33" s="96"/>
      <c r="AF33" s="97">
        <f t="shared" si="19"/>
        <v>0</v>
      </c>
      <c r="AG33" s="97">
        <f t="shared" si="20"/>
        <v>0</v>
      </c>
      <c r="AH33" s="97">
        <f t="shared" si="21"/>
        <v>0</v>
      </c>
      <c r="AI33" s="96"/>
      <c r="AJ33" s="97">
        <f t="shared" si="22"/>
        <v>0</v>
      </c>
      <c r="AK33" s="97">
        <f t="shared" si="23"/>
        <v>0</v>
      </c>
      <c r="AL33" s="97">
        <f t="shared" si="24"/>
        <v>0</v>
      </c>
      <c r="AM33" s="96"/>
      <c r="AN33" s="97">
        <f t="shared" si="25"/>
        <v>0</v>
      </c>
      <c r="AO33" s="97">
        <f t="shared" si="26"/>
        <v>0</v>
      </c>
      <c r="AP33" s="97">
        <f t="shared" si="27"/>
        <v>0</v>
      </c>
      <c r="AQ33" s="96"/>
      <c r="AR33" s="97">
        <f t="shared" si="28"/>
        <v>0</v>
      </c>
      <c r="AS33" s="97">
        <f t="shared" si="29"/>
        <v>0</v>
      </c>
      <c r="AT33" s="97">
        <f t="shared" si="30"/>
        <v>0</v>
      </c>
      <c r="AU33" s="96"/>
      <c r="AV33" s="97">
        <f t="shared" si="31"/>
        <v>0</v>
      </c>
      <c r="AW33" s="97">
        <f t="shared" si="32"/>
        <v>0</v>
      </c>
      <c r="AX33" s="97">
        <f t="shared" si="33"/>
        <v>0</v>
      </c>
      <c r="AY33" s="96"/>
      <c r="AZ33" s="65">
        <f t="shared" si="34"/>
        <v>0</v>
      </c>
      <c r="BA33" s="65">
        <f t="shared" si="35"/>
        <v>0</v>
      </c>
      <c r="BB33" s="65">
        <f t="shared" si="36"/>
        <v>0</v>
      </c>
      <c r="BC33" s="96"/>
      <c r="BD33" s="65">
        <f t="shared" si="37"/>
        <v>0</v>
      </c>
      <c r="BE33" s="65">
        <f t="shared" si="38"/>
        <v>0</v>
      </c>
      <c r="BF33" s="65">
        <f t="shared" si="39"/>
        <v>0</v>
      </c>
      <c r="BG33" s="96"/>
      <c r="BH33" s="65">
        <f t="shared" si="40"/>
        <v>0</v>
      </c>
      <c r="BI33" s="65">
        <f t="shared" si="41"/>
        <v>0</v>
      </c>
      <c r="BJ33" s="65">
        <f t="shared" si="42"/>
        <v>0</v>
      </c>
    </row>
    <row r="34" spans="1:62" x14ac:dyDescent="0.2">
      <c r="A34" s="71"/>
      <c r="B34" s="96" t="s">
        <v>52</v>
      </c>
      <c r="C34" s="96"/>
      <c r="D34" s="97">
        <f t="shared" si="0"/>
        <v>0</v>
      </c>
      <c r="E34" s="97">
        <f t="shared" si="43"/>
        <v>0</v>
      </c>
      <c r="F34" s="97">
        <f t="shared" si="44"/>
        <v>0</v>
      </c>
      <c r="G34" s="96"/>
      <c r="H34" s="97">
        <f t="shared" si="1"/>
        <v>0</v>
      </c>
      <c r="I34" s="97">
        <f t="shared" si="2"/>
        <v>0</v>
      </c>
      <c r="J34" s="97">
        <f t="shared" si="3"/>
        <v>0</v>
      </c>
      <c r="K34" s="96"/>
      <c r="L34" s="97">
        <f t="shared" si="4"/>
        <v>0</v>
      </c>
      <c r="M34" s="97">
        <f t="shared" si="5"/>
        <v>0</v>
      </c>
      <c r="N34" s="97">
        <f t="shared" si="6"/>
        <v>0</v>
      </c>
      <c r="O34" s="96"/>
      <c r="P34" s="97">
        <f t="shared" si="7"/>
        <v>0</v>
      </c>
      <c r="Q34" s="97">
        <f t="shared" si="8"/>
        <v>0</v>
      </c>
      <c r="R34" s="97">
        <f t="shared" si="9"/>
        <v>0</v>
      </c>
      <c r="S34" s="96"/>
      <c r="T34" s="97">
        <f t="shared" si="10"/>
        <v>0</v>
      </c>
      <c r="U34" s="97">
        <f t="shared" si="11"/>
        <v>0</v>
      </c>
      <c r="V34" s="97">
        <f t="shared" si="12"/>
        <v>0</v>
      </c>
      <c r="W34" s="96"/>
      <c r="X34" s="97">
        <f t="shared" si="13"/>
        <v>0</v>
      </c>
      <c r="Y34" s="97">
        <f t="shared" si="14"/>
        <v>0</v>
      </c>
      <c r="Z34" s="97">
        <f t="shared" si="15"/>
        <v>0</v>
      </c>
      <c r="AA34" s="96"/>
      <c r="AB34" s="97">
        <f t="shared" si="16"/>
        <v>0</v>
      </c>
      <c r="AC34" s="97">
        <f t="shared" si="17"/>
        <v>0</v>
      </c>
      <c r="AD34" s="97">
        <f t="shared" si="18"/>
        <v>0</v>
      </c>
      <c r="AE34" s="96"/>
      <c r="AF34" s="97">
        <f t="shared" si="19"/>
        <v>0</v>
      </c>
      <c r="AG34" s="97">
        <f t="shared" si="20"/>
        <v>0</v>
      </c>
      <c r="AH34" s="97">
        <f t="shared" si="21"/>
        <v>0</v>
      </c>
      <c r="AI34" s="96"/>
      <c r="AJ34" s="97">
        <f t="shared" si="22"/>
        <v>0</v>
      </c>
      <c r="AK34" s="97">
        <f t="shared" si="23"/>
        <v>0</v>
      </c>
      <c r="AL34" s="97">
        <f t="shared" si="24"/>
        <v>0</v>
      </c>
      <c r="AM34" s="96"/>
      <c r="AN34" s="97">
        <f t="shared" si="25"/>
        <v>0</v>
      </c>
      <c r="AO34" s="97">
        <f t="shared" si="26"/>
        <v>0</v>
      </c>
      <c r="AP34" s="97">
        <f t="shared" si="27"/>
        <v>0</v>
      </c>
      <c r="AQ34" s="96"/>
      <c r="AR34" s="97">
        <f t="shared" si="28"/>
        <v>0</v>
      </c>
      <c r="AS34" s="97">
        <f t="shared" si="29"/>
        <v>0</v>
      </c>
      <c r="AT34" s="97">
        <f t="shared" si="30"/>
        <v>0</v>
      </c>
      <c r="AU34" s="96"/>
      <c r="AV34" s="97">
        <f t="shared" si="31"/>
        <v>0</v>
      </c>
      <c r="AW34" s="97">
        <f t="shared" si="32"/>
        <v>0</v>
      </c>
      <c r="AX34" s="97">
        <f t="shared" si="33"/>
        <v>0</v>
      </c>
      <c r="AY34" s="96"/>
      <c r="AZ34" s="65">
        <f t="shared" si="34"/>
        <v>0</v>
      </c>
      <c r="BA34" s="65">
        <f t="shared" si="35"/>
        <v>0</v>
      </c>
      <c r="BB34" s="65">
        <f t="shared" si="36"/>
        <v>0</v>
      </c>
      <c r="BC34" s="96"/>
      <c r="BD34" s="65">
        <f t="shared" si="37"/>
        <v>0</v>
      </c>
      <c r="BE34" s="65">
        <f t="shared" si="38"/>
        <v>0</v>
      </c>
      <c r="BF34" s="65">
        <f t="shared" si="39"/>
        <v>0</v>
      </c>
      <c r="BG34" s="96"/>
      <c r="BH34" s="65">
        <f t="shared" si="40"/>
        <v>0</v>
      </c>
      <c r="BI34" s="65">
        <f t="shared" si="41"/>
        <v>0</v>
      </c>
      <c r="BJ34" s="65">
        <f t="shared" si="42"/>
        <v>0</v>
      </c>
    </row>
    <row r="35" spans="1:62" x14ac:dyDescent="0.2">
      <c r="A35" s="71"/>
      <c r="B35" s="96" t="s">
        <v>52</v>
      </c>
      <c r="C35" s="96"/>
      <c r="D35" s="97">
        <f t="shared" si="0"/>
        <v>0</v>
      </c>
      <c r="E35" s="97">
        <f t="shared" si="43"/>
        <v>0</v>
      </c>
      <c r="F35" s="97">
        <f t="shared" si="44"/>
        <v>0</v>
      </c>
      <c r="G35" s="96"/>
      <c r="H35" s="97">
        <f t="shared" si="1"/>
        <v>0</v>
      </c>
      <c r="I35" s="97">
        <f t="shared" si="2"/>
        <v>0</v>
      </c>
      <c r="J35" s="97">
        <f t="shared" si="3"/>
        <v>0</v>
      </c>
      <c r="K35" s="96"/>
      <c r="L35" s="97">
        <f t="shared" si="4"/>
        <v>0</v>
      </c>
      <c r="M35" s="97">
        <f t="shared" si="5"/>
        <v>0</v>
      </c>
      <c r="N35" s="97">
        <f t="shared" si="6"/>
        <v>0</v>
      </c>
      <c r="O35" s="96"/>
      <c r="P35" s="97">
        <f t="shared" si="7"/>
        <v>0</v>
      </c>
      <c r="Q35" s="97">
        <f t="shared" si="8"/>
        <v>0</v>
      </c>
      <c r="R35" s="97">
        <f t="shared" si="9"/>
        <v>0</v>
      </c>
      <c r="S35" s="96"/>
      <c r="T35" s="97">
        <f t="shared" si="10"/>
        <v>0</v>
      </c>
      <c r="U35" s="97">
        <f t="shared" si="11"/>
        <v>0</v>
      </c>
      <c r="V35" s="97">
        <f t="shared" si="12"/>
        <v>0</v>
      </c>
      <c r="W35" s="96"/>
      <c r="X35" s="97">
        <f t="shared" si="13"/>
        <v>0</v>
      </c>
      <c r="Y35" s="97">
        <f t="shared" si="14"/>
        <v>0</v>
      </c>
      <c r="Z35" s="97">
        <f t="shared" si="15"/>
        <v>0</v>
      </c>
      <c r="AA35" s="96"/>
      <c r="AB35" s="97">
        <f t="shared" si="16"/>
        <v>0</v>
      </c>
      <c r="AC35" s="97">
        <f t="shared" si="17"/>
        <v>0</v>
      </c>
      <c r="AD35" s="97">
        <f t="shared" si="18"/>
        <v>0</v>
      </c>
      <c r="AE35" s="96"/>
      <c r="AF35" s="97">
        <f t="shared" si="19"/>
        <v>0</v>
      </c>
      <c r="AG35" s="97">
        <f t="shared" si="20"/>
        <v>0</v>
      </c>
      <c r="AH35" s="97">
        <f t="shared" si="21"/>
        <v>0</v>
      </c>
      <c r="AI35" s="96"/>
      <c r="AJ35" s="97">
        <f t="shared" si="22"/>
        <v>0</v>
      </c>
      <c r="AK35" s="97">
        <f t="shared" si="23"/>
        <v>0</v>
      </c>
      <c r="AL35" s="97">
        <f t="shared" si="24"/>
        <v>0</v>
      </c>
      <c r="AM35" s="96"/>
      <c r="AN35" s="97">
        <f t="shared" si="25"/>
        <v>0</v>
      </c>
      <c r="AO35" s="97">
        <f t="shared" si="26"/>
        <v>0</v>
      </c>
      <c r="AP35" s="97">
        <f t="shared" si="27"/>
        <v>0</v>
      </c>
      <c r="AQ35" s="96"/>
      <c r="AR35" s="97">
        <f t="shared" si="28"/>
        <v>0</v>
      </c>
      <c r="AS35" s="97">
        <f t="shared" si="29"/>
        <v>0</v>
      </c>
      <c r="AT35" s="97">
        <f t="shared" si="30"/>
        <v>0</v>
      </c>
      <c r="AU35" s="96"/>
      <c r="AV35" s="97">
        <f t="shared" si="31"/>
        <v>0</v>
      </c>
      <c r="AW35" s="97">
        <f t="shared" si="32"/>
        <v>0</v>
      </c>
      <c r="AX35" s="97">
        <f t="shared" si="33"/>
        <v>0</v>
      </c>
      <c r="AY35" s="96"/>
      <c r="AZ35" s="65">
        <f t="shared" si="34"/>
        <v>0</v>
      </c>
      <c r="BA35" s="65">
        <f t="shared" si="35"/>
        <v>0</v>
      </c>
      <c r="BB35" s="65">
        <f t="shared" si="36"/>
        <v>0</v>
      </c>
      <c r="BC35" s="96"/>
      <c r="BD35" s="65">
        <f t="shared" si="37"/>
        <v>0</v>
      </c>
      <c r="BE35" s="65">
        <f t="shared" si="38"/>
        <v>0</v>
      </c>
      <c r="BF35" s="65">
        <f t="shared" si="39"/>
        <v>0</v>
      </c>
      <c r="BG35" s="96"/>
      <c r="BH35" s="65">
        <f t="shared" si="40"/>
        <v>0</v>
      </c>
      <c r="BI35" s="65">
        <f t="shared" si="41"/>
        <v>0</v>
      </c>
      <c r="BJ35" s="65">
        <f t="shared" si="42"/>
        <v>0</v>
      </c>
    </row>
    <row r="36" spans="1:62" x14ac:dyDescent="0.2">
      <c r="A36" s="71"/>
      <c r="B36" s="96" t="s">
        <v>52</v>
      </c>
      <c r="C36" s="96"/>
      <c r="D36" s="97">
        <f t="shared" si="0"/>
        <v>0</v>
      </c>
      <c r="E36" s="97">
        <f t="shared" si="43"/>
        <v>0</v>
      </c>
      <c r="F36" s="97">
        <f t="shared" si="44"/>
        <v>0</v>
      </c>
      <c r="G36" s="96"/>
      <c r="H36" s="97">
        <f t="shared" si="1"/>
        <v>0</v>
      </c>
      <c r="I36" s="97">
        <f t="shared" si="2"/>
        <v>0</v>
      </c>
      <c r="J36" s="97">
        <f t="shared" si="3"/>
        <v>0</v>
      </c>
      <c r="K36" s="96"/>
      <c r="L36" s="97">
        <f t="shared" si="4"/>
        <v>0</v>
      </c>
      <c r="M36" s="97">
        <f t="shared" si="5"/>
        <v>0</v>
      </c>
      <c r="N36" s="97">
        <f t="shared" si="6"/>
        <v>0</v>
      </c>
      <c r="O36" s="96"/>
      <c r="P36" s="97">
        <f t="shared" si="7"/>
        <v>0</v>
      </c>
      <c r="Q36" s="97">
        <f t="shared" si="8"/>
        <v>0</v>
      </c>
      <c r="R36" s="97">
        <f t="shared" si="9"/>
        <v>0</v>
      </c>
      <c r="S36" s="96"/>
      <c r="T36" s="97">
        <f t="shared" si="10"/>
        <v>0</v>
      </c>
      <c r="U36" s="97">
        <f t="shared" si="11"/>
        <v>0</v>
      </c>
      <c r="V36" s="97">
        <f t="shared" si="12"/>
        <v>0</v>
      </c>
      <c r="W36" s="96"/>
      <c r="X36" s="97">
        <f t="shared" si="13"/>
        <v>0</v>
      </c>
      <c r="Y36" s="97">
        <f t="shared" si="14"/>
        <v>0</v>
      </c>
      <c r="Z36" s="97">
        <f t="shared" si="15"/>
        <v>0</v>
      </c>
      <c r="AA36" s="96"/>
      <c r="AB36" s="97">
        <f t="shared" si="16"/>
        <v>0</v>
      </c>
      <c r="AC36" s="97">
        <f t="shared" si="17"/>
        <v>0</v>
      </c>
      <c r="AD36" s="97">
        <f t="shared" si="18"/>
        <v>0</v>
      </c>
      <c r="AE36" s="96"/>
      <c r="AF36" s="97">
        <f t="shared" si="19"/>
        <v>0</v>
      </c>
      <c r="AG36" s="97">
        <f t="shared" si="20"/>
        <v>0</v>
      </c>
      <c r="AH36" s="97">
        <f t="shared" si="21"/>
        <v>0</v>
      </c>
      <c r="AI36" s="96"/>
      <c r="AJ36" s="97">
        <f t="shared" si="22"/>
        <v>0</v>
      </c>
      <c r="AK36" s="97">
        <f t="shared" si="23"/>
        <v>0</v>
      </c>
      <c r="AL36" s="97">
        <f t="shared" si="24"/>
        <v>0</v>
      </c>
      <c r="AM36" s="96"/>
      <c r="AN36" s="97">
        <f t="shared" si="25"/>
        <v>0</v>
      </c>
      <c r="AO36" s="97">
        <f t="shared" si="26"/>
        <v>0</v>
      </c>
      <c r="AP36" s="97">
        <f t="shared" si="27"/>
        <v>0</v>
      </c>
      <c r="AQ36" s="96"/>
      <c r="AR36" s="97">
        <f t="shared" si="28"/>
        <v>0</v>
      </c>
      <c r="AS36" s="97">
        <f t="shared" si="29"/>
        <v>0</v>
      </c>
      <c r="AT36" s="97">
        <f t="shared" si="30"/>
        <v>0</v>
      </c>
      <c r="AU36" s="96"/>
      <c r="AV36" s="97">
        <f t="shared" si="31"/>
        <v>0</v>
      </c>
      <c r="AW36" s="97">
        <f t="shared" si="32"/>
        <v>0</v>
      </c>
      <c r="AX36" s="97">
        <f t="shared" si="33"/>
        <v>0</v>
      </c>
      <c r="AY36" s="96"/>
      <c r="AZ36" s="65">
        <f t="shared" si="34"/>
        <v>0</v>
      </c>
      <c r="BA36" s="65">
        <f t="shared" si="35"/>
        <v>0</v>
      </c>
      <c r="BB36" s="65">
        <f t="shared" si="36"/>
        <v>0</v>
      </c>
      <c r="BC36" s="96"/>
      <c r="BD36" s="65">
        <f t="shared" si="37"/>
        <v>0</v>
      </c>
      <c r="BE36" s="65">
        <f t="shared" si="38"/>
        <v>0</v>
      </c>
      <c r="BF36" s="65">
        <f t="shared" si="39"/>
        <v>0</v>
      </c>
      <c r="BG36" s="96"/>
      <c r="BH36" s="65">
        <f t="shared" si="40"/>
        <v>0</v>
      </c>
      <c r="BI36" s="65">
        <f t="shared" si="41"/>
        <v>0</v>
      </c>
      <c r="BJ36" s="65">
        <f t="shared" si="42"/>
        <v>0</v>
      </c>
    </row>
    <row r="37" spans="1:62" x14ac:dyDescent="0.2">
      <c r="A37" s="71"/>
      <c r="B37" s="96" t="s">
        <v>52</v>
      </c>
      <c r="C37" s="96"/>
      <c r="D37" s="97">
        <f t="shared" si="0"/>
        <v>0</v>
      </c>
      <c r="E37" s="97">
        <f t="shared" si="43"/>
        <v>0</v>
      </c>
      <c r="F37" s="97">
        <f t="shared" si="44"/>
        <v>0</v>
      </c>
      <c r="G37" s="96"/>
      <c r="H37" s="97">
        <f t="shared" si="1"/>
        <v>0</v>
      </c>
      <c r="I37" s="97">
        <f t="shared" si="2"/>
        <v>0</v>
      </c>
      <c r="J37" s="97">
        <f t="shared" si="3"/>
        <v>0</v>
      </c>
      <c r="K37" s="96"/>
      <c r="L37" s="97">
        <f t="shared" si="4"/>
        <v>0</v>
      </c>
      <c r="M37" s="97">
        <f t="shared" si="5"/>
        <v>0</v>
      </c>
      <c r="N37" s="97">
        <f t="shared" si="6"/>
        <v>0</v>
      </c>
      <c r="O37" s="96"/>
      <c r="P37" s="97">
        <f t="shared" si="7"/>
        <v>0</v>
      </c>
      <c r="Q37" s="97">
        <f t="shared" si="8"/>
        <v>0</v>
      </c>
      <c r="R37" s="97">
        <f t="shared" si="9"/>
        <v>0</v>
      </c>
      <c r="S37" s="96"/>
      <c r="T37" s="97">
        <f t="shared" si="10"/>
        <v>0</v>
      </c>
      <c r="U37" s="97">
        <f t="shared" si="11"/>
        <v>0</v>
      </c>
      <c r="V37" s="97">
        <f t="shared" si="12"/>
        <v>0</v>
      </c>
      <c r="W37" s="96"/>
      <c r="X37" s="97">
        <f t="shared" si="13"/>
        <v>0</v>
      </c>
      <c r="Y37" s="97">
        <f t="shared" si="14"/>
        <v>0</v>
      </c>
      <c r="Z37" s="97">
        <f t="shared" si="15"/>
        <v>0</v>
      </c>
      <c r="AA37" s="96"/>
      <c r="AB37" s="97">
        <f t="shared" si="16"/>
        <v>0</v>
      </c>
      <c r="AC37" s="97">
        <f t="shared" si="17"/>
        <v>0</v>
      </c>
      <c r="AD37" s="97">
        <f t="shared" si="18"/>
        <v>0</v>
      </c>
      <c r="AE37" s="96"/>
      <c r="AF37" s="97">
        <f t="shared" si="19"/>
        <v>0</v>
      </c>
      <c r="AG37" s="97">
        <f t="shared" si="20"/>
        <v>0</v>
      </c>
      <c r="AH37" s="97">
        <f t="shared" si="21"/>
        <v>0</v>
      </c>
      <c r="AI37" s="96"/>
      <c r="AJ37" s="97">
        <f t="shared" si="22"/>
        <v>0</v>
      </c>
      <c r="AK37" s="97">
        <f t="shared" si="23"/>
        <v>0</v>
      </c>
      <c r="AL37" s="97">
        <f t="shared" si="24"/>
        <v>0</v>
      </c>
      <c r="AM37" s="96"/>
      <c r="AN37" s="97">
        <f t="shared" si="25"/>
        <v>0</v>
      </c>
      <c r="AO37" s="97">
        <f t="shared" si="26"/>
        <v>0</v>
      </c>
      <c r="AP37" s="97">
        <f t="shared" si="27"/>
        <v>0</v>
      </c>
      <c r="AQ37" s="96"/>
      <c r="AR37" s="97">
        <f t="shared" si="28"/>
        <v>0</v>
      </c>
      <c r="AS37" s="97">
        <f t="shared" si="29"/>
        <v>0</v>
      </c>
      <c r="AT37" s="97">
        <f t="shared" si="30"/>
        <v>0</v>
      </c>
      <c r="AU37" s="96"/>
      <c r="AV37" s="97">
        <f t="shared" si="31"/>
        <v>0</v>
      </c>
      <c r="AW37" s="97">
        <f t="shared" si="32"/>
        <v>0</v>
      </c>
      <c r="AX37" s="97">
        <f t="shared" si="33"/>
        <v>0</v>
      </c>
      <c r="AY37" s="96"/>
      <c r="AZ37" s="65">
        <f t="shared" si="34"/>
        <v>0</v>
      </c>
      <c r="BA37" s="65">
        <f t="shared" si="35"/>
        <v>0</v>
      </c>
      <c r="BB37" s="65">
        <f t="shared" si="36"/>
        <v>0</v>
      </c>
      <c r="BC37" s="96"/>
      <c r="BD37" s="65">
        <f t="shared" si="37"/>
        <v>0</v>
      </c>
      <c r="BE37" s="65">
        <f t="shared" si="38"/>
        <v>0</v>
      </c>
      <c r="BF37" s="65">
        <f t="shared" si="39"/>
        <v>0</v>
      </c>
      <c r="BG37" s="96"/>
      <c r="BH37" s="65">
        <f t="shared" si="40"/>
        <v>0</v>
      </c>
      <c r="BI37" s="65">
        <f t="shared" si="41"/>
        <v>0</v>
      </c>
      <c r="BJ37" s="65">
        <f t="shared" si="42"/>
        <v>0</v>
      </c>
    </row>
    <row r="38" spans="1:62" x14ac:dyDescent="0.2">
      <c r="A38" s="71"/>
      <c r="B38" s="96" t="s">
        <v>52</v>
      </c>
      <c r="C38" s="96"/>
      <c r="D38" s="97">
        <f t="shared" si="0"/>
        <v>0</v>
      </c>
      <c r="E38" s="97">
        <f t="shared" si="43"/>
        <v>0</v>
      </c>
      <c r="F38" s="97">
        <f t="shared" si="44"/>
        <v>0</v>
      </c>
      <c r="G38" s="96"/>
      <c r="H38" s="97">
        <f t="shared" si="1"/>
        <v>0</v>
      </c>
      <c r="I38" s="97">
        <f t="shared" si="2"/>
        <v>0</v>
      </c>
      <c r="J38" s="97">
        <f t="shared" si="3"/>
        <v>0</v>
      </c>
      <c r="K38" s="96"/>
      <c r="L38" s="97">
        <f t="shared" si="4"/>
        <v>0</v>
      </c>
      <c r="M38" s="97">
        <f t="shared" si="5"/>
        <v>0</v>
      </c>
      <c r="N38" s="97">
        <f t="shared" si="6"/>
        <v>0</v>
      </c>
      <c r="O38" s="96"/>
      <c r="P38" s="97">
        <f t="shared" si="7"/>
        <v>0</v>
      </c>
      <c r="Q38" s="97">
        <f t="shared" si="8"/>
        <v>0</v>
      </c>
      <c r="R38" s="97">
        <f t="shared" si="9"/>
        <v>0</v>
      </c>
      <c r="S38" s="96"/>
      <c r="T38" s="97">
        <f t="shared" si="10"/>
        <v>0</v>
      </c>
      <c r="U38" s="97">
        <f t="shared" si="11"/>
        <v>0</v>
      </c>
      <c r="V38" s="97">
        <f t="shared" si="12"/>
        <v>0</v>
      </c>
      <c r="W38" s="96"/>
      <c r="X38" s="97">
        <f t="shared" si="13"/>
        <v>0</v>
      </c>
      <c r="Y38" s="97">
        <f t="shared" si="14"/>
        <v>0</v>
      </c>
      <c r="Z38" s="97">
        <f t="shared" si="15"/>
        <v>0</v>
      </c>
      <c r="AA38" s="96"/>
      <c r="AB38" s="97">
        <f t="shared" si="16"/>
        <v>0</v>
      </c>
      <c r="AC38" s="97">
        <f t="shared" si="17"/>
        <v>0</v>
      </c>
      <c r="AD38" s="97">
        <f t="shared" si="18"/>
        <v>0</v>
      </c>
      <c r="AE38" s="96"/>
      <c r="AF38" s="97">
        <f t="shared" si="19"/>
        <v>0</v>
      </c>
      <c r="AG38" s="97">
        <f t="shared" si="20"/>
        <v>0</v>
      </c>
      <c r="AH38" s="97">
        <f t="shared" si="21"/>
        <v>0</v>
      </c>
      <c r="AI38" s="96"/>
      <c r="AJ38" s="97">
        <f t="shared" si="22"/>
        <v>0</v>
      </c>
      <c r="AK38" s="97">
        <f t="shared" si="23"/>
        <v>0</v>
      </c>
      <c r="AL38" s="97">
        <f t="shared" si="24"/>
        <v>0</v>
      </c>
      <c r="AM38" s="96"/>
      <c r="AN38" s="97">
        <f t="shared" si="25"/>
        <v>0</v>
      </c>
      <c r="AO38" s="97">
        <f t="shared" si="26"/>
        <v>0</v>
      </c>
      <c r="AP38" s="97">
        <f t="shared" si="27"/>
        <v>0</v>
      </c>
      <c r="AQ38" s="96"/>
      <c r="AR38" s="97">
        <f t="shared" si="28"/>
        <v>0</v>
      </c>
      <c r="AS38" s="97">
        <f t="shared" si="29"/>
        <v>0</v>
      </c>
      <c r="AT38" s="97">
        <f t="shared" si="30"/>
        <v>0</v>
      </c>
      <c r="AU38" s="96"/>
      <c r="AV38" s="97">
        <f t="shared" si="31"/>
        <v>0</v>
      </c>
      <c r="AW38" s="97">
        <f t="shared" si="32"/>
        <v>0</v>
      </c>
      <c r="AX38" s="97">
        <f t="shared" si="33"/>
        <v>0</v>
      </c>
      <c r="AY38" s="96"/>
      <c r="AZ38" s="65">
        <f t="shared" si="34"/>
        <v>0</v>
      </c>
      <c r="BA38" s="65">
        <f t="shared" si="35"/>
        <v>0</v>
      </c>
      <c r="BB38" s="65">
        <f t="shared" si="36"/>
        <v>0</v>
      </c>
      <c r="BC38" s="96"/>
      <c r="BD38" s="65">
        <f t="shared" si="37"/>
        <v>0</v>
      </c>
      <c r="BE38" s="65">
        <f t="shared" si="38"/>
        <v>0</v>
      </c>
      <c r="BF38" s="65">
        <f t="shared" si="39"/>
        <v>0</v>
      </c>
      <c r="BG38" s="96"/>
      <c r="BH38" s="65">
        <f t="shared" si="40"/>
        <v>0</v>
      </c>
      <c r="BI38" s="65">
        <f t="shared" si="41"/>
        <v>0</v>
      </c>
      <c r="BJ38" s="65">
        <f t="shared" si="42"/>
        <v>0</v>
      </c>
    </row>
    <row r="39" spans="1:62" x14ac:dyDescent="0.2">
      <c r="A39" s="71"/>
      <c r="B39" s="96" t="s">
        <v>52</v>
      </c>
      <c r="C39" s="96"/>
      <c r="D39" s="97">
        <f t="shared" si="0"/>
        <v>0</v>
      </c>
      <c r="E39" s="97">
        <f t="shared" si="43"/>
        <v>0</v>
      </c>
      <c r="F39" s="97">
        <f t="shared" si="44"/>
        <v>0</v>
      </c>
      <c r="G39" s="96"/>
      <c r="H39" s="97">
        <f t="shared" si="1"/>
        <v>0</v>
      </c>
      <c r="I39" s="97">
        <f t="shared" si="2"/>
        <v>0</v>
      </c>
      <c r="J39" s="97">
        <f t="shared" si="3"/>
        <v>0</v>
      </c>
      <c r="K39" s="96"/>
      <c r="L39" s="97">
        <f t="shared" si="4"/>
        <v>0</v>
      </c>
      <c r="M39" s="97">
        <f t="shared" si="5"/>
        <v>0</v>
      </c>
      <c r="N39" s="97">
        <f t="shared" si="6"/>
        <v>0</v>
      </c>
      <c r="O39" s="96"/>
      <c r="P39" s="97">
        <f t="shared" si="7"/>
        <v>0</v>
      </c>
      <c r="Q39" s="97">
        <f t="shared" si="8"/>
        <v>0</v>
      </c>
      <c r="R39" s="97">
        <f t="shared" si="9"/>
        <v>0</v>
      </c>
      <c r="S39" s="96"/>
      <c r="T39" s="97">
        <f t="shared" si="10"/>
        <v>0</v>
      </c>
      <c r="U39" s="97">
        <f t="shared" si="11"/>
        <v>0</v>
      </c>
      <c r="V39" s="97">
        <f t="shared" si="12"/>
        <v>0</v>
      </c>
      <c r="W39" s="96"/>
      <c r="X39" s="97">
        <f t="shared" si="13"/>
        <v>0</v>
      </c>
      <c r="Y39" s="97">
        <f t="shared" si="14"/>
        <v>0</v>
      </c>
      <c r="Z39" s="97">
        <f t="shared" si="15"/>
        <v>0</v>
      </c>
      <c r="AA39" s="96"/>
      <c r="AB39" s="97">
        <f t="shared" si="16"/>
        <v>0</v>
      </c>
      <c r="AC39" s="97">
        <f t="shared" si="17"/>
        <v>0</v>
      </c>
      <c r="AD39" s="97">
        <f t="shared" si="18"/>
        <v>0</v>
      </c>
      <c r="AE39" s="96"/>
      <c r="AF39" s="97">
        <f t="shared" si="19"/>
        <v>0</v>
      </c>
      <c r="AG39" s="97">
        <f t="shared" si="20"/>
        <v>0</v>
      </c>
      <c r="AH39" s="97">
        <f t="shared" si="21"/>
        <v>0</v>
      </c>
      <c r="AI39" s="96"/>
      <c r="AJ39" s="97">
        <f t="shared" si="22"/>
        <v>0</v>
      </c>
      <c r="AK39" s="97">
        <f t="shared" si="23"/>
        <v>0</v>
      </c>
      <c r="AL39" s="97">
        <f t="shared" si="24"/>
        <v>0</v>
      </c>
      <c r="AM39" s="96"/>
      <c r="AN39" s="97">
        <f t="shared" si="25"/>
        <v>0</v>
      </c>
      <c r="AO39" s="97">
        <f t="shared" si="26"/>
        <v>0</v>
      </c>
      <c r="AP39" s="97">
        <f t="shared" si="27"/>
        <v>0</v>
      </c>
      <c r="AQ39" s="96"/>
      <c r="AR39" s="97">
        <f t="shared" si="28"/>
        <v>0</v>
      </c>
      <c r="AS39" s="97">
        <f t="shared" si="29"/>
        <v>0</v>
      </c>
      <c r="AT39" s="97">
        <f t="shared" si="30"/>
        <v>0</v>
      </c>
      <c r="AU39" s="96"/>
      <c r="AV39" s="97">
        <f t="shared" si="31"/>
        <v>0</v>
      </c>
      <c r="AW39" s="97">
        <f t="shared" si="32"/>
        <v>0</v>
      </c>
      <c r="AX39" s="97">
        <f t="shared" si="33"/>
        <v>0</v>
      </c>
      <c r="AY39" s="96"/>
      <c r="AZ39" s="65">
        <f t="shared" si="34"/>
        <v>0</v>
      </c>
      <c r="BA39" s="65">
        <f t="shared" si="35"/>
        <v>0</v>
      </c>
      <c r="BB39" s="65">
        <f t="shared" si="36"/>
        <v>0</v>
      </c>
      <c r="BC39" s="96"/>
      <c r="BD39" s="65">
        <f t="shared" si="37"/>
        <v>0</v>
      </c>
      <c r="BE39" s="65">
        <f t="shared" si="38"/>
        <v>0</v>
      </c>
      <c r="BF39" s="65">
        <f t="shared" si="39"/>
        <v>0</v>
      </c>
      <c r="BG39" s="96"/>
      <c r="BH39" s="65">
        <f t="shared" si="40"/>
        <v>0</v>
      </c>
      <c r="BI39" s="65">
        <f t="shared" si="41"/>
        <v>0</v>
      </c>
      <c r="BJ39" s="65">
        <f t="shared" si="42"/>
        <v>0</v>
      </c>
    </row>
    <row r="40" spans="1:62" x14ac:dyDescent="0.2">
      <c r="A40" s="71"/>
      <c r="B40" s="96" t="s">
        <v>52</v>
      </c>
      <c r="C40" s="96"/>
      <c r="D40" s="97">
        <f t="shared" si="0"/>
        <v>0</v>
      </c>
      <c r="E40" s="97">
        <f t="shared" si="43"/>
        <v>0</v>
      </c>
      <c r="F40" s="97">
        <f t="shared" si="44"/>
        <v>0</v>
      </c>
      <c r="G40" s="96"/>
      <c r="H40" s="97">
        <f t="shared" si="1"/>
        <v>0</v>
      </c>
      <c r="I40" s="97">
        <f t="shared" si="2"/>
        <v>0</v>
      </c>
      <c r="J40" s="97">
        <f t="shared" si="3"/>
        <v>0</v>
      </c>
      <c r="K40" s="96"/>
      <c r="L40" s="97">
        <f t="shared" si="4"/>
        <v>0</v>
      </c>
      <c r="M40" s="97">
        <f t="shared" si="5"/>
        <v>0</v>
      </c>
      <c r="N40" s="97">
        <f t="shared" si="6"/>
        <v>0</v>
      </c>
      <c r="O40" s="96"/>
      <c r="P40" s="97">
        <f t="shared" si="7"/>
        <v>0</v>
      </c>
      <c r="Q40" s="97">
        <f t="shared" si="8"/>
        <v>0</v>
      </c>
      <c r="R40" s="97">
        <f t="shared" si="9"/>
        <v>0</v>
      </c>
      <c r="S40" s="96"/>
      <c r="T40" s="97">
        <f t="shared" si="10"/>
        <v>0</v>
      </c>
      <c r="U40" s="97">
        <f t="shared" si="11"/>
        <v>0</v>
      </c>
      <c r="V40" s="97">
        <f t="shared" si="12"/>
        <v>0</v>
      </c>
      <c r="W40" s="96"/>
      <c r="X40" s="97">
        <f t="shared" si="13"/>
        <v>0</v>
      </c>
      <c r="Y40" s="97">
        <f t="shared" si="14"/>
        <v>0</v>
      </c>
      <c r="Z40" s="97">
        <f t="shared" si="15"/>
        <v>0</v>
      </c>
      <c r="AA40" s="96"/>
      <c r="AB40" s="97">
        <f t="shared" si="16"/>
        <v>0</v>
      </c>
      <c r="AC40" s="97">
        <f t="shared" si="17"/>
        <v>0</v>
      </c>
      <c r="AD40" s="97">
        <f t="shared" si="18"/>
        <v>0</v>
      </c>
      <c r="AE40" s="96"/>
      <c r="AF40" s="97">
        <f t="shared" si="19"/>
        <v>0</v>
      </c>
      <c r="AG40" s="97">
        <f t="shared" si="20"/>
        <v>0</v>
      </c>
      <c r="AH40" s="97">
        <f t="shared" si="21"/>
        <v>0</v>
      </c>
      <c r="AI40" s="96"/>
      <c r="AJ40" s="97">
        <f t="shared" si="22"/>
        <v>0</v>
      </c>
      <c r="AK40" s="97">
        <f t="shared" si="23"/>
        <v>0</v>
      </c>
      <c r="AL40" s="97">
        <f t="shared" si="24"/>
        <v>0</v>
      </c>
      <c r="AM40" s="96"/>
      <c r="AN40" s="97">
        <f t="shared" si="25"/>
        <v>0</v>
      </c>
      <c r="AO40" s="97">
        <f t="shared" si="26"/>
        <v>0</v>
      </c>
      <c r="AP40" s="97">
        <f t="shared" si="27"/>
        <v>0</v>
      </c>
      <c r="AQ40" s="96"/>
      <c r="AR40" s="97">
        <f t="shared" si="28"/>
        <v>0</v>
      </c>
      <c r="AS40" s="97">
        <f t="shared" si="29"/>
        <v>0</v>
      </c>
      <c r="AT40" s="97">
        <f t="shared" si="30"/>
        <v>0</v>
      </c>
      <c r="AU40" s="96"/>
      <c r="AV40" s="97">
        <f t="shared" si="31"/>
        <v>0</v>
      </c>
      <c r="AW40" s="97">
        <f t="shared" si="32"/>
        <v>0</v>
      </c>
      <c r="AX40" s="97">
        <f t="shared" si="33"/>
        <v>0</v>
      </c>
      <c r="AY40" s="96"/>
      <c r="AZ40" s="65">
        <f t="shared" si="34"/>
        <v>0</v>
      </c>
      <c r="BA40" s="65">
        <f t="shared" si="35"/>
        <v>0</v>
      </c>
      <c r="BB40" s="65">
        <f t="shared" si="36"/>
        <v>0</v>
      </c>
      <c r="BC40" s="96"/>
      <c r="BD40" s="65">
        <f t="shared" si="37"/>
        <v>0</v>
      </c>
      <c r="BE40" s="65">
        <f t="shared" si="38"/>
        <v>0</v>
      </c>
      <c r="BF40" s="65">
        <f t="shared" si="39"/>
        <v>0</v>
      </c>
      <c r="BG40" s="96"/>
      <c r="BH40" s="65">
        <f t="shared" si="40"/>
        <v>0</v>
      </c>
      <c r="BI40" s="65">
        <f t="shared" si="41"/>
        <v>0</v>
      </c>
      <c r="BJ40" s="65">
        <f t="shared" si="42"/>
        <v>0</v>
      </c>
    </row>
    <row r="41" spans="1:62" x14ac:dyDescent="0.2">
      <c r="A41" s="71"/>
      <c r="B41" s="96" t="s">
        <v>52</v>
      </c>
      <c r="C41" s="96"/>
      <c r="D41" s="97">
        <f t="shared" si="0"/>
        <v>0</v>
      </c>
      <c r="E41" s="97">
        <f t="shared" si="43"/>
        <v>0</v>
      </c>
      <c r="F41" s="97">
        <f t="shared" si="44"/>
        <v>0</v>
      </c>
      <c r="G41" s="96"/>
      <c r="H41" s="97">
        <f t="shared" si="1"/>
        <v>0</v>
      </c>
      <c r="I41" s="97">
        <f t="shared" si="2"/>
        <v>0</v>
      </c>
      <c r="J41" s="97">
        <f t="shared" si="3"/>
        <v>0</v>
      </c>
      <c r="K41" s="96"/>
      <c r="L41" s="97">
        <f t="shared" si="4"/>
        <v>0</v>
      </c>
      <c r="M41" s="97">
        <f t="shared" si="5"/>
        <v>0</v>
      </c>
      <c r="N41" s="97">
        <f t="shared" si="6"/>
        <v>0</v>
      </c>
      <c r="O41" s="96"/>
      <c r="P41" s="97">
        <f t="shared" si="7"/>
        <v>0</v>
      </c>
      <c r="Q41" s="97">
        <f t="shared" si="8"/>
        <v>0</v>
      </c>
      <c r="R41" s="97">
        <f t="shared" si="9"/>
        <v>0</v>
      </c>
      <c r="S41" s="96"/>
      <c r="T41" s="97">
        <f t="shared" si="10"/>
        <v>0</v>
      </c>
      <c r="U41" s="97">
        <f t="shared" si="11"/>
        <v>0</v>
      </c>
      <c r="V41" s="97">
        <f t="shared" si="12"/>
        <v>0</v>
      </c>
      <c r="W41" s="96"/>
      <c r="X41" s="97">
        <f t="shared" si="13"/>
        <v>0</v>
      </c>
      <c r="Y41" s="97">
        <f t="shared" si="14"/>
        <v>0</v>
      </c>
      <c r="Z41" s="97">
        <f t="shared" si="15"/>
        <v>0</v>
      </c>
      <c r="AA41" s="96"/>
      <c r="AB41" s="97">
        <f t="shared" si="16"/>
        <v>0</v>
      </c>
      <c r="AC41" s="97">
        <f t="shared" si="17"/>
        <v>0</v>
      </c>
      <c r="AD41" s="97">
        <f t="shared" si="18"/>
        <v>0</v>
      </c>
      <c r="AE41" s="96"/>
      <c r="AF41" s="97">
        <f t="shared" si="19"/>
        <v>0</v>
      </c>
      <c r="AG41" s="97">
        <f t="shared" si="20"/>
        <v>0</v>
      </c>
      <c r="AH41" s="97">
        <f t="shared" si="21"/>
        <v>0</v>
      </c>
      <c r="AI41" s="96"/>
      <c r="AJ41" s="97">
        <f t="shared" si="22"/>
        <v>0</v>
      </c>
      <c r="AK41" s="97">
        <f t="shared" si="23"/>
        <v>0</v>
      </c>
      <c r="AL41" s="97">
        <f t="shared" si="24"/>
        <v>0</v>
      </c>
      <c r="AM41" s="96"/>
      <c r="AN41" s="97">
        <f t="shared" si="25"/>
        <v>0</v>
      </c>
      <c r="AO41" s="97">
        <f t="shared" si="26"/>
        <v>0</v>
      </c>
      <c r="AP41" s="97">
        <f t="shared" si="27"/>
        <v>0</v>
      </c>
      <c r="AQ41" s="96"/>
      <c r="AR41" s="97">
        <f t="shared" si="28"/>
        <v>0</v>
      </c>
      <c r="AS41" s="97">
        <f t="shared" si="29"/>
        <v>0</v>
      </c>
      <c r="AT41" s="97">
        <f t="shared" si="30"/>
        <v>0</v>
      </c>
      <c r="AU41" s="96"/>
      <c r="AV41" s="97">
        <f t="shared" si="31"/>
        <v>0</v>
      </c>
      <c r="AW41" s="97">
        <f t="shared" si="32"/>
        <v>0</v>
      </c>
      <c r="AX41" s="97">
        <f t="shared" si="33"/>
        <v>0</v>
      </c>
      <c r="AY41" s="96"/>
      <c r="AZ41" s="65">
        <f t="shared" si="34"/>
        <v>0</v>
      </c>
      <c r="BA41" s="65">
        <f t="shared" si="35"/>
        <v>0</v>
      </c>
      <c r="BB41" s="65">
        <f t="shared" si="36"/>
        <v>0</v>
      </c>
      <c r="BC41" s="96"/>
      <c r="BD41" s="65">
        <f t="shared" si="37"/>
        <v>0</v>
      </c>
      <c r="BE41" s="65">
        <f t="shared" si="38"/>
        <v>0</v>
      </c>
      <c r="BF41" s="65">
        <f t="shared" si="39"/>
        <v>0</v>
      </c>
      <c r="BG41" s="96"/>
      <c r="BH41" s="65">
        <f t="shared" si="40"/>
        <v>0</v>
      </c>
      <c r="BI41" s="65">
        <f t="shared" si="41"/>
        <v>0</v>
      </c>
      <c r="BJ41" s="65">
        <f t="shared" si="42"/>
        <v>0</v>
      </c>
    </row>
    <row r="42" spans="1:62" x14ac:dyDescent="0.2">
      <c r="A42" s="71"/>
      <c r="B42" s="96" t="s">
        <v>52</v>
      </c>
      <c r="C42" s="96"/>
      <c r="D42" s="97">
        <f t="shared" si="0"/>
        <v>0</v>
      </c>
      <c r="E42" s="97">
        <f t="shared" si="43"/>
        <v>0</v>
      </c>
      <c r="F42" s="97">
        <f t="shared" si="44"/>
        <v>0</v>
      </c>
      <c r="G42" s="96"/>
      <c r="H42" s="97">
        <f t="shared" si="1"/>
        <v>0</v>
      </c>
      <c r="I42" s="97">
        <f t="shared" si="2"/>
        <v>0</v>
      </c>
      <c r="J42" s="97">
        <f t="shared" si="3"/>
        <v>0</v>
      </c>
      <c r="K42" s="96"/>
      <c r="L42" s="97">
        <f t="shared" si="4"/>
        <v>0</v>
      </c>
      <c r="M42" s="97">
        <f t="shared" si="5"/>
        <v>0</v>
      </c>
      <c r="N42" s="97">
        <f t="shared" si="6"/>
        <v>0</v>
      </c>
      <c r="O42" s="96"/>
      <c r="P42" s="97">
        <f t="shared" si="7"/>
        <v>0</v>
      </c>
      <c r="Q42" s="97">
        <f t="shared" si="8"/>
        <v>0</v>
      </c>
      <c r="R42" s="97">
        <f t="shared" si="9"/>
        <v>0</v>
      </c>
      <c r="S42" s="96"/>
      <c r="T42" s="97">
        <f t="shared" si="10"/>
        <v>0</v>
      </c>
      <c r="U42" s="97">
        <f t="shared" si="11"/>
        <v>0</v>
      </c>
      <c r="V42" s="97">
        <f t="shared" si="12"/>
        <v>0</v>
      </c>
      <c r="W42" s="96"/>
      <c r="X42" s="97">
        <f t="shared" si="13"/>
        <v>0</v>
      </c>
      <c r="Y42" s="97">
        <f t="shared" si="14"/>
        <v>0</v>
      </c>
      <c r="Z42" s="97">
        <f t="shared" si="15"/>
        <v>0</v>
      </c>
      <c r="AA42" s="96"/>
      <c r="AB42" s="97">
        <f t="shared" si="16"/>
        <v>0</v>
      </c>
      <c r="AC42" s="97">
        <f t="shared" si="17"/>
        <v>0</v>
      </c>
      <c r="AD42" s="97">
        <f t="shared" si="18"/>
        <v>0</v>
      </c>
      <c r="AE42" s="96"/>
      <c r="AF42" s="97">
        <f t="shared" si="19"/>
        <v>0</v>
      </c>
      <c r="AG42" s="97">
        <f t="shared" si="20"/>
        <v>0</v>
      </c>
      <c r="AH42" s="97">
        <f t="shared" si="21"/>
        <v>0</v>
      </c>
      <c r="AI42" s="96"/>
      <c r="AJ42" s="97">
        <f t="shared" si="22"/>
        <v>0</v>
      </c>
      <c r="AK42" s="97">
        <f t="shared" si="23"/>
        <v>0</v>
      </c>
      <c r="AL42" s="97">
        <f t="shared" si="24"/>
        <v>0</v>
      </c>
      <c r="AM42" s="96"/>
      <c r="AN42" s="97">
        <f t="shared" si="25"/>
        <v>0</v>
      </c>
      <c r="AO42" s="97">
        <f t="shared" si="26"/>
        <v>0</v>
      </c>
      <c r="AP42" s="97">
        <f t="shared" si="27"/>
        <v>0</v>
      </c>
      <c r="AQ42" s="96"/>
      <c r="AR42" s="97">
        <f t="shared" si="28"/>
        <v>0</v>
      </c>
      <c r="AS42" s="97">
        <f t="shared" si="29"/>
        <v>0</v>
      </c>
      <c r="AT42" s="97">
        <f t="shared" si="30"/>
        <v>0</v>
      </c>
      <c r="AU42" s="96"/>
      <c r="AV42" s="97">
        <f t="shared" si="31"/>
        <v>0</v>
      </c>
      <c r="AW42" s="97">
        <f t="shared" si="32"/>
        <v>0</v>
      </c>
      <c r="AX42" s="97">
        <f t="shared" si="33"/>
        <v>0</v>
      </c>
      <c r="AY42" s="96"/>
      <c r="AZ42" s="65">
        <f t="shared" si="34"/>
        <v>0</v>
      </c>
      <c r="BA42" s="65">
        <f t="shared" si="35"/>
        <v>0</v>
      </c>
      <c r="BB42" s="65">
        <f t="shared" si="36"/>
        <v>0</v>
      </c>
      <c r="BC42" s="96"/>
      <c r="BD42" s="65">
        <f t="shared" si="37"/>
        <v>0</v>
      </c>
      <c r="BE42" s="65">
        <f t="shared" si="38"/>
        <v>0</v>
      </c>
      <c r="BF42" s="65">
        <f t="shared" si="39"/>
        <v>0</v>
      </c>
      <c r="BG42" s="96"/>
      <c r="BH42" s="65">
        <f t="shared" si="40"/>
        <v>0</v>
      </c>
      <c r="BI42" s="65">
        <f t="shared" si="41"/>
        <v>0</v>
      </c>
      <c r="BJ42" s="65">
        <f t="shared" si="42"/>
        <v>0</v>
      </c>
    </row>
    <row r="43" spans="1:62" x14ac:dyDescent="0.2">
      <c r="A43" s="71"/>
      <c r="B43" s="96" t="s">
        <v>52</v>
      </c>
      <c r="C43" s="96"/>
      <c r="D43" s="97">
        <f t="shared" si="0"/>
        <v>0</v>
      </c>
      <c r="E43" s="97">
        <f t="shared" si="43"/>
        <v>0</v>
      </c>
      <c r="F43" s="97">
        <f t="shared" si="44"/>
        <v>0</v>
      </c>
      <c r="G43" s="96"/>
      <c r="H43" s="97">
        <f t="shared" si="1"/>
        <v>0</v>
      </c>
      <c r="I43" s="97">
        <f t="shared" si="2"/>
        <v>0</v>
      </c>
      <c r="J43" s="97">
        <f t="shared" si="3"/>
        <v>0</v>
      </c>
      <c r="K43" s="96"/>
      <c r="L43" s="97">
        <f t="shared" si="4"/>
        <v>0</v>
      </c>
      <c r="M43" s="97">
        <f t="shared" si="5"/>
        <v>0</v>
      </c>
      <c r="N43" s="97">
        <f t="shared" si="6"/>
        <v>0</v>
      </c>
      <c r="O43" s="96"/>
      <c r="P43" s="97">
        <f t="shared" si="7"/>
        <v>0</v>
      </c>
      <c r="Q43" s="97">
        <f t="shared" si="8"/>
        <v>0</v>
      </c>
      <c r="R43" s="97">
        <f t="shared" si="9"/>
        <v>0</v>
      </c>
      <c r="S43" s="96"/>
      <c r="T43" s="97">
        <f t="shared" si="10"/>
        <v>0</v>
      </c>
      <c r="U43" s="97">
        <f t="shared" si="11"/>
        <v>0</v>
      </c>
      <c r="V43" s="97">
        <f t="shared" si="12"/>
        <v>0</v>
      </c>
      <c r="W43" s="96"/>
      <c r="X43" s="97">
        <f t="shared" si="13"/>
        <v>0</v>
      </c>
      <c r="Y43" s="97">
        <f t="shared" si="14"/>
        <v>0</v>
      </c>
      <c r="Z43" s="97">
        <f t="shared" si="15"/>
        <v>0</v>
      </c>
      <c r="AA43" s="96"/>
      <c r="AB43" s="97">
        <f t="shared" si="16"/>
        <v>0</v>
      </c>
      <c r="AC43" s="97">
        <f t="shared" si="17"/>
        <v>0</v>
      </c>
      <c r="AD43" s="97">
        <f t="shared" si="18"/>
        <v>0</v>
      </c>
      <c r="AE43" s="96"/>
      <c r="AF43" s="97">
        <f t="shared" si="19"/>
        <v>0</v>
      </c>
      <c r="AG43" s="97">
        <f t="shared" si="20"/>
        <v>0</v>
      </c>
      <c r="AH43" s="97">
        <f t="shared" si="21"/>
        <v>0</v>
      </c>
      <c r="AI43" s="96"/>
      <c r="AJ43" s="97">
        <f t="shared" si="22"/>
        <v>0</v>
      </c>
      <c r="AK43" s="97">
        <f t="shared" si="23"/>
        <v>0</v>
      </c>
      <c r="AL43" s="97">
        <f t="shared" si="24"/>
        <v>0</v>
      </c>
      <c r="AM43" s="96"/>
      <c r="AN43" s="97">
        <f t="shared" si="25"/>
        <v>0</v>
      </c>
      <c r="AO43" s="97">
        <f t="shared" si="26"/>
        <v>0</v>
      </c>
      <c r="AP43" s="97">
        <f t="shared" si="27"/>
        <v>0</v>
      </c>
      <c r="AQ43" s="96"/>
      <c r="AR43" s="97">
        <f t="shared" si="28"/>
        <v>0</v>
      </c>
      <c r="AS43" s="97">
        <f t="shared" si="29"/>
        <v>0</v>
      </c>
      <c r="AT43" s="97">
        <f t="shared" si="30"/>
        <v>0</v>
      </c>
      <c r="AU43" s="96"/>
      <c r="AV43" s="97">
        <f t="shared" si="31"/>
        <v>0</v>
      </c>
      <c r="AW43" s="97">
        <f t="shared" si="32"/>
        <v>0</v>
      </c>
      <c r="AX43" s="97">
        <f t="shared" si="33"/>
        <v>0</v>
      </c>
      <c r="AY43" s="96"/>
      <c r="AZ43" s="65">
        <f t="shared" si="34"/>
        <v>0</v>
      </c>
      <c r="BA43" s="65">
        <f t="shared" si="35"/>
        <v>0</v>
      </c>
      <c r="BB43" s="65">
        <f t="shared" si="36"/>
        <v>0</v>
      </c>
      <c r="BC43" s="96"/>
      <c r="BD43" s="65">
        <f t="shared" si="37"/>
        <v>0</v>
      </c>
      <c r="BE43" s="65">
        <f t="shared" si="38"/>
        <v>0</v>
      </c>
      <c r="BF43" s="65">
        <f t="shared" si="39"/>
        <v>0</v>
      </c>
      <c r="BG43" s="96"/>
      <c r="BH43" s="65">
        <f t="shared" si="40"/>
        <v>0</v>
      </c>
      <c r="BI43" s="65">
        <f t="shared" si="41"/>
        <v>0</v>
      </c>
      <c r="BJ43" s="65">
        <f t="shared" si="42"/>
        <v>0</v>
      </c>
    </row>
    <row r="44" spans="1:62" x14ac:dyDescent="0.2">
      <c r="A44" s="71"/>
      <c r="B44" s="96" t="s">
        <v>52</v>
      </c>
      <c r="C44" s="96"/>
      <c r="D44" s="97">
        <f t="shared" si="0"/>
        <v>0</v>
      </c>
      <c r="E44" s="97">
        <f t="shared" si="43"/>
        <v>0</v>
      </c>
      <c r="F44" s="97">
        <f t="shared" si="44"/>
        <v>0</v>
      </c>
      <c r="G44" s="96"/>
      <c r="H44" s="97">
        <f t="shared" si="1"/>
        <v>0</v>
      </c>
      <c r="I44" s="97">
        <f t="shared" si="2"/>
        <v>0</v>
      </c>
      <c r="J44" s="97">
        <f t="shared" si="3"/>
        <v>0</v>
      </c>
      <c r="K44" s="96"/>
      <c r="L44" s="97">
        <f t="shared" si="4"/>
        <v>0</v>
      </c>
      <c r="M44" s="97">
        <f t="shared" si="5"/>
        <v>0</v>
      </c>
      <c r="N44" s="97">
        <f t="shared" si="6"/>
        <v>0</v>
      </c>
      <c r="O44" s="96"/>
      <c r="P44" s="97">
        <f t="shared" si="7"/>
        <v>0</v>
      </c>
      <c r="Q44" s="97">
        <f t="shared" si="8"/>
        <v>0</v>
      </c>
      <c r="R44" s="97">
        <f t="shared" si="9"/>
        <v>0</v>
      </c>
      <c r="S44" s="96"/>
      <c r="T44" s="97">
        <f t="shared" si="10"/>
        <v>0</v>
      </c>
      <c r="U44" s="97">
        <f t="shared" si="11"/>
        <v>0</v>
      </c>
      <c r="V44" s="97">
        <f t="shared" si="12"/>
        <v>0</v>
      </c>
      <c r="W44" s="96"/>
      <c r="X44" s="97">
        <f t="shared" si="13"/>
        <v>0</v>
      </c>
      <c r="Y44" s="97">
        <f t="shared" si="14"/>
        <v>0</v>
      </c>
      <c r="Z44" s="97">
        <f t="shared" si="15"/>
        <v>0</v>
      </c>
      <c r="AA44" s="96"/>
      <c r="AB44" s="97">
        <f t="shared" si="16"/>
        <v>0</v>
      </c>
      <c r="AC44" s="97">
        <f t="shared" si="17"/>
        <v>0</v>
      </c>
      <c r="AD44" s="97">
        <f t="shared" si="18"/>
        <v>0</v>
      </c>
      <c r="AE44" s="96"/>
      <c r="AF44" s="97">
        <f t="shared" si="19"/>
        <v>0</v>
      </c>
      <c r="AG44" s="97">
        <f t="shared" si="20"/>
        <v>0</v>
      </c>
      <c r="AH44" s="97">
        <f t="shared" si="21"/>
        <v>0</v>
      </c>
      <c r="AI44" s="96"/>
      <c r="AJ44" s="97">
        <f t="shared" si="22"/>
        <v>0</v>
      </c>
      <c r="AK44" s="97">
        <f t="shared" si="23"/>
        <v>0</v>
      </c>
      <c r="AL44" s="97">
        <f t="shared" si="24"/>
        <v>0</v>
      </c>
      <c r="AM44" s="96"/>
      <c r="AN44" s="97">
        <f t="shared" si="25"/>
        <v>0</v>
      </c>
      <c r="AO44" s="97">
        <f t="shared" si="26"/>
        <v>0</v>
      </c>
      <c r="AP44" s="97">
        <f t="shared" si="27"/>
        <v>0</v>
      </c>
      <c r="AQ44" s="96"/>
      <c r="AR44" s="97">
        <f t="shared" si="28"/>
        <v>0</v>
      </c>
      <c r="AS44" s="97">
        <f t="shared" si="29"/>
        <v>0</v>
      </c>
      <c r="AT44" s="97">
        <f t="shared" si="30"/>
        <v>0</v>
      </c>
      <c r="AU44" s="96"/>
      <c r="AV44" s="97">
        <f t="shared" si="31"/>
        <v>0</v>
      </c>
      <c r="AW44" s="97">
        <f t="shared" si="32"/>
        <v>0</v>
      </c>
      <c r="AX44" s="97">
        <f t="shared" si="33"/>
        <v>0</v>
      </c>
      <c r="AY44" s="96"/>
      <c r="AZ44" s="65">
        <f t="shared" si="34"/>
        <v>0</v>
      </c>
      <c r="BA44" s="65">
        <f t="shared" si="35"/>
        <v>0</v>
      </c>
      <c r="BB44" s="65">
        <f t="shared" si="36"/>
        <v>0</v>
      </c>
      <c r="BC44" s="96"/>
      <c r="BD44" s="65">
        <f t="shared" si="37"/>
        <v>0</v>
      </c>
      <c r="BE44" s="65">
        <f t="shared" si="38"/>
        <v>0</v>
      </c>
      <c r="BF44" s="65">
        <f t="shared" si="39"/>
        <v>0</v>
      </c>
      <c r="BG44" s="96"/>
      <c r="BH44" s="65">
        <f t="shared" si="40"/>
        <v>0</v>
      </c>
      <c r="BI44" s="65">
        <f t="shared" si="41"/>
        <v>0</v>
      </c>
      <c r="BJ44" s="65">
        <f t="shared" si="42"/>
        <v>0</v>
      </c>
    </row>
    <row r="45" spans="1:62" x14ac:dyDescent="0.2">
      <c r="A45" s="71"/>
      <c r="B45" s="96" t="s">
        <v>52</v>
      </c>
      <c r="C45" s="96"/>
      <c r="D45" s="97">
        <f t="shared" si="0"/>
        <v>0</v>
      </c>
      <c r="E45" s="97">
        <f t="shared" si="43"/>
        <v>0</v>
      </c>
      <c r="F45" s="97">
        <f t="shared" si="44"/>
        <v>0</v>
      </c>
      <c r="G45" s="96"/>
      <c r="H45" s="97">
        <f t="shared" si="1"/>
        <v>0</v>
      </c>
      <c r="I45" s="97">
        <f t="shared" si="2"/>
        <v>0</v>
      </c>
      <c r="J45" s="97">
        <f t="shared" si="3"/>
        <v>0</v>
      </c>
      <c r="K45" s="96"/>
      <c r="L45" s="97">
        <f t="shared" si="4"/>
        <v>0</v>
      </c>
      <c r="M45" s="97">
        <f t="shared" si="5"/>
        <v>0</v>
      </c>
      <c r="N45" s="97">
        <f t="shared" si="6"/>
        <v>0</v>
      </c>
      <c r="O45" s="96"/>
      <c r="P45" s="97">
        <f t="shared" si="7"/>
        <v>0</v>
      </c>
      <c r="Q45" s="97">
        <f t="shared" si="8"/>
        <v>0</v>
      </c>
      <c r="R45" s="97">
        <f t="shared" si="9"/>
        <v>0</v>
      </c>
      <c r="S45" s="96"/>
      <c r="T45" s="97">
        <f t="shared" si="10"/>
        <v>0</v>
      </c>
      <c r="U45" s="97">
        <f t="shared" si="11"/>
        <v>0</v>
      </c>
      <c r="V45" s="97">
        <f t="shared" si="12"/>
        <v>0</v>
      </c>
      <c r="W45" s="96"/>
      <c r="X45" s="97">
        <f t="shared" si="13"/>
        <v>0</v>
      </c>
      <c r="Y45" s="97">
        <f t="shared" si="14"/>
        <v>0</v>
      </c>
      <c r="Z45" s="97">
        <f t="shared" si="15"/>
        <v>0</v>
      </c>
      <c r="AA45" s="96"/>
      <c r="AB45" s="97">
        <f t="shared" si="16"/>
        <v>0</v>
      </c>
      <c r="AC45" s="97">
        <f t="shared" si="17"/>
        <v>0</v>
      </c>
      <c r="AD45" s="97">
        <f t="shared" si="18"/>
        <v>0</v>
      </c>
      <c r="AE45" s="96"/>
      <c r="AF45" s="97">
        <f t="shared" si="19"/>
        <v>0</v>
      </c>
      <c r="AG45" s="97">
        <f t="shared" si="20"/>
        <v>0</v>
      </c>
      <c r="AH45" s="97">
        <f t="shared" si="21"/>
        <v>0</v>
      </c>
      <c r="AI45" s="96"/>
      <c r="AJ45" s="97">
        <f t="shared" si="22"/>
        <v>0</v>
      </c>
      <c r="AK45" s="97">
        <f t="shared" si="23"/>
        <v>0</v>
      </c>
      <c r="AL45" s="97">
        <f t="shared" si="24"/>
        <v>0</v>
      </c>
      <c r="AM45" s="96"/>
      <c r="AN45" s="97">
        <f t="shared" si="25"/>
        <v>0</v>
      </c>
      <c r="AO45" s="97">
        <f t="shared" si="26"/>
        <v>0</v>
      </c>
      <c r="AP45" s="97">
        <f t="shared" si="27"/>
        <v>0</v>
      </c>
      <c r="AQ45" s="96"/>
      <c r="AR45" s="97">
        <f t="shared" si="28"/>
        <v>0</v>
      </c>
      <c r="AS45" s="97">
        <f t="shared" si="29"/>
        <v>0</v>
      </c>
      <c r="AT45" s="97">
        <f t="shared" si="30"/>
        <v>0</v>
      </c>
      <c r="AU45" s="96"/>
      <c r="AV45" s="97">
        <f t="shared" si="31"/>
        <v>0</v>
      </c>
      <c r="AW45" s="97">
        <f t="shared" si="32"/>
        <v>0</v>
      </c>
      <c r="AX45" s="97">
        <f t="shared" si="33"/>
        <v>0</v>
      </c>
      <c r="AY45" s="96"/>
      <c r="AZ45" s="65">
        <f t="shared" si="34"/>
        <v>0</v>
      </c>
      <c r="BA45" s="65">
        <f t="shared" si="35"/>
        <v>0</v>
      </c>
      <c r="BB45" s="65">
        <f t="shared" si="36"/>
        <v>0</v>
      </c>
      <c r="BC45" s="96"/>
      <c r="BD45" s="65">
        <f t="shared" si="37"/>
        <v>0</v>
      </c>
      <c r="BE45" s="65">
        <f t="shared" si="38"/>
        <v>0</v>
      </c>
      <c r="BF45" s="65">
        <f t="shared" si="39"/>
        <v>0</v>
      </c>
      <c r="BG45" s="96"/>
      <c r="BH45" s="65">
        <f t="shared" si="40"/>
        <v>0</v>
      </c>
      <c r="BI45" s="65">
        <f t="shared" si="41"/>
        <v>0</v>
      </c>
      <c r="BJ45" s="65">
        <f t="shared" si="42"/>
        <v>0</v>
      </c>
    </row>
    <row r="46" spans="1:62" x14ac:dyDescent="0.2">
      <c r="A46" s="71"/>
      <c r="B46" s="96" t="s">
        <v>52</v>
      </c>
      <c r="C46" s="96"/>
      <c r="D46" s="97">
        <f t="shared" si="0"/>
        <v>0</v>
      </c>
      <c r="E46" s="97">
        <f t="shared" si="43"/>
        <v>0</v>
      </c>
      <c r="F46" s="97">
        <f t="shared" si="44"/>
        <v>0</v>
      </c>
      <c r="G46" s="96"/>
      <c r="H46" s="97">
        <f t="shared" si="1"/>
        <v>0</v>
      </c>
      <c r="I46" s="97">
        <f t="shared" si="2"/>
        <v>0</v>
      </c>
      <c r="J46" s="97">
        <f t="shared" si="3"/>
        <v>0</v>
      </c>
      <c r="K46" s="96"/>
      <c r="L46" s="97">
        <f t="shared" si="4"/>
        <v>0</v>
      </c>
      <c r="M46" s="97">
        <f t="shared" si="5"/>
        <v>0</v>
      </c>
      <c r="N46" s="97">
        <f t="shared" si="6"/>
        <v>0</v>
      </c>
      <c r="O46" s="96"/>
      <c r="P46" s="97">
        <f t="shared" si="7"/>
        <v>0</v>
      </c>
      <c r="Q46" s="97">
        <f t="shared" si="8"/>
        <v>0</v>
      </c>
      <c r="R46" s="97">
        <f t="shared" si="9"/>
        <v>0</v>
      </c>
      <c r="S46" s="96"/>
      <c r="T46" s="97">
        <f t="shared" si="10"/>
        <v>0</v>
      </c>
      <c r="U46" s="97">
        <f t="shared" si="11"/>
        <v>0</v>
      </c>
      <c r="V46" s="97">
        <f t="shared" si="12"/>
        <v>0</v>
      </c>
      <c r="W46" s="96"/>
      <c r="X46" s="97">
        <f t="shared" si="13"/>
        <v>0</v>
      </c>
      <c r="Y46" s="97">
        <f t="shared" si="14"/>
        <v>0</v>
      </c>
      <c r="Z46" s="97">
        <f t="shared" si="15"/>
        <v>0</v>
      </c>
      <c r="AA46" s="96"/>
      <c r="AB46" s="97">
        <f t="shared" si="16"/>
        <v>0</v>
      </c>
      <c r="AC46" s="97">
        <f t="shared" si="17"/>
        <v>0</v>
      </c>
      <c r="AD46" s="97">
        <f t="shared" si="18"/>
        <v>0</v>
      </c>
      <c r="AE46" s="96"/>
      <c r="AF46" s="97">
        <f t="shared" si="19"/>
        <v>0</v>
      </c>
      <c r="AG46" s="97">
        <f t="shared" si="20"/>
        <v>0</v>
      </c>
      <c r="AH46" s="97">
        <f t="shared" si="21"/>
        <v>0</v>
      </c>
      <c r="AI46" s="96"/>
      <c r="AJ46" s="97">
        <f t="shared" si="22"/>
        <v>0</v>
      </c>
      <c r="AK46" s="97">
        <f t="shared" si="23"/>
        <v>0</v>
      </c>
      <c r="AL46" s="97">
        <f t="shared" si="24"/>
        <v>0</v>
      </c>
      <c r="AM46" s="96"/>
      <c r="AN46" s="97">
        <f t="shared" si="25"/>
        <v>0</v>
      </c>
      <c r="AO46" s="97">
        <f t="shared" si="26"/>
        <v>0</v>
      </c>
      <c r="AP46" s="97">
        <f t="shared" si="27"/>
        <v>0</v>
      </c>
      <c r="AQ46" s="96"/>
      <c r="AR46" s="97">
        <f t="shared" si="28"/>
        <v>0</v>
      </c>
      <c r="AS46" s="97">
        <f t="shared" si="29"/>
        <v>0</v>
      </c>
      <c r="AT46" s="97">
        <f t="shared" si="30"/>
        <v>0</v>
      </c>
      <c r="AU46" s="96"/>
      <c r="AV46" s="97">
        <f t="shared" si="31"/>
        <v>0</v>
      </c>
      <c r="AW46" s="97">
        <f t="shared" si="32"/>
        <v>0</v>
      </c>
      <c r="AX46" s="97">
        <f t="shared" si="33"/>
        <v>0</v>
      </c>
      <c r="AY46" s="96"/>
      <c r="AZ46" s="65">
        <f t="shared" si="34"/>
        <v>0</v>
      </c>
      <c r="BA46" s="65">
        <f t="shared" si="35"/>
        <v>0</v>
      </c>
      <c r="BB46" s="65">
        <f t="shared" si="36"/>
        <v>0</v>
      </c>
      <c r="BC46" s="96"/>
      <c r="BD46" s="65">
        <f t="shared" si="37"/>
        <v>0</v>
      </c>
      <c r="BE46" s="65">
        <f t="shared" si="38"/>
        <v>0</v>
      </c>
      <c r="BF46" s="65">
        <f t="shared" si="39"/>
        <v>0</v>
      </c>
      <c r="BG46" s="96"/>
      <c r="BH46" s="65">
        <f t="shared" si="40"/>
        <v>0</v>
      </c>
      <c r="BI46" s="65">
        <f t="shared" si="41"/>
        <v>0</v>
      </c>
      <c r="BJ46" s="65">
        <f t="shared" si="42"/>
        <v>0</v>
      </c>
    </row>
    <row r="47" spans="1:62" x14ac:dyDescent="0.2">
      <c r="A47" s="71"/>
      <c r="B47" s="96" t="s">
        <v>52</v>
      </c>
      <c r="C47" s="96"/>
      <c r="D47" s="97">
        <f t="shared" si="0"/>
        <v>0</v>
      </c>
      <c r="E47" s="97">
        <f t="shared" si="43"/>
        <v>0</v>
      </c>
      <c r="F47" s="97">
        <f t="shared" si="44"/>
        <v>0</v>
      </c>
      <c r="G47" s="96"/>
      <c r="H47" s="97">
        <f t="shared" si="1"/>
        <v>0</v>
      </c>
      <c r="I47" s="97">
        <f t="shared" si="2"/>
        <v>0</v>
      </c>
      <c r="J47" s="97">
        <f t="shared" si="3"/>
        <v>0</v>
      </c>
      <c r="K47" s="96"/>
      <c r="L47" s="97">
        <f t="shared" si="4"/>
        <v>0</v>
      </c>
      <c r="M47" s="97">
        <f t="shared" si="5"/>
        <v>0</v>
      </c>
      <c r="N47" s="97">
        <f t="shared" si="6"/>
        <v>0</v>
      </c>
      <c r="O47" s="96"/>
      <c r="P47" s="97">
        <f t="shared" si="7"/>
        <v>0</v>
      </c>
      <c r="Q47" s="97">
        <f t="shared" si="8"/>
        <v>0</v>
      </c>
      <c r="R47" s="97">
        <f t="shared" si="9"/>
        <v>0</v>
      </c>
      <c r="S47" s="96"/>
      <c r="T47" s="97">
        <f t="shared" si="10"/>
        <v>0</v>
      </c>
      <c r="U47" s="97">
        <f t="shared" si="11"/>
        <v>0</v>
      </c>
      <c r="V47" s="97">
        <f t="shared" si="12"/>
        <v>0</v>
      </c>
      <c r="W47" s="96"/>
      <c r="X47" s="97">
        <f t="shared" si="13"/>
        <v>0</v>
      </c>
      <c r="Y47" s="97">
        <f t="shared" si="14"/>
        <v>0</v>
      </c>
      <c r="Z47" s="97">
        <f t="shared" si="15"/>
        <v>0</v>
      </c>
      <c r="AA47" s="96"/>
      <c r="AB47" s="97">
        <f t="shared" si="16"/>
        <v>0</v>
      </c>
      <c r="AC47" s="97">
        <f t="shared" si="17"/>
        <v>0</v>
      </c>
      <c r="AD47" s="97">
        <f t="shared" si="18"/>
        <v>0</v>
      </c>
      <c r="AE47" s="96"/>
      <c r="AF47" s="97">
        <f t="shared" si="19"/>
        <v>0</v>
      </c>
      <c r="AG47" s="97">
        <f t="shared" si="20"/>
        <v>0</v>
      </c>
      <c r="AH47" s="97">
        <f t="shared" si="21"/>
        <v>0</v>
      </c>
      <c r="AI47" s="96"/>
      <c r="AJ47" s="97">
        <f t="shared" si="22"/>
        <v>0</v>
      </c>
      <c r="AK47" s="97">
        <f t="shared" si="23"/>
        <v>0</v>
      </c>
      <c r="AL47" s="97">
        <f t="shared" si="24"/>
        <v>0</v>
      </c>
      <c r="AM47" s="96"/>
      <c r="AN47" s="97">
        <f t="shared" si="25"/>
        <v>0</v>
      </c>
      <c r="AO47" s="97">
        <f t="shared" si="26"/>
        <v>0</v>
      </c>
      <c r="AP47" s="97">
        <f t="shared" si="27"/>
        <v>0</v>
      </c>
      <c r="AQ47" s="96"/>
      <c r="AR47" s="97">
        <f t="shared" si="28"/>
        <v>0</v>
      </c>
      <c r="AS47" s="97">
        <f t="shared" si="29"/>
        <v>0</v>
      </c>
      <c r="AT47" s="97">
        <f t="shared" si="30"/>
        <v>0</v>
      </c>
      <c r="AU47" s="96"/>
      <c r="AV47" s="97">
        <f t="shared" si="31"/>
        <v>0</v>
      </c>
      <c r="AW47" s="97">
        <f t="shared" si="32"/>
        <v>0</v>
      </c>
      <c r="AX47" s="97">
        <f t="shared" si="33"/>
        <v>0</v>
      </c>
      <c r="AY47" s="96"/>
      <c r="AZ47" s="65">
        <f t="shared" si="34"/>
        <v>0</v>
      </c>
      <c r="BA47" s="65">
        <f t="shared" si="35"/>
        <v>0</v>
      </c>
      <c r="BB47" s="65">
        <f t="shared" si="36"/>
        <v>0</v>
      </c>
      <c r="BC47" s="96"/>
      <c r="BD47" s="65">
        <f t="shared" si="37"/>
        <v>0</v>
      </c>
      <c r="BE47" s="65">
        <f t="shared" si="38"/>
        <v>0</v>
      </c>
      <c r="BF47" s="65">
        <f t="shared" si="39"/>
        <v>0</v>
      </c>
      <c r="BG47" s="96"/>
      <c r="BH47" s="65">
        <f t="shared" si="40"/>
        <v>0</v>
      </c>
      <c r="BI47" s="65">
        <f t="shared" si="41"/>
        <v>0</v>
      </c>
      <c r="BJ47" s="65">
        <f t="shared" si="42"/>
        <v>0</v>
      </c>
    </row>
    <row r="48" spans="1:62" x14ac:dyDescent="0.2">
      <c r="A48" s="71"/>
      <c r="B48" s="96" t="s">
        <v>52</v>
      </c>
      <c r="C48" s="96"/>
      <c r="D48" s="97">
        <f t="shared" si="0"/>
        <v>0</v>
      </c>
      <c r="E48" s="97">
        <f t="shared" si="43"/>
        <v>0</v>
      </c>
      <c r="F48" s="97">
        <f t="shared" si="44"/>
        <v>0</v>
      </c>
      <c r="G48" s="96"/>
      <c r="H48" s="97">
        <f t="shared" si="1"/>
        <v>0</v>
      </c>
      <c r="I48" s="97">
        <f t="shared" si="2"/>
        <v>0</v>
      </c>
      <c r="J48" s="97">
        <f t="shared" si="3"/>
        <v>0</v>
      </c>
      <c r="K48" s="96"/>
      <c r="L48" s="97">
        <f t="shared" si="4"/>
        <v>0</v>
      </c>
      <c r="M48" s="97">
        <f t="shared" si="5"/>
        <v>0</v>
      </c>
      <c r="N48" s="97">
        <f t="shared" si="6"/>
        <v>0</v>
      </c>
      <c r="O48" s="96"/>
      <c r="P48" s="97">
        <f t="shared" si="7"/>
        <v>0</v>
      </c>
      <c r="Q48" s="97">
        <f t="shared" si="8"/>
        <v>0</v>
      </c>
      <c r="R48" s="97">
        <f t="shared" si="9"/>
        <v>0</v>
      </c>
      <c r="S48" s="96"/>
      <c r="T48" s="97">
        <f t="shared" si="10"/>
        <v>0</v>
      </c>
      <c r="U48" s="97">
        <f t="shared" si="11"/>
        <v>0</v>
      </c>
      <c r="V48" s="97">
        <f t="shared" si="12"/>
        <v>0</v>
      </c>
      <c r="W48" s="96"/>
      <c r="X48" s="97">
        <f t="shared" si="13"/>
        <v>0</v>
      </c>
      <c r="Y48" s="97">
        <f t="shared" si="14"/>
        <v>0</v>
      </c>
      <c r="Z48" s="97">
        <f t="shared" si="15"/>
        <v>0</v>
      </c>
      <c r="AA48" s="96"/>
      <c r="AB48" s="97">
        <f t="shared" si="16"/>
        <v>0</v>
      </c>
      <c r="AC48" s="97">
        <f t="shared" si="17"/>
        <v>0</v>
      </c>
      <c r="AD48" s="97">
        <f t="shared" si="18"/>
        <v>0</v>
      </c>
      <c r="AE48" s="96"/>
      <c r="AF48" s="97">
        <f t="shared" si="19"/>
        <v>0</v>
      </c>
      <c r="AG48" s="97">
        <f t="shared" si="20"/>
        <v>0</v>
      </c>
      <c r="AH48" s="97">
        <f t="shared" si="21"/>
        <v>0</v>
      </c>
      <c r="AI48" s="96"/>
      <c r="AJ48" s="97">
        <f t="shared" si="22"/>
        <v>0</v>
      </c>
      <c r="AK48" s="97">
        <f t="shared" si="23"/>
        <v>0</v>
      </c>
      <c r="AL48" s="97">
        <f t="shared" si="24"/>
        <v>0</v>
      </c>
      <c r="AM48" s="96"/>
      <c r="AN48" s="97">
        <f t="shared" si="25"/>
        <v>0</v>
      </c>
      <c r="AO48" s="97">
        <f t="shared" si="26"/>
        <v>0</v>
      </c>
      <c r="AP48" s="97">
        <f t="shared" si="27"/>
        <v>0</v>
      </c>
      <c r="AQ48" s="96"/>
      <c r="AR48" s="97">
        <f t="shared" si="28"/>
        <v>0</v>
      </c>
      <c r="AS48" s="97">
        <f t="shared" si="29"/>
        <v>0</v>
      </c>
      <c r="AT48" s="97">
        <f t="shared" si="30"/>
        <v>0</v>
      </c>
      <c r="AU48" s="96"/>
      <c r="AV48" s="97">
        <f t="shared" si="31"/>
        <v>0</v>
      </c>
      <c r="AW48" s="97">
        <f t="shared" si="32"/>
        <v>0</v>
      </c>
      <c r="AX48" s="97">
        <f t="shared" si="33"/>
        <v>0</v>
      </c>
      <c r="AY48" s="96"/>
      <c r="AZ48" s="65">
        <f t="shared" si="34"/>
        <v>0</v>
      </c>
      <c r="BA48" s="65">
        <f t="shared" si="35"/>
        <v>0</v>
      </c>
      <c r="BB48" s="65">
        <f t="shared" si="36"/>
        <v>0</v>
      </c>
      <c r="BC48" s="96"/>
      <c r="BD48" s="65">
        <f t="shared" si="37"/>
        <v>0</v>
      </c>
      <c r="BE48" s="65">
        <f t="shared" si="38"/>
        <v>0</v>
      </c>
      <c r="BF48" s="65">
        <f t="shared" si="39"/>
        <v>0</v>
      </c>
      <c r="BG48" s="96"/>
      <c r="BH48" s="65">
        <f t="shared" si="40"/>
        <v>0</v>
      </c>
      <c r="BI48" s="65">
        <f t="shared" si="41"/>
        <v>0</v>
      </c>
      <c r="BJ48" s="65">
        <f t="shared" si="42"/>
        <v>0</v>
      </c>
    </row>
    <row r="49" spans="1:62" x14ac:dyDescent="0.2">
      <c r="A49" s="71"/>
      <c r="B49" s="96" t="s">
        <v>52</v>
      </c>
      <c r="C49" s="96"/>
      <c r="D49" s="97">
        <f t="shared" si="0"/>
        <v>0</v>
      </c>
      <c r="E49" s="97">
        <f t="shared" si="43"/>
        <v>0</v>
      </c>
      <c r="F49" s="97">
        <f t="shared" si="44"/>
        <v>0</v>
      </c>
      <c r="G49" s="96"/>
      <c r="H49" s="97">
        <f t="shared" si="1"/>
        <v>0</v>
      </c>
      <c r="I49" s="97">
        <f t="shared" si="2"/>
        <v>0</v>
      </c>
      <c r="J49" s="97">
        <f t="shared" si="3"/>
        <v>0</v>
      </c>
      <c r="K49" s="96"/>
      <c r="L49" s="97">
        <f t="shared" si="4"/>
        <v>0</v>
      </c>
      <c r="M49" s="97">
        <f t="shared" si="5"/>
        <v>0</v>
      </c>
      <c r="N49" s="97">
        <f t="shared" si="6"/>
        <v>0</v>
      </c>
      <c r="O49" s="96"/>
      <c r="P49" s="97">
        <f t="shared" si="7"/>
        <v>0</v>
      </c>
      <c r="Q49" s="97">
        <f t="shared" si="8"/>
        <v>0</v>
      </c>
      <c r="R49" s="97">
        <f t="shared" si="9"/>
        <v>0</v>
      </c>
      <c r="S49" s="96"/>
      <c r="T49" s="97">
        <f t="shared" si="10"/>
        <v>0</v>
      </c>
      <c r="U49" s="97">
        <f t="shared" si="11"/>
        <v>0</v>
      </c>
      <c r="V49" s="97">
        <f t="shared" si="12"/>
        <v>0</v>
      </c>
      <c r="W49" s="96"/>
      <c r="X49" s="97">
        <f t="shared" si="13"/>
        <v>0</v>
      </c>
      <c r="Y49" s="97">
        <f t="shared" si="14"/>
        <v>0</v>
      </c>
      <c r="Z49" s="97">
        <f t="shared" si="15"/>
        <v>0</v>
      </c>
      <c r="AA49" s="96"/>
      <c r="AB49" s="97">
        <f t="shared" si="16"/>
        <v>0</v>
      </c>
      <c r="AC49" s="97">
        <f t="shared" si="17"/>
        <v>0</v>
      </c>
      <c r="AD49" s="97">
        <f t="shared" si="18"/>
        <v>0</v>
      </c>
      <c r="AE49" s="96"/>
      <c r="AF49" s="97">
        <f t="shared" si="19"/>
        <v>0</v>
      </c>
      <c r="AG49" s="97">
        <f t="shared" si="20"/>
        <v>0</v>
      </c>
      <c r="AH49" s="97">
        <f t="shared" si="21"/>
        <v>0</v>
      </c>
      <c r="AI49" s="96"/>
      <c r="AJ49" s="97">
        <f t="shared" si="22"/>
        <v>0</v>
      </c>
      <c r="AK49" s="97">
        <f t="shared" si="23"/>
        <v>0</v>
      </c>
      <c r="AL49" s="97">
        <f t="shared" si="24"/>
        <v>0</v>
      </c>
      <c r="AM49" s="96"/>
      <c r="AN49" s="97">
        <f t="shared" si="25"/>
        <v>0</v>
      </c>
      <c r="AO49" s="97">
        <f t="shared" si="26"/>
        <v>0</v>
      </c>
      <c r="AP49" s="97">
        <f t="shared" si="27"/>
        <v>0</v>
      </c>
      <c r="AQ49" s="96"/>
      <c r="AR49" s="97">
        <f t="shared" si="28"/>
        <v>0</v>
      </c>
      <c r="AS49" s="97">
        <f t="shared" si="29"/>
        <v>0</v>
      </c>
      <c r="AT49" s="97">
        <f t="shared" si="30"/>
        <v>0</v>
      </c>
      <c r="AU49" s="96"/>
      <c r="AV49" s="97">
        <f t="shared" si="31"/>
        <v>0</v>
      </c>
      <c r="AW49" s="97">
        <f t="shared" si="32"/>
        <v>0</v>
      </c>
      <c r="AX49" s="97">
        <f t="shared" si="33"/>
        <v>0</v>
      </c>
      <c r="AY49" s="96"/>
      <c r="AZ49" s="65">
        <f t="shared" si="34"/>
        <v>0</v>
      </c>
      <c r="BA49" s="65">
        <f t="shared" si="35"/>
        <v>0</v>
      </c>
      <c r="BB49" s="65">
        <f t="shared" si="36"/>
        <v>0</v>
      </c>
      <c r="BC49" s="96"/>
      <c r="BD49" s="65">
        <f t="shared" si="37"/>
        <v>0</v>
      </c>
      <c r="BE49" s="65">
        <f t="shared" si="38"/>
        <v>0</v>
      </c>
      <c r="BF49" s="65">
        <f t="shared" si="39"/>
        <v>0</v>
      </c>
      <c r="BG49" s="96"/>
      <c r="BH49" s="65">
        <f t="shared" si="40"/>
        <v>0</v>
      </c>
      <c r="BI49" s="65">
        <f t="shared" si="41"/>
        <v>0</v>
      </c>
      <c r="BJ49" s="65">
        <f t="shared" si="42"/>
        <v>0</v>
      </c>
    </row>
    <row r="50" spans="1:62" x14ac:dyDescent="0.2">
      <c r="A50" s="71"/>
      <c r="B50" s="96" t="s">
        <v>52</v>
      </c>
      <c r="C50" s="96"/>
      <c r="D50" s="97">
        <f t="shared" si="0"/>
        <v>0</v>
      </c>
      <c r="E50" s="97">
        <f t="shared" si="43"/>
        <v>0</v>
      </c>
      <c r="F50" s="97">
        <f t="shared" si="44"/>
        <v>0</v>
      </c>
      <c r="G50" s="96"/>
      <c r="H50" s="97">
        <f t="shared" si="1"/>
        <v>0</v>
      </c>
      <c r="I50" s="97">
        <f t="shared" si="2"/>
        <v>0</v>
      </c>
      <c r="J50" s="97">
        <f t="shared" si="3"/>
        <v>0</v>
      </c>
      <c r="K50" s="96"/>
      <c r="L50" s="97">
        <f t="shared" si="4"/>
        <v>0</v>
      </c>
      <c r="M50" s="97">
        <f t="shared" si="5"/>
        <v>0</v>
      </c>
      <c r="N50" s="97">
        <f t="shared" si="6"/>
        <v>0</v>
      </c>
      <c r="O50" s="96"/>
      <c r="P50" s="97">
        <f t="shared" si="7"/>
        <v>0</v>
      </c>
      <c r="Q50" s="97">
        <f t="shared" si="8"/>
        <v>0</v>
      </c>
      <c r="R50" s="97">
        <f t="shared" si="9"/>
        <v>0</v>
      </c>
      <c r="S50" s="96"/>
      <c r="T50" s="97">
        <f t="shared" si="10"/>
        <v>0</v>
      </c>
      <c r="U50" s="97">
        <f t="shared" si="11"/>
        <v>0</v>
      </c>
      <c r="V50" s="97">
        <f t="shared" si="12"/>
        <v>0</v>
      </c>
      <c r="W50" s="96"/>
      <c r="X50" s="97">
        <f t="shared" si="13"/>
        <v>0</v>
      </c>
      <c r="Y50" s="97">
        <f t="shared" si="14"/>
        <v>0</v>
      </c>
      <c r="Z50" s="97">
        <f t="shared" si="15"/>
        <v>0</v>
      </c>
      <c r="AA50" s="96"/>
      <c r="AB50" s="97">
        <f t="shared" si="16"/>
        <v>0</v>
      </c>
      <c r="AC50" s="97">
        <f t="shared" si="17"/>
        <v>0</v>
      </c>
      <c r="AD50" s="97">
        <f t="shared" si="18"/>
        <v>0</v>
      </c>
      <c r="AE50" s="96"/>
      <c r="AF50" s="97">
        <f t="shared" si="19"/>
        <v>0</v>
      </c>
      <c r="AG50" s="97">
        <f t="shared" si="20"/>
        <v>0</v>
      </c>
      <c r="AH50" s="97">
        <f t="shared" si="21"/>
        <v>0</v>
      </c>
      <c r="AI50" s="96"/>
      <c r="AJ50" s="97">
        <f t="shared" si="22"/>
        <v>0</v>
      </c>
      <c r="AK50" s="97">
        <f t="shared" si="23"/>
        <v>0</v>
      </c>
      <c r="AL50" s="97">
        <f t="shared" si="24"/>
        <v>0</v>
      </c>
      <c r="AM50" s="96"/>
      <c r="AN50" s="97">
        <f t="shared" si="25"/>
        <v>0</v>
      </c>
      <c r="AO50" s="97">
        <f t="shared" si="26"/>
        <v>0</v>
      </c>
      <c r="AP50" s="97">
        <f t="shared" si="27"/>
        <v>0</v>
      </c>
      <c r="AQ50" s="96"/>
      <c r="AR50" s="97">
        <f t="shared" si="28"/>
        <v>0</v>
      </c>
      <c r="AS50" s="97">
        <f t="shared" si="29"/>
        <v>0</v>
      </c>
      <c r="AT50" s="97">
        <f t="shared" si="30"/>
        <v>0</v>
      </c>
      <c r="AU50" s="96"/>
      <c r="AV50" s="97">
        <f t="shared" si="31"/>
        <v>0</v>
      </c>
      <c r="AW50" s="97">
        <f t="shared" si="32"/>
        <v>0</v>
      </c>
      <c r="AX50" s="97">
        <f t="shared" si="33"/>
        <v>0</v>
      </c>
      <c r="AY50" s="96"/>
      <c r="AZ50" s="65">
        <f t="shared" si="34"/>
        <v>0</v>
      </c>
      <c r="BA50" s="65">
        <f t="shared" si="35"/>
        <v>0</v>
      </c>
      <c r="BB50" s="65">
        <f t="shared" si="36"/>
        <v>0</v>
      </c>
      <c r="BC50" s="96"/>
      <c r="BD50" s="65">
        <f t="shared" si="37"/>
        <v>0</v>
      </c>
      <c r="BE50" s="65">
        <f t="shared" si="38"/>
        <v>0</v>
      </c>
      <c r="BF50" s="65">
        <f t="shared" si="39"/>
        <v>0</v>
      </c>
      <c r="BG50" s="96"/>
      <c r="BH50" s="65">
        <f t="shared" si="40"/>
        <v>0</v>
      </c>
      <c r="BI50" s="65">
        <f t="shared" si="41"/>
        <v>0</v>
      </c>
      <c r="BJ50" s="65">
        <f t="shared" si="42"/>
        <v>0</v>
      </c>
    </row>
    <row r="51" spans="1:62" x14ac:dyDescent="0.2">
      <c r="A51" s="71"/>
      <c r="B51" s="96" t="s">
        <v>52</v>
      </c>
      <c r="C51" s="96"/>
      <c r="D51" s="97">
        <f t="shared" si="0"/>
        <v>0</v>
      </c>
      <c r="E51" s="97">
        <f t="shared" si="43"/>
        <v>0</v>
      </c>
      <c r="F51" s="97">
        <f t="shared" si="44"/>
        <v>0</v>
      </c>
      <c r="G51" s="96"/>
      <c r="H51" s="97">
        <f t="shared" si="1"/>
        <v>0</v>
      </c>
      <c r="I51" s="97">
        <f t="shared" si="2"/>
        <v>0</v>
      </c>
      <c r="J51" s="97">
        <f t="shared" si="3"/>
        <v>0</v>
      </c>
      <c r="K51" s="96"/>
      <c r="L51" s="97">
        <f t="shared" si="4"/>
        <v>0</v>
      </c>
      <c r="M51" s="97">
        <f t="shared" si="5"/>
        <v>0</v>
      </c>
      <c r="N51" s="97">
        <f t="shared" si="6"/>
        <v>0</v>
      </c>
      <c r="O51" s="96"/>
      <c r="P51" s="97">
        <f t="shared" si="7"/>
        <v>0</v>
      </c>
      <c r="Q51" s="97">
        <f t="shared" si="8"/>
        <v>0</v>
      </c>
      <c r="R51" s="97">
        <f t="shared" si="9"/>
        <v>0</v>
      </c>
      <c r="S51" s="96"/>
      <c r="T51" s="97">
        <f t="shared" si="10"/>
        <v>0</v>
      </c>
      <c r="U51" s="97">
        <f t="shared" si="11"/>
        <v>0</v>
      </c>
      <c r="V51" s="97">
        <f t="shared" si="12"/>
        <v>0</v>
      </c>
      <c r="W51" s="96"/>
      <c r="X51" s="97">
        <f t="shared" si="13"/>
        <v>0</v>
      </c>
      <c r="Y51" s="97">
        <f t="shared" si="14"/>
        <v>0</v>
      </c>
      <c r="Z51" s="97">
        <f t="shared" si="15"/>
        <v>0</v>
      </c>
      <c r="AA51" s="96"/>
      <c r="AB51" s="97">
        <f t="shared" si="16"/>
        <v>0</v>
      </c>
      <c r="AC51" s="97">
        <f t="shared" si="17"/>
        <v>0</v>
      </c>
      <c r="AD51" s="97">
        <f t="shared" si="18"/>
        <v>0</v>
      </c>
      <c r="AE51" s="96"/>
      <c r="AF51" s="97">
        <f t="shared" si="19"/>
        <v>0</v>
      </c>
      <c r="AG51" s="97">
        <f t="shared" si="20"/>
        <v>0</v>
      </c>
      <c r="AH51" s="97">
        <f t="shared" si="21"/>
        <v>0</v>
      </c>
      <c r="AI51" s="96"/>
      <c r="AJ51" s="97">
        <f t="shared" si="22"/>
        <v>0</v>
      </c>
      <c r="AK51" s="97">
        <f t="shared" si="23"/>
        <v>0</v>
      </c>
      <c r="AL51" s="97">
        <f t="shared" si="24"/>
        <v>0</v>
      </c>
      <c r="AM51" s="96"/>
      <c r="AN51" s="97">
        <f t="shared" si="25"/>
        <v>0</v>
      </c>
      <c r="AO51" s="97">
        <f t="shared" si="26"/>
        <v>0</v>
      </c>
      <c r="AP51" s="97">
        <f t="shared" si="27"/>
        <v>0</v>
      </c>
      <c r="AQ51" s="96"/>
      <c r="AR51" s="97">
        <f t="shared" si="28"/>
        <v>0</v>
      </c>
      <c r="AS51" s="97">
        <f t="shared" si="29"/>
        <v>0</v>
      </c>
      <c r="AT51" s="97">
        <f t="shared" si="30"/>
        <v>0</v>
      </c>
      <c r="AU51" s="96"/>
      <c r="AV51" s="97">
        <f t="shared" si="31"/>
        <v>0</v>
      </c>
      <c r="AW51" s="97">
        <f t="shared" si="32"/>
        <v>0</v>
      </c>
      <c r="AX51" s="97">
        <f t="shared" si="33"/>
        <v>0</v>
      </c>
      <c r="AY51" s="96"/>
      <c r="AZ51" s="65">
        <f t="shared" si="34"/>
        <v>0</v>
      </c>
      <c r="BA51" s="65">
        <f t="shared" si="35"/>
        <v>0</v>
      </c>
      <c r="BB51" s="65">
        <f t="shared" si="36"/>
        <v>0</v>
      </c>
      <c r="BC51" s="96"/>
      <c r="BD51" s="65">
        <f t="shared" si="37"/>
        <v>0</v>
      </c>
      <c r="BE51" s="65">
        <f t="shared" si="38"/>
        <v>0</v>
      </c>
      <c r="BF51" s="65">
        <f t="shared" si="39"/>
        <v>0</v>
      </c>
      <c r="BG51" s="96"/>
      <c r="BH51" s="65">
        <f t="shared" si="40"/>
        <v>0</v>
      </c>
      <c r="BI51" s="65">
        <f t="shared" si="41"/>
        <v>0</v>
      </c>
      <c r="BJ51" s="65">
        <f t="shared" si="42"/>
        <v>0</v>
      </c>
    </row>
    <row r="52" spans="1:62" x14ac:dyDescent="0.2">
      <c r="A52" s="71"/>
      <c r="B52" s="96" t="s">
        <v>52</v>
      </c>
      <c r="C52" s="96"/>
      <c r="D52" s="97">
        <f t="shared" si="0"/>
        <v>0</v>
      </c>
      <c r="E52" s="97">
        <f t="shared" si="43"/>
        <v>0</v>
      </c>
      <c r="F52" s="97">
        <f t="shared" si="44"/>
        <v>0</v>
      </c>
      <c r="G52" s="96"/>
      <c r="H52" s="97">
        <f t="shared" si="1"/>
        <v>0</v>
      </c>
      <c r="I52" s="97">
        <f t="shared" si="2"/>
        <v>0</v>
      </c>
      <c r="J52" s="97">
        <f t="shared" si="3"/>
        <v>0</v>
      </c>
      <c r="K52" s="96"/>
      <c r="L52" s="97">
        <f t="shared" si="4"/>
        <v>0</v>
      </c>
      <c r="M52" s="97">
        <f t="shared" si="5"/>
        <v>0</v>
      </c>
      <c r="N52" s="97">
        <f t="shared" si="6"/>
        <v>0</v>
      </c>
      <c r="O52" s="96"/>
      <c r="P52" s="97">
        <f t="shared" si="7"/>
        <v>0</v>
      </c>
      <c r="Q52" s="97">
        <f t="shared" si="8"/>
        <v>0</v>
      </c>
      <c r="R52" s="97">
        <f t="shared" si="9"/>
        <v>0</v>
      </c>
      <c r="S52" s="96"/>
      <c r="T52" s="97">
        <f t="shared" si="10"/>
        <v>0</v>
      </c>
      <c r="U52" s="97">
        <f t="shared" si="11"/>
        <v>0</v>
      </c>
      <c r="V52" s="97">
        <f t="shared" si="12"/>
        <v>0</v>
      </c>
      <c r="W52" s="96"/>
      <c r="X52" s="97">
        <f t="shared" si="13"/>
        <v>0</v>
      </c>
      <c r="Y52" s="97">
        <f t="shared" si="14"/>
        <v>0</v>
      </c>
      <c r="Z52" s="97">
        <f t="shared" si="15"/>
        <v>0</v>
      </c>
      <c r="AA52" s="96"/>
      <c r="AB52" s="97">
        <f t="shared" si="16"/>
        <v>0</v>
      </c>
      <c r="AC52" s="97">
        <f t="shared" si="17"/>
        <v>0</v>
      </c>
      <c r="AD52" s="97">
        <f t="shared" si="18"/>
        <v>0</v>
      </c>
      <c r="AE52" s="96"/>
      <c r="AF52" s="97">
        <f t="shared" si="19"/>
        <v>0</v>
      </c>
      <c r="AG52" s="97">
        <f t="shared" si="20"/>
        <v>0</v>
      </c>
      <c r="AH52" s="97">
        <f t="shared" si="21"/>
        <v>0</v>
      </c>
      <c r="AI52" s="96"/>
      <c r="AJ52" s="97">
        <f t="shared" si="22"/>
        <v>0</v>
      </c>
      <c r="AK52" s="97">
        <f t="shared" si="23"/>
        <v>0</v>
      </c>
      <c r="AL52" s="97">
        <f t="shared" si="24"/>
        <v>0</v>
      </c>
      <c r="AM52" s="96"/>
      <c r="AN52" s="97">
        <f t="shared" si="25"/>
        <v>0</v>
      </c>
      <c r="AO52" s="97">
        <f t="shared" si="26"/>
        <v>0</v>
      </c>
      <c r="AP52" s="97">
        <f t="shared" si="27"/>
        <v>0</v>
      </c>
      <c r="AQ52" s="96"/>
      <c r="AR52" s="97">
        <f t="shared" si="28"/>
        <v>0</v>
      </c>
      <c r="AS52" s="97">
        <f t="shared" si="29"/>
        <v>0</v>
      </c>
      <c r="AT52" s="97">
        <f t="shared" si="30"/>
        <v>0</v>
      </c>
      <c r="AU52" s="96"/>
      <c r="AV52" s="97">
        <f t="shared" si="31"/>
        <v>0</v>
      </c>
      <c r="AW52" s="97">
        <f t="shared" si="32"/>
        <v>0</v>
      </c>
      <c r="AX52" s="97">
        <f t="shared" si="33"/>
        <v>0</v>
      </c>
      <c r="AY52" s="96"/>
      <c r="AZ52" s="65">
        <f t="shared" si="34"/>
        <v>0</v>
      </c>
      <c r="BA52" s="65">
        <f t="shared" si="35"/>
        <v>0</v>
      </c>
      <c r="BB52" s="65">
        <f t="shared" si="36"/>
        <v>0</v>
      </c>
      <c r="BC52" s="96"/>
      <c r="BD52" s="65">
        <f t="shared" si="37"/>
        <v>0</v>
      </c>
      <c r="BE52" s="65">
        <f t="shared" si="38"/>
        <v>0</v>
      </c>
      <c r="BF52" s="65">
        <f t="shared" si="39"/>
        <v>0</v>
      </c>
      <c r="BG52" s="96"/>
      <c r="BH52" s="65">
        <f t="shared" si="40"/>
        <v>0</v>
      </c>
      <c r="BI52" s="65">
        <f t="shared" si="41"/>
        <v>0</v>
      </c>
      <c r="BJ52" s="65">
        <f t="shared" si="42"/>
        <v>0</v>
      </c>
    </row>
    <row r="53" spans="1:62" x14ac:dyDescent="0.2">
      <c r="A53" s="71"/>
      <c r="B53" s="96" t="s">
        <v>52</v>
      </c>
      <c r="C53" s="96"/>
      <c r="D53" s="97">
        <f t="shared" si="0"/>
        <v>0</v>
      </c>
      <c r="E53" s="97">
        <f t="shared" si="43"/>
        <v>0</v>
      </c>
      <c r="F53" s="97">
        <f t="shared" si="44"/>
        <v>0</v>
      </c>
      <c r="G53" s="96"/>
      <c r="H53" s="97">
        <f t="shared" si="1"/>
        <v>0</v>
      </c>
      <c r="I53" s="97">
        <f t="shared" si="2"/>
        <v>0</v>
      </c>
      <c r="J53" s="97">
        <f t="shared" si="3"/>
        <v>0</v>
      </c>
      <c r="K53" s="96"/>
      <c r="L53" s="97">
        <f t="shared" si="4"/>
        <v>0</v>
      </c>
      <c r="M53" s="97">
        <f t="shared" si="5"/>
        <v>0</v>
      </c>
      <c r="N53" s="97">
        <f t="shared" si="6"/>
        <v>0</v>
      </c>
      <c r="O53" s="96"/>
      <c r="P53" s="97">
        <f t="shared" si="7"/>
        <v>0</v>
      </c>
      <c r="Q53" s="97">
        <f t="shared" si="8"/>
        <v>0</v>
      </c>
      <c r="R53" s="97">
        <f t="shared" si="9"/>
        <v>0</v>
      </c>
      <c r="S53" s="96"/>
      <c r="T53" s="97">
        <f t="shared" si="10"/>
        <v>0</v>
      </c>
      <c r="U53" s="97">
        <f t="shared" si="11"/>
        <v>0</v>
      </c>
      <c r="V53" s="97">
        <f t="shared" si="12"/>
        <v>0</v>
      </c>
      <c r="W53" s="96"/>
      <c r="X53" s="97">
        <f t="shared" si="13"/>
        <v>0</v>
      </c>
      <c r="Y53" s="97">
        <f t="shared" si="14"/>
        <v>0</v>
      </c>
      <c r="Z53" s="97">
        <f t="shared" si="15"/>
        <v>0</v>
      </c>
      <c r="AA53" s="96"/>
      <c r="AB53" s="97">
        <f t="shared" si="16"/>
        <v>0</v>
      </c>
      <c r="AC53" s="97">
        <f t="shared" si="17"/>
        <v>0</v>
      </c>
      <c r="AD53" s="97">
        <f t="shared" si="18"/>
        <v>0</v>
      </c>
      <c r="AE53" s="96"/>
      <c r="AF53" s="97">
        <f t="shared" si="19"/>
        <v>0</v>
      </c>
      <c r="AG53" s="97">
        <f t="shared" si="20"/>
        <v>0</v>
      </c>
      <c r="AH53" s="97">
        <f t="shared" si="21"/>
        <v>0</v>
      </c>
      <c r="AI53" s="96"/>
      <c r="AJ53" s="97">
        <f t="shared" si="22"/>
        <v>0</v>
      </c>
      <c r="AK53" s="97">
        <f t="shared" si="23"/>
        <v>0</v>
      </c>
      <c r="AL53" s="97">
        <f t="shared" si="24"/>
        <v>0</v>
      </c>
      <c r="AM53" s="96"/>
      <c r="AN53" s="97">
        <f t="shared" si="25"/>
        <v>0</v>
      </c>
      <c r="AO53" s="97">
        <f t="shared" si="26"/>
        <v>0</v>
      </c>
      <c r="AP53" s="97">
        <f t="shared" si="27"/>
        <v>0</v>
      </c>
      <c r="AQ53" s="96"/>
      <c r="AR53" s="97">
        <f t="shared" si="28"/>
        <v>0</v>
      </c>
      <c r="AS53" s="97">
        <f t="shared" si="29"/>
        <v>0</v>
      </c>
      <c r="AT53" s="97">
        <f t="shared" si="30"/>
        <v>0</v>
      </c>
      <c r="AU53" s="96"/>
      <c r="AV53" s="97">
        <f t="shared" si="31"/>
        <v>0</v>
      </c>
      <c r="AW53" s="97">
        <f t="shared" si="32"/>
        <v>0</v>
      </c>
      <c r="AX53" s="97">
        <f t="shared" si="33"/>
        <v>0</v>
      </c>
      <c r="AY53" s="96"/>
      <c r="AZ53" s="65">
        <f t="shared" si="34"/>
        <v>0</v>
      </c>
      <c r="BA53" s="65">
        <f t="shared" si="35"/>
        <v>0</v>
      </c>
      <c r="BB53" s="65">
        <f t="shared" si="36"/>
        <v>0</v>
      </c>
      <c r="BC53" s="96"/>
      <c r="BD53" s="65">
        <f t="shared" si="37"/>
        <v>0</v>
      </c>
      <c r="BE53" s="65">
        <f t="shared" si="38"/>
        <v>0</v>
      </c>
      <c r="BF53" s="65">
        <f t="shared" si="39"/>
        <v>0</v>
      </c>
      <c r="BG53" s="96"/>
      <c r="BH53" s="65">
        <f t="shared" si="40"/>
        <v>0</v>
      </c>
      <c r="BI53" s="65">
        <f t="shared" si="41"/>
        <v>0</v>
      </c>
      <c r="BJ53" s="65">
        <f t="shared" si="42"/>
        <v>0</v>
      </c>
    </row>
    <row r="54" spans="1:62" x14ac:dyDescent="0.2">
      <c r="A54" s="71"/>
      <c r="B54" s="96" t="s">
        <v>52</v>
      </c>
      <c r="C54" s="96"/>
      <c r="D54" s="97">
        <f t="shared" si="0"/>
        <v>0</v>
      </c>
      <c r="E54" s="97">
        <f t="shared" si="43"/>
        <v>0</v>
      </c>
      <c r="F54" s="97">
        <f t="shared" si="44"/>
        <v>0</v>
      </c>
      <c r="G54" s="96"/>
      <c r="H54" s="97">
        <f t="shared" si="1"/>
        <v>0</v>
      </c>
      <c r="I54" s="97">
        <f t="shared" si="2"/>
        <v>0</v>
      </c>
      <c r="J54" s="97">
        <f t="shared" si="3"/>
        <v>0</v>
      </c>
      <c r="K54" s="96"/>
      <c r="L54" s="97">
        <f t="shared" si="4"/>
        <v>0</v>
      </c>
      <c r="M54" s="97">
        <f t="shared" si="5"/>
        <v>0</v>
      </c>
      <c r="N54" s="97">
        <f t="shared" si="6"/>
        <v>0</v>
      </c>
      <c r="O54" s="96"/>
      <c r="P54" s="97">
        <f t="shared" si="7"/>
        <v>0</v>
      </c>
      <c r="Q54" s="97">
        <f t="shared" si="8"/>
        <v>0</v>
      </c>
      <c r="R54" s="97">
        <f t="shared" si="9"/>
        <v>0</v>
      </c>
      <c r="S54" s="96"/>
      <c r="T54" s="97">
        <f t="shared" si="10"/>
        <v>0</v>
      </c>
      <c r="U54" s="97">
        <f t="shared" si="11"/>
        <v>0</v>
      </c>
      <c r="V54" s="97">
        <f t="shared" si="12"/>
        <v>0</v>
      </c>
      <c r="W54" s="96"/>
      <c r="X54" s="97">
        <f t="shared" si="13"/>
        <v>0</v>
      </c>
      <c r="Y54" s="97">
        <f t="shared" si="14"/>
        <v>0</v>
      </c>
      <c r="Z54" s="97">
        <f t="shared" si="15"/>
        <v>0</v>
      </c>
      <c r="AA54" s="96"/>
      <c r="AB54" s="97">
        <f t="shared" si="16"/>
        <v>0</v>
      </c>
      <c r="AC54" s="97">
        <f t="shared" si="17"/>
        <v>0</v>
      </c>
      <c r="AD54" s="97">
        <f t="shared" si="18"/>
        <v>0</v>
      </c>
      <c r="AE54" s="96"/>
      <c r="AF54" s="97">
        <f t="shared" si="19"/>
        <v>0</v>
      </c>
      <c r="AG54" s="97">
        <f t="shared" si="20"/>
        <v>0</v>
      </c>
      <c r="AH54" s="97">
        <f t="shared" si="21"/>
        <v>0</v>
      </c>
      <c r="AI54" s="96"/>
      <c r="AJ54" s="97">
        <f t="shared" si="22"/>
        <v>0</v>
      </c>
      <c r="AK54" s="97">
        <f t="shared" si="23"/>
        <v>0</v>
      </c>
      <c r="AL54" s="97">
        <f t="shared" si="24"/>
        <v>0</v>
      </c>
      <c r="AM54" s="96"/>
      <c r="AN54" s="97">
        <f t="shared" si="25"/>
        <v>0</v>
      </c>
      <c r="AO54" s="97">
        <f t="shared" si="26"/>
        <v>0</v>
      </c>
      <c r="AP54" s="97">
        <f t="shared" si="27"/>
        <v>0</v>
      </c>
      <c r="AQ54" s="96"/>
      <c r="AR54" s="97">
        <f t="shared" si="28"/>
        <v>0</v>
      </c>
      <c r="AS54" s="97">
        <f t="shared" si="29"/>
        <v>0</v>
      </c>
      <c r="AT54" s="97">
        <f t="shared" si="30"/>
        <v>0</v>
      </c>
      <c r="AU54" s="96"/>
      <c r="AV54" s="97">
        <f t="shared" si="31"/>
        <v>0</v>
      </c>
      <c r="AW54" s="97">
        <f t="shared" si="32"/>
        <v>0</v>
      </c>
      <c r="AX54" s="97">
        <f t="shared" si="33"/>
        <v>0</v>
      </c>
      <c r="AY54" s="96"/>
      <c r="AZ54" s="65">
        <f t="shared" si="34"/>
        <v>0</v>
      </c>
      <c r="BA54" s="65">
        <f t="shared" si="35"/>
        <v>0</v>
      </c>
      <c r="BB54" s="65">
        <f t="shared" si="36"/>
        <v>0</v>
      </c>
      <c r="BC54" s="96"/>
      <c r="BD54" s="65">
        <f t="shared" si="37"/>
        <v>0</v>
      </c>
      <c r="BE54" s="65">
        <f t="shared" si="38"/>
        <v>0</v>
      </c>
      <c r="BF54" s="65">
        <f t="shared" si="39"/>
        <v>0</v>
      </c>
      <c r="BG54" s="96"/>
      <c r="BH54" s="65">
        <f t="shared" si="40"/>
        <v>0</v>
      </c>
      <c r="BI54" s="65">
        <f t="shared" si="41"/>
        <v>0</v>
      </c>
      <c r="BJ54" s="65">
        <f t="shared" si="42"/>
        <v>0</v>
      </c>
    </row>
    <row r="55" spans="1:62" x14ac:dyDescent="0.2">
      <c r="A55" s="71"/>
      <c r="B55" s="96" t="s">
        <v>52</v>
      </c>
      <c r="C55" s="96"/>
      <c r="D55" s="97">
        <f t="shared" si="0"/>
        <v>0</v>
      </c>
      <c r="E55" s="97">
        <f t="shared" si="43"/>
        <v>0</v>
      </c>
      <c r="F55" s="97">
        <f t="shared" si="44"/>
        <v>0</v>
      </c>
      <c r="G55" s="96"/>
      <c r="H55" s="97">
        <f t="shared" si="1"/>
        <v>0</v>
      </c>
      <c r="I55" s="97">
        <f t="shared" si="2"/>
        <v>0</v>
      </c>
      <c r="J55" s="97">
        <f t="shared" si="3"/>
        <v>0</v>
      </c>
      <c r="K55" s="96"/>
      <c r="L55" s="97">
        <f t="shared" si="4"/>
        <v>0</v>
      </c>
      <c r="M55" s="97">
        <f t="shared" si="5"/>
        <v>0</v>
      </c>
      <c r="N55" s="97">
        <f t="shared" si="6"/>
        <v>0</v>
      </c>
      <c r="O55" s="96"/>
      <c r="P55" s="97">
        <f t="shared" si="7"/>
        <v>0</v>
      </c>
      <c r="Q55" s="97">
        <f t="shared" si="8"/>
        <v>0</v>
      </c>
      <c r="R55" s="97">
        <f t="shared" si="9"/>
        <v>0</v>
      </c>
      <c r="S55" s="96"/>
      <c r="T55" s="97">
        <f t="shared" si="10"/>
        <v>0</v>
      </c>
      <c r="U55" s="97">
        <f t="shared" si="11"/>
        <v>0</v>
      </c>
      <c r="V55" s="97">
        <f t="shared" si="12"/>
        <v>0</v>
      </c>
      <c r="W55" s="96"/>
      <c r="X55" s="97">
        <f t="shared" si="13"/>
        <v>0</v>
      </c>
      <c r="Y55" s="97">
        <f t="shared" si="14"/>
        <v>0</v>
      </c>
      <c r="Z55" s="97">
        <f t="shared" si="15"/>
        <v>0</v>
      </c>
      <c r="AA55" s="96"/>
      <c r="AB55" s="97">
        <f t="shared" si="16"/>
        <v>0</v>
      </c>
      <c r="AC55" s="97">
        <f t="shared" si="17"/>
        <v>0</v>
      </c>
      <c r="AD55" s="97">
        <f t="shared" si="18"/>
        <v>0</v>
      </c>
      <c r="AE55" s="96"/>
      <c r="AF55" s="97">
        <f t="shared" si="19"/>
        <v>0</v>
      </c>
      <c r="AG55" s="97">
        <f t="shared" si="20"/>
        <v>0</v>
      </c>
      <c r="AH55" s="97">
        <f t="shared" si="21"/>
        <v>0</v>
      </c>
      <c r="AI55" s="96"/>
      <c r="AJ55" s="97">
        <f t="shared" si="22"/>
        <v>0</v>
      </c>
      <c r="AK55" s="97">
        <f t="shared" si="23"/>
        <v>0</v>
      </c>
      <c r="AL55" s="97">
        <f t="shared" si="24"/>
        <v>0</v>
      </c>
      <c r="AM55" s="96"/>
      <c r="AN55" s="97">
        <f t="shared" si="25"/>
        <v>0</v>
      </c>
      <c r="AO55" s="97">
        <f t="shared" si="26"/>
        <v>0</v>
      </c>
      <c r="AP55" s="97">
        <f t="shared" si="27"/>
        <v>0</v>
      </c>
      <c r="AQ55" s="96"/>
      <c r="AR55" s="97">
        <f t="shared" si="28"/>
        <v>0</v>
      </c>
      <c r="AS55" s="97">
        <f t="shared" si="29"/>
        <v>0</v>
      </c>
      <c r="AT55" s="97">
        <f t="shared" si="30"/>
        <v>0</v>
      </c>
      <c r="AU55" s="96"/>
      <c r="AV55" s="97">
        <f t="shared" si="31"/>
        <v>0</v>
      </c>
      <c r="AW55" s="97">
        <f t="shared" si="32"/>
        <v>0</v>
      </c>
      <c r="AX55" s="97">
        <f t="shared" si="33"/>
        <v>0</v>
      </c>
      <c r="AY55" s="96"/>
      <c r="AZ55" s="65">
        <f t="shared" si="34"/>
        <v>0</v>
      </c>
      <c r="BA55" s="65">
        <f t="shared" si="35"/>
        <v>0</v>
      </c>
      <c r="BB55" s="65">
        <f t="shared" si="36"/>
        <v>0</v>
      </c>
      <c r="BC55" s="96"/>
      <c r="BD55" s="65">
        <f t="shared" si="37"/>
        <v>0</v>
      </c>
      <c r="BE55" s="65">
        <f t="shared" si="38"/>
        <v>0</v>
      </c>
      <c r="BF55" s="65">
        <f t="shared" si="39"/>
        <v>0</v>
      </c>
      <c r="BG55" s="96"/>
      <c r="BH55" s="65">
        <f t="shared" si="40"/>
        <v>0</v>
      </c>
      <c r="BI55" s="65">
        <f t="shared" si="41"/>
        <v>0</v>
      </c>
      <c r="BJ55" s="65">
        <f t="shared" si="42"/>
        <v>0</v>
      </c>
    </row>
    <row r="56" spans="1:62" x14ac:dyDescent="0.2">
      <c r="A56" s="71"/>
      <c r="B56" s="96" t="s">
        <v>52</v>
      </c>
      <c r="C56" s="96"/>
      <c r="D56" s="97">
        <f t="shared" si="0"/>
        <v>0</v>
      </c>
      <c r="E56" s="97">
        <f t="shared" si="43"/>
        <v>0</v>
      </c>
      <c r="F56" s="97">
        <f t="shared" si="44"/>
        <v>0</v>
      </c>
      <c r="G56" s="96"/>
      <c r="H56" s="97">
        <f t="shared" si="1"/>
        <v>0</v>
      </c>
      <c r="I56" s="97">
        <f t="shared" si="2"/>
        <v>0</v>
      </c>
      <c r="J56" s="97">
        <f t="shared" si="3"/>
        <v>0</v>
      </c>
      <c r="K56" s="96"/>
      <c r="L56" s="97">
        <f t="shared" si="4"/>
        <v>0</v>
      </c>
      <c r="M56" s="97">
        <f t="shared" si="5"/>
        <v>0</v>
      </c>
      <c r="N56" s="97">
        <f t="shared" si="6"/>
        <v>0</v>
      </c>
      <c r="O56" s="96"/>
      <c r="P56" s="97">
        <f t="shared" si="7"/>
        <v>0</v>
      </c>
      <c r="Q56" s="97">
        <f t="shared" si="8"/>
        <v>0</v>
      </c>
      <c r="R56" s="97">
        <f t="shared" si="9"/>
        <v>0</v>
      </c>
      <c r="S56" s="96"/>
      <c r="T56" s="97">
        <f t="shared" si="10"/>
        <v>0</v>
      </c>
      <c r="U56" s="97">
        <f t="shared" si="11"/>
        <v>0</v>
      </c>
      <c r="V56" s="97">
        <f t="shared" si="12"/>
        <v>0</v>
      </c>
      <c r="W56" s="96"/>
      <c r="X56" s="97">
        <f t="shared" si="13"/>
        <v>0</v>
      </c>
      <c r="Y56" s="97">
        <f t="shared" si="14"/>
        <v>0</v>
      </c>
      <c r="Z56" s="97">
        <f t="shared" si="15"/>
        <v>0</v>
      </c>
      <c r="AA56" s="96"/>
      <c r="AB56" s="97">
        <f t="shared" si="16"/>
        <v>0</v>
      </c>
      <c r="AC56" s="97">
        <f t="shared" si="17"/>
        <v>0</v>
      </c>
      <c r="AD56" s="97">
        <f t="shared" si="18"/>
        <v>0</v>
      </c>
      <c r="AE56" s="96"/>
      <c r="AF56" s="97">
        <f t="shared" si="19"/>
        <v>0</v>
      </c>
      <c r="AG56" s="97">
        <f t="shared" si="20"/>
        <v>0</v>
      </c>
      <c r="AH56" s="97">
        <f t="shared" si="21"/>
        <v>0</v>
      </c>
      <c r="AI56" s="96"/>
      <c r="AJ56" s="97">
        <f t="shared" si="22"/>
        <v>0</v>
      </c>
      <c r="AK56" s="97">
        <f t="shared" si="23"/>
        <v>0</v>
      </c>
      <c r="AL56" s="97">
        <f t="shared" si="24"/>
        <v>0</v>
      </c>
      <c r="AM56" s="96"/>
      <c r="AN56" s="97">
        <f t="shared" si="25"/>
        <v>0</v>
      </c>
      <c r="AO56" s="97">
        <f t="shared" si="26"/>
        <v>0</v>
      </c>
      <c r="AP56" s="97">
        <f t="shared" si="27"/>
        <v>0</v>
      </c>
      <c r="AQ56" s="96"/>
      <c r="AR56" s="97">
        <f t="shared" si="28"/>
        <v>0</v>
      </c>
      <c r="AS56" s="97">
        <f t="shared" si="29"/>
        <v>0</v>
      </c>
      <c r="AT56" s="97">
        <f t="shared" si="30"/>
        <v>0</v>
      </c>
      <c r="AU56" s="96"/>
      <c r="AV56" s="97">
        <f t="shared" si="31"/>
        <v>0</v>
      </c>
      <c r="AW56" s="97">
        <f t="shared" si="32"/>
        <v>0</v>
      </c>
      <c r="AX56" s="97">
        <f t="shared" si="33"/>
        <v>0</v>
      </c>
      <c r="AY56" s="96"/>
      <c r="AZ56" s="65">
        <f t="shared" si="34"/>
        <v>0</v>
      </c>
      <c r="BA56" s="65">
        <f t="shared" si="35"/>
        <v>0</v>
      </c>
      <c r="BB56" s="65">
        <f t="shared" si="36"/>
        <v>0</v>
      </c>
      <c r="BC56" s="96"/>
      <c r="BD56" s="65">
        <f t="shared" si="37"/>
        <v>0</v>
      </c>
      <c r="BE56" s="65">
        <f t="shared" si="38"/>
        <v>0</v>
      </c>
      <c r="BF56" s="65">
        <f t="shared" si="39"/>
        <v>0</v>
      </c>
      <c r="BG56" s="96"/>
      <c r="BH56" s="65">
        <f t="shared" si="40"/>
        <v>0</v>
      </c>
      <c r="BI56" s="65">
        <f t="shared" si="41"/>
        <v>0</v>
      </c>
      <c r="BJ56" s="65">
        <f t="shared" si="42"/>
        <v>0</v>
      </c>
    </row>
    <row r="57" spans="1:62" x14ac:dyDescent="0.2">
      <c r="A57" s="71"/>
      <c r="B57" s="96" t="s">
        <v>52</v>
      </c>
      <c r="C57" s="96"/>
      <c r="D57" s="97">
        <f t="shared" si="0"/>
        <v>0</v>
      </c>
      <c r="E57" s="97">
        <f t="shared" si="43"/>
        <v>0</v>
      </c>
      <c r="F57" s="97">
        <f t="shared" si="44"/>
        <v>0</v>
      </c>
      <c r="G57" s="96"/>
      <c r="H57" s="97">
        <f t="shared" si="1"/>
        <v>0</v>
      </c>
      <c r="I57" s="97">
        <f t="shared" si="2"/>
        <v>0</v>
      </c>
      <c r="J57" s="97">
        <f t="shared" si="3"/>
        <v>0</v>
      </c>
      <c r="K57" s="96"/>
      <c r="L57" s="97">
        <f t="shared" si="4"/>
        <v>0</v>
      </c>
      <c r="M57" s="97">
        <f t="shared" si="5"/>
        <v>0</v>
      </c>
      <c r="N57" s="97">
        <f t="shared" si="6"/>
        <v>0</v>
      </c>
      <c r="O57" s="96"/>
      <c r="P57" s="97">
        <f t="shared" si="7"/>
        <v>0</v>
      </c>
      <c r="Q57" s="97">
        <f t="shared" si="8"/>
        <v>0</v>
      </c>
      <c r="R57" s="97">
        <f t="shared" si="9"/>
        <v>0</v>
      </c>
      <c r="S57" s="96"/>
      <c r="T57" s="97">
        <f t="shared" si="10"/>
        <v>0</v>
      </c>
      <c r="U57" s="97">
        <f t="shared" si="11"/>
        <v>0</v>
      </c>
      <c r="V57" s="97">
        <f t="shared" si="12"/>
        <v>0</v>
      </c>
      <c r="W57" s="96"/>
      <c r="X57" s="97">
        <f t="shared" si="13"/>
        <v>0</v>
      </c>
      <c r="Y57" s="97">
        <f t="shared" si="14"/>
        <v>0</v>
      </c>
      <c r="Z57" s="97">
        <f t="shared" si="15"/>
        <v>0</v>
      </c>
      <c r="AA57" s="96"/>
      <c r="AB57" s="97">
        <f t="shared" si="16"/>
        <v>0</v>
      </c>
      <c r="AC57" s="97">
        <f t="shared" si="17"/>
        <v>0</v>
      </c>
      <c r="AD57" s="97">
        <f t="shared" si="18"/>
        <v>0</v>
      </c>
      <c r="AE57" s="96"/>
      <c r="AF57" s="97">
        <f t="shared" si="19"/>
        <v>0</v>
      </c>
      <c r="AG57" s="97">
        <f t="shared" si="20"/>
        <v>0</v>
      </c>
      <c r="AH57" s="97">
        <f t="shared" si="21"/>
        <v>0</v>
      </c>
      <c r="AI57" s="96"/>
      <c r="AJ57" s="97">
        <f t="shared" si="22"/>
        <v>0</v>
      </c>
      <c r="AK57" s="97">
        <f t="shared" si="23"/>
        <v>0</v>
      </c>
      <c r="AL57" s="97">
        <f t="shared" si="24"/>
        <v>0</v>
      </c>
      <c r="AM57" s="96"/>
      <c r="AN57" s="97">
        <f t="shared" si="25"/>
        <v>0</v>
      </c>
      <c r="AO57" s="97">
        <f t="shared" si="26"/>
        <v>0</v>
      </c>
      <c r="AP57" s="97">
        <f t="shared" si="27"/>
        <v>0</v>
      </c>
      <c r="AQ57" s="96"/>
      <c r="AR57" s="97">
        <f t="shared" si="28"/>
        <v>0</v>
      </c>
      <c r="AS57" s="97">
        <f t="shared" si="29"/>
        <v>0</v>
      </c>
      <c r="AT57" s="97">
        <f t="shared" si="30"/>
        <v>0</v>
      </c>
      <c r="AU57" s="96"/>
      <c r="AV57" s="97">
        <f t="shared" si="31"/>
        <v>0</v>
      </c>
      <c r="AW57" s="97">
        <f t="shared" si="32"/>
        <v>0</v>
      </c>
      <c r="AX57" s="97">
        <f t="shared" si="33"/>
        <v>0</v>
      </c>
      <c r="AY57" s="96"/>
      <c r="AZ57" s="65">
        <f t="shared" si="34"/>
        <v>0</v>
      </c>
      <c r="BA57" s="65">
        <f t="shared" si="35"/>
        <v>0</v>
      </c>
      <c r="BB57" s="65">
        <f t="shared" si="36"/>
        <v>0</v>
      </c>
      <c r="BC57" s="96"/>
      <c r="BD57" s="65">
        <f t="shared" si="37"/>
        <v>0</v>
      </c>
      <c r="BE57" s="65">
        <f t="shared" si="38"/>
        <v>0</v>
      </c>
      <c r="BF57" s="65">
        <f t="shared" si="39"/>
        <v>0</v>
      </c>
      <c r="BG57" s="96"/>
      <c r="BH57" s="65">
        <f t="shared" si="40"/>
        <v>0</v>
      </c>
      <c r="BI57" s="65">
        <f t="shared" si="41"/>
        <v>0</v>
      </c>
      <c r="BJ57" s="65">
        <f t="shared" si="42"/>
        <v>0</v>
      </c>
    </row>
    <row r="58" spans="1:62" x14ac:dyDescent="0.2">
      <c r="A58" s="71"/>
      <c r="B58" s="96" t="s">
        <v>52</v>
      </c>
      <c r="C58" s="96"/>
      <c r="D58" s="97">
        <f t="shared" si="0"/>
        <v>0</v>
      </c>
      <c r="E58" s="97">
        <f t="shared" si="43"/>
        <v>0</v>
      </c>
      <c r="F58" s="97">
        <f t="shared" si="44"/>
        <v>0</v>
      </c>
      <c r="G58" s="96"/>
      <c r="H58" s="97">
        <f t="shared" si="1"/>
        <v>0</v>
      </c>
      <c r="I58" s="97">
        <f t="shared" si="2"/>
        <v>0</v>
      </c>
      <c r="J58" s="97">
        <f t="shared" si="3"/>
        <v>0</v>
      </c>
      <c r="K58" s="96"/>
      <c r="L58" s="97">
        <f t="shared" si="4"/>
        <v>0</v>
      </c>
      <c r="M58" s="97">
        <f t="shared" si="5"/>
        <v>0</v>
      </c>
      <c r="N58" s="97">
        <f t="shared" si="6"/>
        <v>0</v>
      </c>
      <c r="O58" s="96"/>
      <c r="P58" s="97">
        <f t="shared" si="7"/>
        <v>0</v>
      </c>
      <c r="Q58" s="97">
        <f t="shared" si="8"/>
        <v>0</v>
      </c>
      <c r="R58" s="97">
        <f t="shared" si="9"/>
        <v>0</v>
      </c>
      <c r="S58" s="96"/>
      <c r="T58" s="97">
        <f t="shared" si="10"/>
        <v>0</v>
      </c>
      <c r="U58" s="97">
        <f t="shared" si="11"/>
        <v>0</v>
      </c>
      <c r="V58" s="97">
        <f t="shared" si="12"/>
        <v>0</v>
      </c>
      <c r="W58" s="96"/>
      <c r="X58" s="97">
        <f t="shared" si="13"/>
        <v>0</v>
      </c>
      <c r="Y58" s="97">
        <f t="shared" si="14"/>
        <v>0</v>
      </c>
      <c r="Z58" s="97">
        <f t="shared" si="15"/>
        <v>0</v>
      </c>
      <c r="AA58" s="96"/>
      <c r="AB58" s="97">
        <f t="shared" si="16"/>
        <v>0</v>
      </c>
      <c r="AC58" s="97">
        <f t="shared" si="17"/>
        <v>0</v>
      </c>
      <c r="AD58" s="97">
        <f t="shared" si="18"/>
        <v>0</v>
      </c>
      <c r="AE58" s="96"/>
      <c r="AF58" s="97">
        <f t="shared" si="19"/>
        <v>0</v>
      </c>
      <c r="AG58" s="97">
        <f t="shared" si="20"/>
        <v>0</v>
      </c>
      <c r="AH58" s="97">
        <f t="shared" si="21"/>
        <v>0</v>
      </c>
      <c r="AI58" s="96"/>
      <c r="AJ58" s="97">
        <f t="shared" si="22"/>
        <v>0</v>
      </c>
      <c r="AK58" s="97">
        <f t="shared" si="23"/>
        <v>0</v>
      </c>
      <c r="AL58" s="97">
        <f t="shared" si="24"/>
        <v>0</v>
      </c>
      <c r="AM58" s="96"/>
      <c r="AN58" s="97">
        <f t="shared" si="25"/>
        <v>0</v>
      </c>
      <c r="AO58" s="97">
        <f t="shared" si="26"/>
        <v>0</v>
      </c>
      <c r="AP58" s="97">
        <f t="shared" si="27"/>
        <v>0</v>
      </c>
      <c r="AQ58" s="96"/>
      <c r="AR58" s="97">
        <f t="shared" si="28"/>
        <v>0</v>
      </c>
      <c r="AS58" s="97">
        <f t="shared" si="29"/>
        <v>0</v>
      </c>
      <c r="AT58" s="97">
        <f t="shared" si="30"/>
        <v>0</v>
      </c>
      <c r="AU58" s="96"/>
      <c r="AV58" s="97">
        <f t="shared" si="31"/>
        <v>0</v>
      </c>
      <c r="AW58" s="97">
        <f t="shared" si="32"/>
        <v>0</v>
      </c>
      <c r="AX58" s="97">
        <f t="shared" si="33"/>
        <v>0</v>
      </c>
      <c r="AY58" s="96"/>
      <c r="AZ58" s="65">
        <f t="shared" si="34"/>
        <v>0</v>
      </c>
      <c r="BA58" s="65">
        <f t="shared" si="35"/>
        <v>0</v>
      </c>
      <c r="BB58" s="65">
        <f t="shared" si="36"/>
        <v>0</v>
      </c>
      <c r="BC58" s="96"/>
      <c r="BD58" s="65">
        <f t="shared" si="37"/>
        <v>0</v>
      </c>
      <c r="BE58" s="65">
        <f t="shared" si="38"/>
        <v>0</v>
      </c>
      <c r="BF58" s="65">
        <f t="shared" si="39"/>
        <v>0</v>
      </c>
      <c r="BG58" s="96"/>
      <c r="BH58" s="65">
        <f t="shared" si="40"/>
        <v>0</v>
      </c>
      <c r="BI58" s="65">
        <f t="shared" si="41"/>
        <v>0</v>
      </c>
      <c r="BJ58" s="65">
        <f t="shared" si="42"/>
        <v>0</v>
      </c>
    </row>
    <row r="59" spans="1:62" x14ac:dyDescent="0.2">
      <c r="A59" s="71"/>
      <c r="B59" s="96" t="s">
        <v>52</v>
      </c>
      <c r="C59" s="96"/>
      <c r="D59" s="97">
        <f t="shared" si="0"/>
        <v>0</v>
      </c>
      <c r="E59" s="97">
        <f t="shared" si="43"/>
        <v>0</v>
      </c>
      <c r="F59" s="97">
        <f t="shared" si="44"/>
        <v>0</v>
      </c>
      <c r="G59" s="96"/>
      <c r="H59" s="97">
        <f t="shared" si="1"/>
        <v>0</v>
      </c>
      <c r="I59" s="97">
        <f t="shared" si="2"/>
        <v>0</v>
      </c>
      <c r="J59" s="97">
        <f t="shared" si="3"/>
        <v>0</v>
      </c>
      <c r="K59" s="96"/>
      <c r="L59" s="97">
        <f t="shared" si="4"/>
        <v>0</v>
      </c>
      <c r="M59" s="97">
        <f t="shared" si="5"/>
        <v>0</v>
      </c>
      <c r="N59" s="97">
        <f t="shared" si="6"/>
        <v>0</v>
      </c>
      <c r="O59" s="96"/>
      <c r="P59" s="97">
        <f t="shared" si="7"/>
        <v>0</v>
      </c>
      <c r="Q59" s="97">
        <f t="shared" si="8"/>
        <v>0</v>
      </c>
      <c r="R59" s="97">
        <f t="shared" si="9"/>
        <v>0</v>
      </c>
      <c r="S59" s="96"/>
      <c r="T59" s="97">
        <f t="shared" si="10"/>
        <v>0</v>
      </c>
      <c r="U59" s="97">
        <f t="shared" si="11"/>
        <v>0</v>
      </c>
      <c r="V59" s="97">
        <f t="shared" si="12"/>
        <v>0</v>
      </c>
      <c r="W59" s="96"/>
      <c r="X59" s="97">
        <f t="shared" si="13"/>
        <v>0</v>
      </c>
      <c r="Y59" s="97">
        <f t="shared" si="14"/>
        <v>0</v>
      </c>
      <c r="Z59" s="97">
        <f t="shared" si="15"/>
        <v>0</v>
      </c>
      <c r="AA59" s="96"/>
      <c r="AB59" s="97">
        <f t="shared" si="16"/>
        <v>0</v>
      </c>
      <c r="AC59" s="97">
        <f t="shared" si="17"/>
        <v>0</v>
      </c>
      <c r="AD59" s="97">
        <f t="shared" si="18"/>
        <v>0</v>
      </c>
      <c r="AE59" s="96"/>
      <c r="AF59" s="97">
        <f t="shared" si="19"/>
        <v>0</v>
      </c>
      <c r="AG59" s="97">
        <f t="shared" si="20"/>
        <v>0</v>
      </c>
      <c r="AH59" s="97">
        <f t="shared" si="21"/>
        <v>0</v>
      </c>
      <c r="AI59" s="96"/>
      <c r="AJ59" s="97">
        <f t="shared" si="22"/>
        <v>0</v>
      </c>
      <c r="AK59" s="97">
        <f t="shared" si="23"/>
        <v>0</v>
      </c>
      <c r="AL59" s="97">
        <f t="shared" si="24"/>
        <v>0</v>
      </c>
      <c r="AM59" s="96"/>
      <c r="AN59" s="97">
        <f t="shared" si="25"/>
        <v>0</v>
      </c>
      <c r="AO59" s="97">
        <f t="shared" si="26"/>
        <v>0</v>
      </c>
      <c r="AP59" s="97">
        <f t="shared" si="27"/>
        <v>0</v>
      </c>
      <c r="AQ59" s="96"/>
      <c r="AR59" s="97">
        <f t="shared" si="28"/>
        <v>0</v>
      </c>
      <c r="AS59" s="97">
        <f t="shared" si="29"/>
        <v>0</v>
      </c>
      <c r="AT59" s="97">
        <f t="shared" si="30"/>
        <v>0</v>
      </c>
      <c r="AU59" s="96"/>
      <c r="AV59" s="97">
        <f t="shared" si="31"/>
        <v>0</v>
      </c>
      <c r="AW59" s="97">
        <f t="shared" si="32"/>
        <v>0</v>
      </c>
      <c r="AX59" s="97">
        <f t="shared" si="33"/>
        <v>0</v>
      </c>
      <c r="AY59" s="96"/>
      <c r="AZ59" s="65">
        <f t="shared" si="34"/>
        <v>0</v>
      </c>
      <c r="BA59" s="65">
        <f t="shared" si="35"/>
        <v>0</v>
      </c>
      <c r="BB59" s="65">
        <f t="shared" si="36"/>
        <v>0</v>
      </c>
      <c r="BC59" s="96"/>
      <c r="BD59" s="65">
        <f t="shared" si="37"/>
        <v>0</v>
      </c>
      <c r="BE59" s="65">
        <f t="shared" si="38"/>
        <v>0</v>
      </c>
      <c r="BF59" s="65">
        <f t="shared" si="39"/>
        <v>0</v>
      </c>
      <c r="BG59" s="96"/>
      <c r="BH59" s="65">
        <f t="shared" si="40"/>
        <v>0</v>
      </c>
      <c r="BI59" s="65">
        <f t="shared" si="41"/>
        <v>0</v>
      </c>
      <c r="BJ59" s="65">
        <f t="shared" si="42"/>
        <v>0</v>
      </c>
    </row>
    <row r="60" spans="1:62" x14ac:dyDescent="0.2">
      <c r="A60" s="71"/>
      <c r="B60" s="96" t="s">
        <v>52</v>
      </c>
      <c r="C60" s="96"/>
      <c r="D60" s="97">
        <f t="shared" si="0"/>
        <v>0</v>
      </c>
      <c r="E60" s="97">
        <f t="shared" si="43"/>
        <v>0</v>
      </c>
      <c r="F60" s="97">
        <f t="shared" si="44"/>
        <v>0</v>
      </c>
      <c r="G60" s="96"/>
      <c r="H60" s="97">
        <f t="shared" si="1"/>
        <v>0</v>
      </c>
      <c r="I60" s="97">
        <f t="shared" si="2"/>
        <v>0</v>
      </c>
      <c r="J60" s="97">
        <f t="shared" si="3"/>
        <v>0</v>
      </c>
      <c r="K60" s="96"/>
      <c r="L60" s="97">
        <f t="shared" si="4"/>
        <v>0</v>
      </c>
      <c r="M60" s="97">
        <f t="shared" si="5"/>
        <v>0</v>
      </c>
      <c r="N60" s="97">
        <f t="shared" si="6"/>
        <v>0</v>
      </c>
      <c r="O60" s="96"/>
      <c r="P60" s="97">
        <f t="shared" si="7"/>
        <v>0</v>
      </c>
      <c r="Q60" s="97">
        <f t="shared" si="8"/>
        <v>0</v>
      </c>
      <c r="R60" s="97">
        <f t="shared" si="9"/>
        <v>0</v>
      </c>
      <c r="S60" s="96"/>
      <c r="T60" s="97">
        <f t="shared" si="10"/>
        <v>0</v>
      </c>
      <c r="U60" s="97">
        <f t="shared" si="11"/>
        <v>0</v>
      </c>
      <c r="V60" s="97">
        <f t="shared" si="12"/>
        <v>0</v>
      </c>
      <c r="W60" s="96"/>
      <c r="X60" s="97">
        <f t="shared" si="13"/>
        <v>0</v>
      </c>
      <c r="Y60" s="97">
        <f t="shared" si="14"/>
        <v>0</v>
      </c>
      <c r="Z60" s="97">
        <f t="shared" si="15"/>
        <v>0</v>
      </c>
      <c r="AA60" s="96"/>
      <c r="AB60" s="97">
        <f t="shared" si="16"/>
        <v>0</v>
      </c>
      <c r="AC60" s="97">
        <f t="shared" si="17"/>
        <v>0</v>
      </c>
      <c r="AD60" s="97">
        <f t="shared" si="18"/>
        <v>0</v>
      </c>
      <c r="AE60" s="96"/>
      <c r="AF60" s="97">
        <f t="shared" si="19"/>
        <v>0</v>
      </c>
      <c r="AG60" s="97">
        <f t="shared" si="20"/>
        <v>0</v>
      </c>
      <c r="AH60" s="97">
        <f t="shared" si="21"/>
        <v>0</v>
      </c>
      <c r="AI60" s="96"/>
      <c r="AJ60" s="97">
        <f t="shared" si="22"/>
        <v>0</v>
      </c>
      <c r="AK60" s="97">
        <f t="shared" si="23"/>
        <v>0</v>
      </c>
      <c r="AL60" s="97">
        <f t="shared" si="24"/>
        <v>0</v>
      </c>
      <c r="AM60" s="96"/>
      <c r="AN60" s="97">
        <f t="shared" si="25"/>
        <v>0</v>
      </c>
      <c r="AO60" s="97">
        <f t="shared" si="26"/>
        <v>0</v>
      </c>
      <c r="AP60" s="97">
        <f t="shared" si="27"/>
        <v>0</v>
      </c>
      <c r="AQ60" s="96"/>
      <c r="AR60" s="97">
        <f t="shared" si="28"/>
        <v>0</v>
      </c>
      <c r="AS60" s="97">
        <f t="shared" si="29"/>
        <v>0</v>
      </c>
      <c r="AT60" s="97">
        <f t="shared" si="30"/>
        <v>0</v>
      </c>
      <c r="AU60" s="96"/>
      <c r="AV60" s="97">
        <f t="shared" si="31"/>
        <v>0</v>
      </c>
      <c r="AW60" s="97">
        <f t="shared" si="32"/>
        <v>0</v>
      </c>
      <c r="AX60" s="97">
        <f t="shared" si="33"/>
        <v>0</v>
      </c>
      <c r="AY60" s="96"/>
      <c r="AZ60" s="65">
        <f t="shared" si="34"/>
        <v>0</v>
      </c>
      <c r="BA60" s="65">
        <f t="shared" si="35"/>
        <v>0</v>
      </c>
      <c r="BB60" s="65">
        <f t="shared" si="36"/>
        <v>0</v>
      </c>
      <c r="BC60" s="96"/>
      <c r="BD60" s="65">
        <f t="shared" si="37"/>
        <v>0</v>
      </c>
      <c r="BE60" s="65">
        <f t="shared" si="38"/>
        <v>0</v>
      </c>
      <c r="BF60" s="65">
        <f t="shared" si="39"/>
        <v>0</v>
      </c>
      <c r="BG60" s="96"/>
      <c r="BH60" s="65">
        <f t="shared" si="40"/>
        <v>0</v>
      </c>
      <c r="BI60" s="65">
        <f t="shared" si="41"/>
        <v>0</v>
      </c>
      <c r="BJ60" s="65">
        <f t="shared" si="42"/>
        <v>0</v>
      </c>
    </row>
    <row r="61" spans="1:62" x14ac:dyDescent="0.2">
      <c r="A61" s="71"/>
      <c r="B61" s="96" t="s">
        <v>52</v>
      </c>
      <c r="C61" s="96"/>
      <c r="D61" s="97">
        <f t="shared" si="0"/>
        <v>0</v>
      </c>
      <c r="E61" s="97">
        <f t="shared" si="43"/>
        <v>0</v>
      </c>
      <c r="F61" s="97">
        <f t="shared" si="44"/>
        <v>0</v>
      </c>
      <c r="G61" s="96"/>
      <c r="H61" s="97">
        <f t="shared" si="1"/>
        <v>0</v>
      </c>
      <c r="I61" s="97">
        <f t="shared" si="2"/>
        <v>0</v>
      </c>
      <c r="J61" s="97">
        <f t="shared" si="3"/>
        <v>0</v>
      </c>
      <c r="K61" s="96"/>
      <c r="L61" s="97">
        <f t="shared" si="4"/>
        <v>0</v>
      </c>
      <c r="M61" s="97">
        <f t="shared" si="5"/>
        <v>0</v>
      </c>
      <c r="N61" s="97">
        <f t="shared" si="6"/>
        <v>0</v>
      </c>
      <c r="O61" s="96"/>
      <c r="P61" s="97">
        <f t="shared" si="7"/>
        <v>0</v>
      </c>
      <c r="Q61" s="97">
        <f t="shared" si="8"/>
        <v>0</v>
      </c>
      <c r="R61" s="97">
        <f t="shared" si="9"/>
        <v>0</v>
      </c>
      <c r="S61" s="96"/>
      <c r="T61" s="97">
        <f t="shared" si="10"/>
        <v>0</v>
      </c>
      <c r="U61" s="97">
        <f t="shared" si="11"/>
        <v>0</v>
      </c>
      <c r="V61" s="97">
        <f t="shared" si="12"/>
        <v>0</v>
      </c>
      <c r="W61" s="96"/>
      <c r="X61" s="97">
        <f t="shared" si="13"/>
        <v>0</v>
      </c>
      <c r="Y61" s="97">
        <f t="shared" si="14"/>
        <v>0</v>
      </c>
      <c r="Z61" s="97">
        <f t="shared" si="15"/>
        <v>0</v>
      </c>
      <c r="AA61" s="96"/>
      <c r="AB61" s="97">
        <f t="shared" si="16"/>
        <v>0</v>
      </c>
      <c r="AC61" s="97">
        <f t="shared" si="17"/>
        <v>0</v>
      </c>
      <c r="AD61" s="97">
        <f t="shared" si="18"/>
        <v>0</v>
      </c>
      <c r="AE61" s="96"/>
      <c r="AF61" s="97">
        <f t="shared" si="19"/>
        <v>0</v>
      </c>
      <c r="AG61" s="97">
        <f t="shared" si="20"/>
        <v>0</v>
      </c>
      <c r="AH61" s="97">
        <f t="shared" si="21"/>
        <v>0</v>
      </c>
      <c r="AI61" s="96"/>
      <c r="AJ61" s="97">
        <f t="shared" si="22"/>
        <v>0</v>
      </c>
      <c r="AK61" s="97">
        <f t="shared" si="23"/>
        <v>0</v>
      </c>
      <c r="AL61" s="97">
        <f t="shared" si="24"/>
        <v>0</v>
      </c>
      <c r="AM61" s="96"/>
      <c r="AN61" s="97">
        <f t="shared" si="25"/>
        <v>0</v>
      </c>
      <c r="AO61" s="97">
        <f t="shared" si="26"/>
        <v>0</v>
      </c>
      <c r="AP61" s="97">
        <f t="shared" si="27"/>
        <v>0</v>
      </c>
      <c r="AQ61" s="96"/>
      <c r="AR61" s="97">
        <f t="shared" si="28"/>
        <v>0</v>
      </c>
      <c r="AS61" s="97">
        <f t="shared" si="29"/>
        <v>0</v>
      </c>
      <c r="AT61" s="97">
        <f t="shared" si="30"/>
        <v>0</v>
      </c>
      <c r="AU61" s="96"/>
      <c r="AV61" s="97">
        <f t="shared" si="31"/>
        <v>0</v>
      </c>
      <c r="AW61" s="97">
        <f t="shared" si="32"/>
        <v>0</v>
      </c>
      <c r="AX61" s="97">
        <f t="shared" si="33"/>
        <v>0</v>
      </c>
      <c r="AY61" s="96"/>
      <c r="AZ61" s="65">
        <f t="shared" si="34"/>
        <v>0</v>
      </c>
      <c r="BA61" s="65">
        <f t="shared" si="35"/>
        <v>0</v>
      </c>
      <c r="BB61" s="65">
        <f t="shared" si="36"/>
        <v>0</v>
      </c>
      <c r="BC61" s="96"/>
      <c r="BD61" s="65">
        <f t="shared" si="37"/>
        <v>0</v>
      </c>
      <c r="BE61" s="65">
        <f t="shared" si="38"/>
        <v>0</v>
      </c>
      <c r="BF61" s="65">
        <f t="shared" si="39"/>
        <v>0</v>
      </c>
      <c r="BG61" s="96"/>
      <c r="BH61" s="65">
        <f t="shared" si="40"/>
        <v>0</v>
      </c>
      <c r="BI61" s="65">
        <f t="shared" si="41"/>
        <v>0</v>
      </c>
      <c r="BJ61" s="65">
        <f t="shared" si="42"/>
        <v>0</v>
      </c>
    </row>
    <row r="62" spans="1:62" x14ac:dyDescent="0.2">
      <c r="A62" s="71"/>
      <c r="B62" s="96" t="s">
        <v>52</v>
      </c>
      <c r="C62" s="96"/>
      <c r="D62" s="97">
        <f t="shared" si="0"/>
        <v>0</v>
      </c>
      <c r="E62" s="97">
        <f t="shared" si="43"/>
        <v>0</v>
      </c>
      <c r="F62" s="97">
        <f t="shared" si="44"/>
        <v>0</v>
      </c>
      <c r="G62" s="96"/>
      <c r="H62" s="97">
        <f t="shared" si="1"/>
        <v>0</v>
      </c>
      <c r="I62" s="97">
        <f t="shared" si="2"/>
        <v>0</v>
      </c>
      <c r="J62" s="97">
        <f t="shared" si="3"/>
        <v>0</v>
      </c>
      <c r="K62" s="96"/>
      <c r="L62" s="97">
        <f t="shared" si="4"/>
        <v>0</v>
      </c>
      <c r="M62" s="97">
        <f t="shared" si="5"/>
        <v>0</v>
      </c>
      <c r="N62" s="97">
        <f t="shared" si="6"/>
        <v>0</v>
      </c>
      <c r="O62" s="96"/>
      <c r="P62" s="97">
        <f t="shared" si="7"/>
        <v>0</v>
      </c>
      <c r="Q62" s="97">
        <f t="shared" si="8"/>
        <v>0</v>
      </c>
      <c r="R62" s="97">
        <f t="shared" si="9"/>
        <v>0</v>
      </c>
      <c r="S62" s="96"/>
      <c r="T62" s="97">
        <f t="shared" si="10"/>
        <v>0</v>
      </c>
      <c r="U62" s="97">
        <f t="shared" si="11"/>
        <v>0</v>
      </c>
      <c r="V62" s="97">
        <f t="shared" si="12"/>
        <v>0</v>
      </c>
      <c r="W62" s="96"/>
      <c r="X62" s="97">
        <f t="shared" si="13"/>
        <v>0</v>
      </c>
      <c r="Y62" s="97">
        <f t="shared" si="14"/>
        <v>0</v>
      </c>
      <c r="Z62" s="97">
        <f t="shared" si="15"/>
        <v>0</v>
      </c>
      <c r="AA62" s="96"/>
      <c r="AB62" s="97">
        <f t="shared" si="16"/>
        <v>0</v>
      </c>
      <c r="AC62" s="97">
        <f t="shared" si="17"/>
        <v>0</v>
      </c>
      <c r="AD62" s="97">
        <f t="shared" si="18"/>
        <v>0</v>
      </c>
      <c r="AE62" s="96"/>
      <c r="AF62" s="97">
        <f t="shared" si="19"/>
        <v>0</v>
      </c>
      <c r="AG62" s="97">
        <f t="shared" si="20"/>
        <v>0</v>
      </c>
      <c r="AH62" s="97">
        <f t="shared" si="21"/>
        <v>0</v>
      </c>
      <c r="AI62" s="96"/>
      <c r="AJ62" s="97">
        <f t="shared" si="22"/>
        <v>0</v>
      </c>
      <c r="AK62" s="97">
        <f t="shared" si="23"/>
        <v>0</v>
      </c>
      <c r="AL62" s="97">
        <f t="shared" si="24"/>
        <v>0</v>
      </c>
      <c r="AM62" s="96"/>
      <c r="AN62" s="97">
        <f t="shared" si="25"/>
        <v>0</v>
      </c>
      <c r="AO62" s="97">
        <f t="shared" si="26"/>
        <v>0</v>
      </c>
      <c r="AP62" s="97">
        <f t="shared" si="27"/>
        <v>0</v>
      </c>
      <c r="AQ62" s="96"/>
      <c r="AR62" s="97">
        <f t="shared" si="28"/>
        <v>0</v>
      </c>
      <c r="AS62" s="97">
        <f t="shared" si="29"/>
        <v>0</v>
      </c>
      <c r="AT62" s="97">
        <f t="shared" si="30"/>
        <v>0</v>
      </c>
      <c r="AU62" s="96"/>
      <c r="AV62" s="97">
        <f t="shared" si="31"/>
        <v>0</v>
      </c>
      <c r="AW62" s="97">
        <f t="shared" si="32"/>
        <v>0</v>
      </c>
      <c r="AX62" s="97">
        <f t="shared" si="33"/>
        <v>0</v>
      </c>
      <c r="AY62" s="96"/>
      <c r="AZ62" s="65">
        <f t="shared" si="34"/>
        <v>0</v>
      </c>
      <c r="BA62" s="65">
        <f t="shared" si="35"/>
        <v>0</v>
      </c>
      <c r="BB62" s="65">
        <f t="shared" si="36"/>
        <v>0</v>
      </c>
      <c r="BC62" s="96"/>
      <c r="BD62" s="65">
        <f t="shared" si="37"/>
        <v>0</v>
      </c>
      <c r="BE62" s="65">
        <f t="shared" si="38"/>
        <v>0</v>
      </c>
      <c r="BF62" s="65">
        <f t="shared" si="39"/>
        <v>0</v>
      </c>
      <c r="BG62" s="96"/>
      <c r="BH62" s="65">
        <f t="shared" si="40"/>
        <v>0</v>
      </c>
      <c r="BI62" s="65">
        <f t="shared" si="41"/>
        <v>0</v>
      </c>
      <c r="BJ62" s="65">
        <f t="shared" si="42"/>
        <v>0</v>
      </c>
    </row>
    <row r="63" spans="1:62" x14ac:dyDescent="0.2">
      <c r="A63" s="71"/>
      <c r="B63" s="96" t="s">
        <v>52</v>
      </c>
      <c r="C63" s="96"/>
      <c r="D63" s="97">
        <f t="shared" si="0"/>
        <v>0</v>
      </c>
      <c r="E63" s="97">
        <f t="shared" si="43"/>
        <v>0</v>
      </c>
      <c r="F63" s="97">
        <f t="shared" si="44"/>
        <v>0</v>
      </c>
      <c r="G63" s="96"/>
      <c r="H63" s="97">
        <f t="shared" si="1"/>
        <v>0</v>
      </c>
      <c r="I63" s="97">
        <f t="shared" si="2"/>
        <v>0</v>
      </c>
      <c r="J63" s="97">
        <f t="shared" si="3"/>
        <v>0</v>
      </c>
      <c r="K63" s="96"/>
      <c r="L63" s="97">
        <f t="shared" si="4"/>
        <v>0</v>
      </c>
      <c r="M63" s="97">
        <f t="shared" si="5"/>
        <v>0</v>
      </c>
      <c r="N63" s="97">
        <f t="shared" si="6"/>
        <v>0</v>
      </c>
      <c r="O63" s="96"/>
      <c r="P63" s="97">
        <f t="shared" si="7"/>
        <v>0</v>
      </c>
      <c r="Q63" s="97">
        <f t="shared" si="8"/>
        <v>0</v>
      </c>
      <c r="R63" s="97">
        <f t="shared" si="9"/>
        <v>0</v>
      </c>
      <c r="S63" s="96"/>
      <c r="T63" s="97">
        <f t="shared" si="10"/>
        <v>0</v>
      </c>
      <c r="U63" s="97">
        <f t="shared" si="11"/>
        <v>0</v>
      </c>
      <c r="V63" s="97">
        <f t="shared" si="12"/>
        <v>0</v>
      </c>
      <c r="W63" s="96"/>
      <c r="X63" s="97">
        <f t="shared" si="13"/>
        <v>0</v>
      </c>
      <c r="Y63" s="97">
        <f t="shared" si="14"/>
        <v>0</v>
      </c>
      <c r="Z63" s="97">
        <f t="shared" si="15"/>
        <v>0</v>
      </c>
      <c r="AA63" s="96"/>
      <c r="AB63" s="97">
        <f t="shared" si="16"/>
        <v>0</v>
      </c>
      <c r="AC63" s="97">
        <f t="shared" si="17"/>
        <v>0</v>
      </c>
      <c r="AD63" s="97">
        <f t="shared" si="18"/>
        <v>0</v>
      </c>
      <c r="AE63" s="96"/>
      <c r="AF63" s="97">
        <f t="shared" si="19"/>
        <v>0</v>
      </c>
      <c r="AG63" s="97">
        <f t="shared" si="20"/>
        <v>0</v>
      </c>
      <c r="AH63" s="97">
        <f t="shared" si="21"/>
        <v>0</v>
      </c>
      <c r="AI63" s="96"/>
      <c r="AJ63" s="97">
        <f t="shared" si="22"/>
        <v>0</v>
      </c>
      <c r="AK63" s="97">
        <f t="shared" si="23"/>
        <v>0</v>
      </c>
      <c r="AL63" s="97">
        <f t="shared" si="24"/>
        <v>0</v>
      </c>
      <c r="AM63" s="96"/>
      <c r="AN63" s="97">
        <f t="shared" si="25"/>
        <v>0</v>
      </c>
      <c r="AO63" s="97">
        <f t="shared" si="26"/>
        <v>0</v>
      </c>
      <c r="AP63" s="97">
        <f t="shared" si="27"/>
        <v>0</v>
      </c>
      <c r="AQ63" s="96"/>
      <c r="AR63" s="97">
        <f t="shared" si="28"/>
        <v>0</v>
      </c>
      <c r="AS63" s="97">
        <f t="shared" si="29"/>
        <v>0</v>
      </c>
      <c r="AT63" s="97">
        <f t="shared" si="30"/>
        <v>0</v>
      </c>
      <c r="AU63" s="96"/>
      <c r="AV63" s="97">
        <f t="shared" si="31"/>
        <v>0</v>
      </c>
      <c r="AW63" s="97">
        <f t="shared" si="32"/>
        <v>0</v>
      </c>
      <c r="AX63" s="97">
        <f t="shared" si="33"/>
        <v>0</v>
      </c>
      <c r="AY63" s="96"/>
      <c r="AZ63" s="65">
        <f t="shared" si="34"/>
        <v>0</v>
      </c>
      <c r="BA63" s="65">
        <f t="shared" si="35"/>
        <v>0</v>
      </c>
      <c r="BB63" s="65">
        <f t="shared" si="36"/>
        <v>0</v>
      </c>
      <c r="BC63" s="96"/>
      <c r="BD63" s="65">
        <f t="shared" si="37"/>
        <v>0</v>
      </c>
      <c r="BE63" s="65">
        <f t="shared" si="38"/>
        <v>0</v>
      </c>
      <c r="BF63" s="65">
        <f t="shared" si="39"/>
        <v>0</v>
      </c>
      <c r="BG63" s="96"/>
      <c r="BH63" s="65">
        <f t="shared" si="40"/>
        <v>0</v>
      </c>
      <c r="BI63" s="65">
        <f t="shared" si="41"/>
        <v>0</v>
      </c>
      <c r="BJ63" s="65">
        <f t="shared" si="42"/>
        <v>0</v>
      </c>
    </row>
    <row r="64" spans="1:62" x14ac:dyDescent="0.2">
      <c r="A64" s="71"/>
      <c r="B64" s="96" t="s">
        <v>52</v>
      </c>
      <c r="C64" s="96"/>
      <c r="D64" s="97">
        <f t="shared" si="0"/>
        <v>0</v>
      </c>
      <c r="E64" s="97">
        <f t="shared" si="43"/>
        <v>0</v>
      </c>
      <c r="F64" s="97">
        <f t="shared" si="44"/>
        <v>0</v>
      </c>
      <c r="G64" s="96"/>
      <c r="H64" s="97">
        <f t="shared" si="1"/>
        <v>0</v>
      </c>
      <c r="I64" s="97">
        <f t="shared" si="2"/>
        <v>0</v>
      </c>
      <c r="J64" s="97">
        <f t="shared" si="3"/>
        <v>0</v>
      </c>
      <c r="K64" s="96"/>
      <c r="L64" s="97">
        <f t="shared" si="4"/>
        <v>0</v>
      </c>
      <c r="M64" s="97">
        <f t="shared" si="5"/>
        <v>0</v>
      </c>
      <c r="N64" s="97">
        <f t="shared" si="6"/>
        <v>0</v>
      </c>
      <c r="O64" s="96"/>
      <c r="P64" s="97">
        <f t="shared" si="7"/>
        <v>0</v>
      </c>
      <c r="Q64" s="97">
        <f t="shared" si="8"/>
        <v>0</v>
      </c>
      <c r="R64" s="97">
        <f t="shared" si="9"/>
        <v>0</v>
      </c>
      <c r="S64" s="96"/>
      <c r="T64" s="97">
        <f t="shared" si="10"/>
        <v>0</v>
      </c>
      <c r="U64" s="97">
        <f t="shared" si="11"/>
        <v>0</v>
      </c>
      <c r="V64" s="97">
        <f t="shared" si="12"/>
        <v>0</v>
      </c>
      <c r="W64" s="96"/>
      <c r="X64" s="97">
        <f t="shared" si="13"/>
        <v>0</v>
      </c>
      <c r="Y64" s="97">
        <f t="shared" si="14"/>
        <v>0</v>
      </c>
      <c r="Z64" s="97">
        <f t="shared" si="15"/>
        <v>0</v>
      </c>
      <c r="AA64" s="96"/>
      <c r="AB64" s="97">
        <f t="shared" si="16"/>
        <v>0</v>
      </c>
      <c r="AC64" s="97">
        <f t="shared" si="17"/>
        <v>0</v>
      </c>
      <c r="AD64" s="97">
        <f t="shared" si="18"/>
        <v>0</v>
      </c>
      <c r="AE64" s="96"/>
      <c r="AF64" s="97">
        <f t="shared" si="19"/>
        <v>0</v>
      </c>
      <c r="AG64" s="97">
        <f t="shared" si="20"/>
        <v>0</v>
      </c>
      <c r="AH64" s="97">
        <f t="shared" si="21"/>
        <v>0</v>
      </c>
      <c r="AI64" s="96"/>
      <c r="AJ64" s="97">
        <f t="shared" si="22"/>
        <v>0</v>
      </c>
      <c r="AK64" s="97">
        <f t="shared" si="23"/>
        <v>0</v>
      </c>
      <c r="AL64" s="97">
        <f t="shared" si="24"/>
        <v>0</v>
      </c>
      <c r="AM64" s="96"/>
      <c r="AN64" s="97">
        <f t="shared" si="25"/>
        <v>0</v>
      </c>
      <c r="AO64" s="97">
        <f t="shared" si="26"/>
        <v>0</v>
      </c>
      <c r="AP64" s="97">
        <f t="shared" si="27"/>
        <v>0</v>
      </c>
      <c r="AQ64" s="96"/>
      <c r="AR64" s="97">
        <f t="shared" si="28"/>
        <v>0</v>
      </c>
      <c r="AS64" s="97">
        <f t="shared" si="29"/>
        <v>0</v>
      </c>
      <c r="AT64" s="97">
        <f t="shared" si="30"/>
        <v>0</v>
      </c>
      <c r="AU64" s="96"/>
      <c r="AV64" s="97">
        <f t="shared" si="31"/>
        <v>0</v>
      </c>
      <c r="AW64" s="97">
        <f t="shared" si="32"/>
        <v>0</v>
      </c>
      <c r="AX64" s="97">
        <f t="shared" si="33"/>
        <v>0</v>
      </c>
      <c r="AY64" s="96"/>
      <c r="AZ64" s="65">
        <f t="shared" si="34"/>
        <v>0</v>
      </c>
      <c r="BA64" s="65">
        <f t="shared" si="35"/>
        <v>0</v>
      </c>
      <c r="BB64" s="65">
        <f t="shared" si="36"/>
        <v>0</v>
      </c>
      <c r="BC64" s="96"/>
      <c r="BD64" s="65">
        <f t="shared" si="37"/>
        <v>0</v>
      </c>
      <c r="BE64" s="65">
        <f t="shared" si="38"/>
        <v>0</v>
      </c>
      <c r="BF64" s="65">
        <f t="shared" si="39"/>
        <v>0</v>
      </c>
      <c r="BG64" s="96"/>
      <c r="BH64" s="65">
        <f t="shared" si="40"/>
        <v>0</v>
      </c>
      <c r="BI64" s="65">
        <f t="shared" si="41"/>
        <v>0</v>
      </c>
      <c r="BJ64" s="65">
        <f t="shared" si="42"/>
        <v>0</v>
      </c>
    </row>
    <row r="65" spans="1:62" x14ac:dyDescent="0.2">
      <c r="A65" s="71"/>
      <c r="B65" s="96" t="s">
        <v>52</v>
      </c>
      <c r="C65" s="96"/>
      <c r="D65" s="97">
        <f t="shared" si="0"/>
        <v>0</v>
      </c>
      <c r="E65" s="97">
        <f t="shared" si="43"/>
        <v>0</v>
      </c>
      <c r="F65" s="97">
        <f t="shared" si="44"/>
        <v>0</v>
      </c>
      <c r="G65" s="96"/>
      <c r="H65" s="97">
        <f t="shared" si="1"/>
        <v>0</v>
      </c>
      <c r="I65" s="97">
        <f t="shared" si="2"/>
        <v>0</v>
      </c>
      <c r="J65" s="97">
        <f t="shared" si="3"/>
        <v>0</v>
      </c>
      <c r="K65" s="96"/>
      <c r="L65" s="97">
        <f t="shared" si="4"/>
        <v>0</v>
      </c>
      <c r="M65" s="97">
        <f t="shared" si="5"/>
        <v>0</v>
      </c>
      <c r="N65" s="97">
        <f t="shared" si="6"/>
        <v>0</v>
      </c>
      <c r="O65" s="96"/>
      <c r="P65" s="97">
        <f t="shared" si="7"/>
        <v>0</v>
      </c>
      <c r="Q65" s="97">
        <f t="shared" si="8"/>
        <v>0</v>
      </c>
      <c r="R65" s="97">
        <f t="shared" si="9"/>
        <v>0</v>
      </c>
      <c r="S65" s="96"/>
      <c r="T65" s="97">
        <f t="shared" si="10"/>
        <v>0</v>
      </c>
      <c r="U65" s="97">
        <f t="shared" si="11"/>
        <v>0</v>
      </c>
      <c r="V65" s="97">
        <f t="shared" si="12"/>
        <v>0</v>
      </c>
      <c r="W65" s="96"/>
      <c r="X65" s="97">
        <f t="shared" si="13"/>
        <v>0</v>
      </c>
      <c r="Y65" s="97">
        <f t="shared" si="14"/>
        <v>0</v>
      </c>
      <c r="Z65" s="97">
        <f t="shared" si="15"/>
        <v>0</v>
      </c>
      <c r="AA65" s="96"/>
      <c r="AB65" s="97">
        <f t="shared" si="16"/>
        <v>0</v>
      </c>
      <c r="AC65" s="97">
        <f t="shared" si="17"/>
        <v>0</v>
      </c>
      <c r="AD65" s="97">
        <f t="shared" si="18"/>
        <v>0</v>
      </c>
      <c r="AE65" s="96"/>
      <c r="AF65" s="97">
        <f t="shared" si="19"/>
        <v>0</v>
      </c>
      <c r="AG65" s="97">
        <f t="shared" si="20"/>
        <v>0</v>
      </c>
      <c r="AH65" s="97">
        <f t="shared" si="21"/>
        <v>0</v>
      </c>
      <c r="AI65" s="96"/>
      <c r="AJ65" s="97">
        <f t="shared" si="22"/>
        <v>0</v>
      </c>
      <c r="AK65" s="97">
        <f t="shared" si="23"/>
        <v>0</v>
      </c>
      <c r="AL65" s="97">
        <f t="shared" si="24"/>
        <v>0</v>
      </c>
      <c r="AM65" s="96"/>
      <c r="AN65" s="97">
        <f t="shared" si="25"/>
        <v>0</v>
      </c>
      <c r="AO65" s="97">
        <f t="shared" si="26"/>
        <v>0</v>
      </c>
      <c r="AP65" s="97">
        <f t="shared" si="27"/>
        <v>0</v>
      </c>
      <c r="AQ65" s="96"/>
      <c r="AR65" s="97">
        <f t="shared" si="28"/>
        <v>0</v>
      </c>
      <c r="AS65" s="97">
        <f t="shared" si="29"/>
        <v>0</v>
      </c>
      <c r="AT65" s="97">
        <f t="shared" si="30"/>
        <v>0</v>
      </c>
      <c r="AU65" s="96"/>
      <c r="AV65" s="97">
        <f t="shared" si="31"/>
        <v>0</v>
      </c>
      <c r="AW65" s="97">
        <f t="shared" si="32"/>
        <v>0</v>
      </c>
      <c r="AX65" s="97">
        <f t="shared" si="33"/>
        <v>0</v>
      </c>
      <c r="AY65" s="96"/>
      <c r="AZ65" s="65">
        <f t="shared" si="34"/>
        <v>0</v>
      </c>
      <c r="BA65" s="65">
        <f t="shared" si="35"/>
        <v>0</v>
      </c>
      <c r="BB65" s="65">
        <f t="shared" si="36"/>
        <v>0</v>
      </c>
      <c r="BC65" s="96"/>
      <c r="BD65" s="65">
        <f t="shared" si="37"/>
        <v>0</v>
      </c>
      <c r="BE65" s="65">
        <f t="shared" si="38"/>
        <v>0</v>
      </c>
      <c r="BF65" s="65">
        <f t="shared" si="39"/>
        <v>0</v>
      </c>
      <c r="BG65" s="96"/>
      <c r="BH65" s="65">
        <f t="shared" si="40"/>
        <v>0</v>
      </c>
      <c r="BI65" s="65">
        <f t="shared" si="41"/>
        <v>0</v>
      </c>
      <c r="BJ65" s="65">
        <f t="shared" si="42"/>
        <v>0</v>
      </c>
    </row>
    <row r="66" spans="1:62" x14ac:dyDescent="0.2">
      <c r="A66" s="71"/>
      <c r="B66" s="96" t="s">
        <v>52</v>
      </c>
      <c r="C66" s="96"/>
      <c r="D66" s="97">
        <f t="shared" si="0"/>
        <v>0</v>
      </c>
      <c r="E66" s="97">
        <f t="shared" si="43"/>
        <v>0</v>
      </c>
      <c r="F66" s="97">
        <f t="shared" si="44"/>
        <v>0</v>
      </c>
      <c r="G66" s="96"/>
      <c r="H66" s="97">
        <f t="shared" si="1"/>
        <v>0</v>
      </c>
      <c r="I66" s="97">
        <f t="shared" si="2"/>
        <v>0</v>
      </c>
      <c r="J66" s="97">
        <f t="shared" si="3"/>
        <v>0</v>
      </c>
      <c r="K66" s="96"/>
      <c r="L66" s="97">
        <f t="shared" si="4"/>
        <v>0</v>
      </c>
      <c r="M66" s="97">
        <f t="shared" si="5"/>
        <v>0</v>
      </c>
      <c r="N66" s="97">
        <f t="shared" si="6"/>
        <v>0</v>
      </c>
      <c r="O66" s="96"/>
      <c r="P66" s="97">
        <f t="shared" si="7"/>
        <v>0</v>
      </c>
      <c r="Q66" s="97">
        <f t="shared" si="8"/>
        <v>0</v>
      </c>
      <c r="R66" s="97">
        <f t="shared" si="9"/>
        <v>0</v>
      </c>
      <c r="S66" s="96"/>
      <c r="T66" s="97">
        <f t="shared" si="10"/>
        <v>0</v>
      </c>
      <c r="U66" s="97">
        <f t="shared" si="11"/>
        <v>0</v>
      </c>
      <c r="V66" s="97">
        <f t="shared" si="12"/>
        <v>0</v>
      </c>
      <c r="W66" s="96"/>
      <c r="X66" s="97">
        <f t="shared" si="13"/>
        <v>0</v>
      </c>
      <c r="Y66" s="97">
        <f t="shared" si="14"/>
        <v>0</v>
      </c>
      <c r="Z66" s="97">
        <f t="shared" si="15"/>
        <v>0</v>
      </c>
      <c r="AA66" s="96"/>
      <c r="AB66" s="97">
        <f t="shared" si="16"/>
        <v>0</v>
      </c>
      <c r="AC66" s="97">
        <f t="shared" si="17"/>
        <v>0</v>
      </c>
      <c r="AD66" s="97">
        <f t="shared" si="18"/>
        <v>0</v>
      </c>
      <c r="AE66" s="96"/>
      <c r="AF66" s="97">
        <f t="shared" si="19"/>
        <v>0</v>
      </c>
      <c r="AG66" s="97">
        <f t="shared" si="20"/>
        <v>0</v>
      </c>
      <c r="AH66" s="97">
        <f t="shared" si="21"/>
        <v>0</v>
      </c>
      <c r="AI66" s="96"/>
      <c r="AJ66" s="97">
        <f t="shared" si="22"/>
        <v>0</v>
      </c>
      <c r="AK66" s="97">
        <f t="shared" si="23"/>
        <v>0</v>
      </c>
      <c r="AL66" s="97">
        <f t="shared" si="24"/>
        <v>0</v>
      </c>
      <c r="AM66" s="96"/>
      <c r="AN66" s="97">
        <f t="shared" si="25"/>
        <v>0</v>
      </c>
      <c r="AO66" s="97">
        <f t="shared" si="26"/>
        <v>0</v>
      </c>
      <c r="AP66" s="97">
        <f t="shared" si="27"/>
        <v>0</v>
      </c>
      <c r="AQ66" s="96"/>
      <c r="AR66" s="97">
        <f t="shared" si="28"/>
        <v>0</v>
      </c>
      <c r="AS66" s="97">
        <f t="shared" si="29"/>
        <v>0</v>
      </c>
      <c r="AT66" s="97">
        <f t="shared" si="30"/>
        <v>0</v>
      </c>
      <c r="AU66" s="96"/>
      <c r="AV66" s="97">
        <f t="shared" si="31"/>
        <v>0</v>
      </c>
      <c r="AW66" s="97">
        <f t="shared" si="32"/>
        <v>0</v>
      </c>
      <c r="AX66" s="97">
        <f t="shared" si="33"/>
        <v>0</v>
      </c>
      <c r="AY66" s="96"/>
      <c r="AZ66" s="65">
        <f t="shared" si="34"/>
        <v>0</v>
      </c>
      <c r="BA66" s="65">
        <f t="shared" si="35"/>
        <v>0</v>
      </c>
      <c r="BB66" s="65">
        <f t="shared" si="36"/>
        <v>0</v>
      </c>
      <c r="BC66" s="96"/>
      <c r="BD66" s="65">
        <f t="shared" si="37"/>
        <v>0</v>
      </c>
      <c r="BE66" s="65">
        <f t="shared" si="38"/>
        <v>0</v>
      </c>
      <c r="BF66" s="65">
        <f t="shared" si="39"/>
        <v>0</v>
      </c>
      <c r="BG66" s="96"/>
      <c r="BH66" s="65">
        <f t="shared" si="40"/>
        <v>0</v>
      </c>
      <c r="BI66" s="65">
        <f t="shared" si="41"/>
        <v>0</v>
      </c>
      <c r="BJ66" s="65">
        <f t="shared" si="42"/>
        <v>0</v>
      </c>
    </row>
    <row r="67" spans="1:62" x14ac:dyDescent="0.2">
      <c r="A67" s="71"/>
      <c r="B67" s="96" t="s">
        <v>52</v>
      </c>
      <c r="C67" s="96"/>
      <c r="D67" s="97">
        <f t="shared" si="0"/>
        <v>0</v>
      </c>
      <c r="E67" s="97">
        <f t="shared" si="43"/>
        <v>0</v>
      </c>
      <c r="F67" s="97">
        <f t="shared" si="44"/>
        <v>0</v>
      </c>
      <c r="G67" s="96"/>
      <c r="H67" s="97">
        <f t="shared" si="1"/>
        <v>0</v>
      </c>
      <c r="I67" s="97">
        <f t="shared" si="2"/>
        <v>0</v>
      </c>
      <c r="J67" s="97">
        <f t="shared" si="3"/>
        <v>0</v>
      </c>
      <c r="K67" s="96"/>
      <c r="L67" s="97">
        <f t="shared" si="4"/>
        <v>0</v>
      </c>
      <c r="M67" s="97">
        <f t="shared" si="5"/>
        <v>0</v>
      </c>
      <c r="N67" s="97">
        <f t="shared" si="6"/>
        <v>0</v>
      </c>
      <c r="O67" s="96"/>
      <c r="P67" s="97">
        <f t="shared" si="7"/>
        <v>0</v>
      </c>
      <c r="Q67" s="97">
        <f t="shared" si="8"/>
        <v>0</v>
      </c>
      <c r="R67" s="97">
        <f t="shared" si="9"/>
        <v>0</v>
      </c>
      <c r="S67" s="96"/>
      <c r="T67" s="97">
        <f t="shared" si="10"/>
        <v>0</v>
      </c>
      <c r="U67" s="97">
        <f t="shared" si="11"/>
        <v>0</v>
      </c>
      <c r="V67" s="97">
        <f t="shared" si="12"/>
        <v>0</v>
      </c>
      <c r="W67" s="96"/>
      <c r="X67" s="97">
        <f t="shared" si="13"/>
        <v>0</v>
      </c>
      <c r="Y67" s="97">
        <f t="shared" si="14"/>
        <v>0</v>
      </c>
      <c r="Z67" s="97">
        <f t="shared" si="15"/>
        <v>0</v>
      </c>
      <c r="AA67" s="96"/>
      <c r="AB67" s="97">
        <f t="shared" si="16"/>
        <v>0</v>
      </c>
      <c r="AC67" s="97">
        <f t="shared" si="17"/>
        <v>0</v>
      </c>
      <c r="AD67" s="97">
        <f t="shared" si="18"/>
        <v>0</v>
      </c>
      <c r="AE67" s="96"/>
      <c r="AF67" s="97">
        <f t="shared" si="19"/>
        <v>0</v>
      </c>
      <c r="AG67" s="97">
        <f t="shared" si="20"/>
        <v>0</v>
      </c>
      <c r="AH67" s="97">
        <f t="shared" si="21"/>
        <v>0</v>
      </c>
      <c r="AI67" s="96"/>
      <c r="AJ67" s="97">
        <f t="shared" si="22"/>
        <v>0</v>
      </c>
      <c r="AK67" s="97">
        <f t="shared" si="23"/>
        <v>0</v>
      </c>
      <c r="AL67" s="97">
        <f t="shared" si="24"/>
        <v>0</v>
      </c>
      <c r="AM67" s="96"/>
      <c r="AN67" s="97">
        <f t="shared" si="25"/>
        <v>0</v>
      </c>
      <c r="AO67" s="97">
        <f t="shared" si="26"/>
        <v>0</v>
      </c>
      <c r="AP67" s="97">
        <f t="shared" si="27"/>
        <v>0</v>
      </c>
      <c r="AQ67" s="96"/>
      <c r="AR67" s="97">
        <f t="shared" si="28"/>
        <v>0</v>
      </c>
      <c r="AS67" s="97">
        <f t="shared" si="29"/>
        <v>0</v>
      </c>
      <c r="AT67" s="97">
        <f t="shared" si="30"/>
        <v>0</v>
      </c>
      <c r="AU67" s="96"/>
      <c r="AV67" s="97">
        <f t="shared" si="31"/>
        <v>0</v>
      </c>
      <c r="AW67" s="97">
        <f t="shared" si="32"/>
        <v>0</v>
      </c>
      <c r="AX67" s="97">
        <f t="shared" si="33"/>
        <v>0</v>
      </c>
      <c r="AY67" s="96"/>
      <c r="AZ67" s="65">
        <f t="shared" si="34"/>
        <v>0</v>
      </c>
      <c r="BA67" s="65">
        <f t="shared" si="35"/>
        <v>0</v>
      </c>
      <c r="BB67" s="65">
        <f t="shared" si="36"/>
        <v>0</v>
      </c>
      <c r="BC67" s="96"/>
      <c r="BD67" s="65">
        <f t="shared" si="37"/>
        <v>0</v>
      </c>
      <c r="BE67" s="65">
        <f t="shared" si="38"/>
        <v>0</v>
      </c>
      <c r="BF67" s="65">
        <f t="shared" si="39"/>
        <v>0</v>
      </c>
      <c r="BG67" s="96"/>
      <c r="BH67" s="65">
        <f t="shared" si="40"/>
        <v>0</v>
      </c>
      <c r="BI67" s="65">
        <f t="shared" si="41"/>
        <v>0</v>
      </c>
      <c r="BJ67" s="65">
        <f t="shared" si="42"/>
        <v>0</v>
      </c>
    </row>
    <row r="68" spans="1:62" x14ac:dyDescent="0.2">
      <c r="A68" s="71"/>
      <c r="B68" s="96" t="s">
        <v>52</v>
      </c>
      <c r="C68" s="96"/>
      <c r="D68" s="97">
        <f t="shared" si="0"/>
        <v>0</v>
      </c>
      <c r="E68" s="97">
        <f t="shared" si="43"/>
        <v>0</v>
      </c>
      <c r="F68" s="97">
        <f t="shared" si="44"/>
        <v>0</v>
      </c>
      <c r="G68" s="96"/>
      <c r="H68" s="97">
        <f t="shared" si="1"/>
        <v>0</v>
      </c>
      <c r="I68" s="97">
        <f t="shared" si="2"/>
        <v>0</v>
      </c>
      <c r="J68" s="97">
        <f t="shared" si="3"/>
        <v>0</v>
      </c>
      <c r="K68" s="96"/>
      <c r="L68" s="97">
        <f t="shared" si="4"/>
        <v>0</v>
      </c>
      <c r="M68" s="97">
        <f t="shared" si="5"/>
        <v>0</v>
      </c>
      <c r="N68" s="97">
        <f t="shared" si="6"/>
        <v>0</v>
      </c>
      <c r="O68" s="96"/>
      <c r="P68" s="97">
        <f t="shared" si="7"/>
        <v>0</v>
      </c>
      <c r="Q68" s="97">
        <f t="shared" si="8"/>
        <v>0</v>
      </c>
      <c r="R68" s="97">
        <f t="shared" si="9"/>
        <v>0</v>
      </c>
      <c r="S68" s="96"/>
      <c r="T68" s="97">
        <f t="shared" si="10"/>
        <v>0</v>
      </c>
      <c r="U68" s="97">
        <f t="shared" si="11"/>
        <v>0</v>
      </c>
      <c r="V68" s="97">
        <f t="shared" si="12"/>
        <v>0</v>
      </c>
      <c r="W68" s="96"/>
      <c r="X68" s="97">
        <f t="shared" si="13"/>
        <v>0</v>
      </c>
      <c r="Y68" s="97">
        <f t="shared" si="14"/>
        <v>0</v>
      </c>
      <c r="Z68" s="97">
        <f t="shared" si="15"/>
        <v>0</v>
      </c>
      <c r="AA68" s="96"/>
      <c r="AB68" s="97">
        <f t="shared" si="16"/>
        <v>0</v>
      </c>
      <c r="AC68" s="97">
        <f t="shared" si="17"/>
        <v>0</v>
      </c>
      <c r="AD68" s="97">
        <f t="shared" si="18"/>
        <v>0</v>
      </c>
      <c r="AE68" s="96"/>
      <c r="AF68" s="97">
        <f t="shared" si="19"/>
        <v>0</v>
      </c>
      <c r="AG68" s="97">
        <f t="shared" si="20"/>
        <v>0</v>
      </c>
      <c r="AH68" s="97">
        <f t="shared" si="21"/>
        <v>0</v>
      </c>
      <c r="AI68" s="96"/>
      <c r="AJ68" s="97">
        <f t="shared" si="22"/>
        <v>0</v>
      </c>
      <c r="AK68" s="97">
        <f t="shared" si="23"/>
        <v>0</v>
      </c>
      <c r="AL68" s="97">
        <f t="shared" si="24"/>
        <v>0</v>
      </c>
      <c r="AM68" s="96"/>
      <c r="AN68" s="97">
        <f t="shared" si="25"/>
        <v>0</v>
      </c>
      <c r="AO68" s="97">
        <f t="shared" si="26"/>
        <v>0</v>
      </c>
      <c r="AP68" s="97">
        <f t="shared" si="27"/>
        <v>0</v>
      </c>
      <c r="AQ68" s="96"/>
      <c r="AR68" s="97">
        <f t="shared" si="28"/>
        <v>0</v>
      </c>
      <c r="AS68" s="97">
        <f t="shared" si="29"/>
        <v>0</v>
      </c>
      <c r="AT68" s="97">
        <f t="shared" si="30"/>
        <v>0</v>
      </c>
      <c r="AU68" s="96"/>
      <c r="AV68" s="97">
        <f t="shared" si="31"/>
        <v>0</v>
      </c>
      <c r="AW68" s="97">
        <f t="shared" si="32"/>
        <v>0</v>
      </c>
      <c r="AX68" s="97">
        <f t="shared" si="33"/>
        <v>0</v>
      </c>
      <c r="AY68" s="96"/>
      <c r="AZ68" s="65">
        <f t="shared" si="34"/>
        <v>0</v>
      </c>
      <c r="BA68" s="65">
        <f t="shared" si="35"/>
        <v>0</v>
      </c>
      <c r="BB68" s="65">
        <f t="shared" si="36"/>
        <v>0</v>
      </c>
      <c r="BC68" s="96"/>
      <c r="BD68" s="65">
        <f t="shared" si="37"/>
        <v>0</v>
      </c>
      <c r="BE68" s="65">
        <f t="shared" si="38"/>
        <v>0</v>
      </c>
      <c r="BF68" s="65">
        <f t="shared" si="39"/>
        <v>0</v>
      </c>
      <c r="BG68" s="96"/>
      <c r="BH68" s="65">
        <f t="shared" si="40"/>
        <v>0</v>
      </c>
      <c r="BI68" s="65">
        <f t="shared" si="41"/>
        <v>0</v>
      </c>
      <c r="BJ68" s="65">
        <f t="shared" si="42"/>
        <v>0</v>
      </c>
    </row>
    <row r="69" spans="1:62" x14ac:dyDescent="0.2">
      <c r="A69" s="71"/>
      <c r="B69" s="96" t="s">
        <v>52</v>
      </c>
      <c r="C69" s="96"/>
      <c r="D69" s="97">
        <f t="shared" si="0"/>
        <v>0</v>
      </c>
      <c r="E69" s="97">
        <f t="shared" si="43"/>
        <v>0</v>
      </c>
      <c r="F69" s="97">
        <f t="shared" si="44"/>
        <v>0</v>
      </c>
      <c r="G69" s="96"/>
      <c r="H69" s="97">
        <f t="shared" si="1"/>
        <v>0</v>
      </c>
      <c r="I69" s="97">
        <f t="shared" si="2"/>
        <v>0</v>
      </c>
      <c r="J69" s="97">
        <f t="shared" si="3"/>
        <v>0</v>
      </c>
      <c r="K69" s="96"/>
      <c r="L69" s="97">
        <f t="shared" si="4"/>
        <v>0</v>
      </c>
      <c r="M69" s="97">
        <f t="shared" si="5"/>
        <v>0</v>
      </c>
      <c r="N69" s="97">
        <f t="shared" si="6"/>
        <v>0</v>
      </c>
      <c r="O69" s="96"/>
      <c r="P69" s="97">
        <f t="shared" si="7"/>
        <v>0</v>
      </c>
      <c r="Q69" s="97">
        <f t="shared" si="8"/>
        <v>0</v>
      </c>
      <c r="R69" s="97">
        <f t="shared" si="9"/>
        <v>0</v>
      </c>
      <c r="S69" s="96"/>
      <c r="T69" s="97">
        <f t="shared" si="10"/>
        <v>0</v>
      </c>
      <c r="U69" s="97">
        <f t="shared" si="11"/>
        <v>0</v>
      </c>
      <c r="V69" s="97">
        <f t="shared" si="12"/>
        <v>0</v>
      </c>
      <c r="W69" s="96"/>
      <c r="X69" s="97">
        <f t="shared" si="13"/>
        <v>0</v>
      </c>
      <c r="Y69" s="97">
        <f t="shared" si="14"/>
        <v>0</v>
      </c>
      <c r="Z69" s="97">
        <f t="shared" si="15"/>
        <v>0</v>
      </c>
      <c r="AA69" s="96"/>
      <c r="AB69" s="97">
        <f t="shared" si="16"/>
        <v>0</v>
      </c>
      <c r="AC69" s="97">
        <f t="shared" si="17"/>
        <v>0</v>
      </c>
      <c r="AD69" s="97">
        <f t="shared" si="18"/>
        <v>0</v>
      </c>
      <c r="AE69" s="96"/>
      <c r="AF69" s="97">
        <f t="shared" si="19"/>
        <v>0</v>
      </c>
      <c r="AG69" s="97">
        <f t="shared" si="20"/>
        <v>0</v>
      </c>
      <c r="AH69" s="97">
        <f t="shared" si="21"/>
        <v>0</v>
      </c>
      <c r="AI69" s="96"/>
      <c r="AJ69" s="97">
        <f t="shared" si="22"/>
        <v>0</v>
      </c>
      <c r="AK69" s="97">
        <f t="shared" si="23"/>
        <v>0</v>
      </c>
      <c r="AL69" s="97">
        <f t="shared" si="24"/>
        <v>0</v>
      </c>
      <c r="AM69" s="96"/>
      <c r="AN69" s="97">
        <f t="shared" si="25"/>
        <v>0</v>
      </c>
      <c r="AO69" s="97">
        <f t="shared" si="26"/>
        <v>0</v>
      </c>
      <c r="AP69" s="97">
        <f t="shared" si="27"/>
        <v>0</v>
      </c>
      <c r="AQ69" s="96"/>
      <c r="AR69" s="97">
        <f t="shared" si="28"/>
        <v>0</v>
      </c>
      <c r="AS69" s="97">
        <f t="shared" si="29"/>
        <v>0</v>
      </c>
      <c r="AT69" s="97">
        <f t="shared" si="30"/>
        <v>0</v>
      </c>
      <c r="AU69" s="96"/>
      <c r="AV69" s="97">
        <f t="shared" si="31"/>
        <v>0</v>
      </c>
      <c r="AW69" s="97">
        <f t="shared" si="32"/>
        <v>0</v>
      </c>
      <c r="AX69" s="97">
        <f t="shared" si="33"/>
        <v>0</v>
      </c>
      <c r="AY69" s="96"/>
      <c r="AZ69" s="65">
        <f t="shared" si="34"/>
        <v>0</v>
      </c>
      <c r="BA69" s="65">
        <f t="shared" si="35"/>
        <v>0</v>
      </c>
      <c r="BB69" s="65">
        <f t="shared" si="36"/>
        <v>0</v>
      </c>
      <c r="BC69" s="96"/>
      <c r="BD69" s="65">
        <f t="shared" si="37"/>
        <v>0</v>
      </c>
      <c r="BE69" s="65">
        <f t="shared" si="38"/>
        <v>0</v>
      </c>
      <c r="BF69" s="65">
        <f t="shared" si="39"/>
        <v>0</v>
      </c>
      <c r="BG69" s="96"/>
      <c r="BH69" s="65">
        <f t="shared" si="40"/>
        <v>0</v>
      </c>
      <c r="BI69" s="65">
        <f t="shared" si="41"/>
        <v>0</v>
      </c>
      <c r="BJ69" s="65">
        <f t="shared" si="42"/>
        <v>0</v>
      </c>
    </row>
    <row r="70" spans="1:62" x14ac:dyDescent="0.2">
      <c r="A70" s="71"/>
      <c r="B70" s="96" t="s">
        <v>52</v>
      </c>
      <c r="C70" s="96"/>
      <c r="D70" s="97">
        <f t="shared" si="0"/>
        <v>0</v>
      </c>
      <c r="E70" s="97">
        <f t="shared" si="43"/>
        <v>0</v>
      </c>
      <c r="F70" s="97">
        <f t="shared" si="44"/>
        <v>0</v>
      </c>
      <c r="G70" s="96"/>
      <c r="H70" s="97">
        <f t="shared" si="1"/>
        <v>0</v>
      </c>
      <c r="I70" s="97">
        <f t="shared" si="2"/>
        <v>0</v>
      </c>
      <c r="J70" s="97">
        <f t="shared" si="3"/>
        <v>0</v>
      </c>
      <c r="K70" s="96"/>
      <c r="L70" s="97">
        <f t="shared" si="4"/>
        <v>0</v>
      </c>
      <c r="M70" s="97">
        <f t="shared" si="5"/>
        <v>0</v>
      </c>
      <c r="N70" s="97">
        <f t="shared" si="6"/>
        <v>0</v>
      </c>
      <c r="O70" s="96"/>
      <c r="P70" s="97">
        <f t="shared" si="7"/>
        <v>0</v>
      </c>
      <c r="Q70" s="97">
        <f t="shared" si="8"/>
        <v>0</v>
      </c>
      <c r="R70" s="97">
        <f t="shared" si="9"/>
        <v>0</v>
      </c>
      <c r="S70" s="96"/>
      <c r="T70" s="97">
        <f t="shared" si="10"/>
        <v>0</v>
      </c>
      <c r="U70" s="97">
        <f t="shared" si="11"/>
        <v>0</v>
      </c>
      <c r="V70" s="97">
        <f t="shared" si="12"/>
        <v>0</v>
      </c>
      <c r="W70" s="96"/>
      <c r="X70" s="97">
        <f t="shared" si="13"/>
        <v>0</v>
      </c>
      <c r="Y70" s="97">
        <f t="shared" si="14"/>
        <v>0</v>
      </c>
      <c r="Z70" s="97">
        <f t="shared" si="15"/>
        <v>0</v>
      </c>
      <c r="AA70" s="96"/>
      <c r="AB70" s="97">
        <f t="shared" si="16"/>
        <v>0</v>
      </c>
      <c r="AC70" s="97">
        <f t="shared" si="17"/>
        <v>0</v>
      </c>
      <c r="AD70" s="97">
        <f t="shared" si="18"/>
        <v>0</v>
      </c>
      <c r="AE70" s="96"/>
      <c r="AF70" s="97">
        <f t="shared" si="19"/>
        <v>0</v>
      </c>
      <c r="AG70" s="97">
        <f t="shared" si="20"/>
        <v>0</v>
      </c>
      <c r="AH70" s="97">
        <f t="shared" si="21"/>
        <v>0</v>
      </c>
      <c r="AI70" s="96"/>
      <c r="AJ70" s="97">
        <f t="shared" si="22"/>
        <v>0</v>
      </c>
      <c r="AK70" s="97">
        <f t="shared" si="23"/>
        <v>0</v>
      </c>
      <c r="AL70" s="97">
        <f t="shared" si="24"/>
        <v>0</v>
      </c>
      <c r="AM70" s="96"/>
      <c r="AN70" s="97">
        <f t="shared" si="25"/>
        <v>0</v>
      </c>
      <c r="AO70" s="97">
        <f t="shared" si="26"/>
        <v>0</v>
      </c>
      <c r="AP70" s="97">
        <f t="shared" si="27"/>
        <v>0</v>
      </c>
      <c r="AQ70" s="96"/>
      <c r="AR70" s="97">
        <f t="shared" si="28"/>
        <v>0</v>
      </c>
      <c r="AS70" s="97">
        <f t="shared" si="29"/>
        <v>0</v>
      </c>
      <c r="AT70" s="97">
        <f t="shared" si="30"/>
        <v>0</v>
      </c>
      <c r="AU70" s="96"/>
      <c r="AV70" s="97">
        <f t="shared" si="31"/>
        <v>0</v>
      </c>
      <c r="AW70" s="97">
        <f t="shared" si="32"/>
        <v>0</v>
      </c>
      <c r="AX70" s="97">
        <f t="shared" si="33"/>
        <v>0</v>
      </c>
      <c r="AY70" s="96"/>
      <c r="AZ70" s="65">
        <f t="shared" si="34"/>
        <v>0</v>
      </c>
      <c r="BA70" s="65">
        <f t="shared" si="35"/>
        <v>0</v>
      </c>
      <c r="BB70" s="65">
        <f t="shared" si="36"/>
        <v>0</v>
      </c>
      <c r="BC70" s="96"/>
      <c r="BD70" s="65">
        <f t="shared" si="37"/>
        <v>0</v>
      </c>
      <c r="BE70" s="65">
        <f t="shared" si="38"/>
        <v>0</v>
      </c>
      <c r="BF70" s="65">
        <f t="shared" si="39"/>
        <v>0</v>
      </c>
      <c r="BG70" s="96"/>
      <c r="BH70" s="65">
        <f t="shared" si="40"/>
        <v>0</v>
      </c>
      <c r="BI70" s="65">
        <f t="shared" si="41"/>
        <v>0</v>
      </c>
      <c r="BJ70" s="65">
        <f t="shared" si="42"/>
        <v>0</v>
      </c>
    </row>
    <row r="71" spans="1:62" x14ac:dyDescent="0.2">
      <c r="A71" s="71"/>
      <c r="B71" s="96" t="s">
        <v>52</v>
      </c>
      <c r="C71" s="96"/>
      <c r="D71" s="97">
        <f t="shared" si="0"/>
        <v>0</v>
      </c>
      <c r="E71" s="97">
        <f t="shared" si="43"/>
        <v>0</v>
      </c>
      <c r="F71" s="97">
        <f t="shared" si="44"/>
        <v>0</v>
      </c>
      <c r="G71" s="96"/>
      <c r="H71" s="97">
        <f t="shared" si="1"/>
        <v>0</v>
      </c>
      <c r="I71" s="97">
        <f t="shared" si="2"/>
        <v>0</v>
      </c>
      <c r="J71" s="97">
        <f t="shared" si="3"/>
        <v>0</v>
      </c>
      <c r="K71" s="96"/>
      <c r="L71" s="97">
        <f t="shared" si="4"/>
        <v>0</v>
      </c>
      <c r="M71" s="97">
        <f t="shared" si="5"/>
        <v>0</v>
      </c>
      <c r="N71" s="97">
        <f t="shared" si="6"/>
        <v>0</v>
      </c>
      <c r="O71" s="96"/>
      <c r="P71" s="97">
        <f t="shared" si="7"/>
        <v>0</v>
      </c>
      <c r="Q71" s="97">
        <f t="shared" si="8"/>
        <v>0</v>
      </c>
      <c r="R71" s="97">
        <f t="shared" si="9"/>
        <v>0</v>
      </c>
      <c r="S71" s="96"/>
      <c r="T71" s="97">
        <f t="shared" si="10"/>
        <v>0</v>
      </c>
      <c r="U71" s="97">
        <f t="shared" si="11"/>
        <v>0</v>
      </c>
      <c r="V71" s="97">
        <f t="shared" si="12"/>
        <v>0</v>
      </c>
      <c r="W71" s="96"/>
      <c r="X71" s="97">
        <f t="shared" si="13"/>
        <v>0</v>
      </c>
      <c r="Y71" s="97">
        <f t="shared" si="14"/>
        <v>0</v>
      </c>
      <c r="Z71" s="97">
        <f t="shared" si="15"/>
        <v>0</v>
      </c>
      <c r="AA71" s="96"/>
      <c r="AB71" s="97">
        <f t="shared" si="16"/>
        <v>0</v>
      </c>
      <c r="AC71" s="97">
        <f t="shared" si="17"/>
        <v>0</v>
      </c>
      <c r="AD71" s="97">
        <f t="shared" si="18"/>
        <v>0</v>
      </c>
      <c r="AE71" s="96"/>
      <c r="AF71" s="97">
        <f t="shared" si="19"/>
        <v>0</v>
      </c>
      <c r="AG71" s="97">
        <f t="shared" si="20"/>
        <v>0</v>
      </c>
      <c r="AH71" s="97">
        <f t="shared" si="21"/>
        <v>0</v>
      </c>
      <c r="AI71" s="96"/>
      <c r="AJ71" s="97">
        <f t="shared" si="22"/>
        <v>0</v>
      </c>
      <c r="AK71" s="97">
        <f t="shared" si="23"/>
        <v>0</v>
      </c>
      <c r="AL71" s="97">
        <f t="shared" si="24"/>
        <v>0</v>
      </c>
      <c r="AM71" s="96"/>
      <c r="AN71" s="97">
        <f t="shared" si="25"/>
        <v>0</v>
      </c>
      <c r="AO71" s="97">
        <f t="shared" si="26"/>
        <v>0</v>
      </c>
      <c r="AP71" s="97">
        <f t="shared" si="27"/>
        <v>0</v>
      </c>
      <c r="AQ71" s="96"/>
      <c r="AR71" s="97">
        <f t="shared" si="28"/>
        <v>0</v>
      </c>
      <c r="AS71" s="97">
        <f t="shared" si="29"/>
        <v>0</v>
      </c>
      <c r="AT71" s="97">
        <f t="shared" si="30"/>
        <v>0</v>
      </c>
      <c r="AU71" s="96"/>
      <c r="AV71" s="97">
        <f t="shared" si="31"/>
        <v>0</v>
      </c>
      <c r="AW71" s="97">
        <f t="shared" si="32"/>
        <v>0</v>
      </c>
      <c r="AX71" s="97">
        <f t="shared" si="33"/>
        <v>0</v>
      </c>
      <c r="AY71" s="96"/>
      <c r="AZ71" s="65">
        <f t="shared" si="34"/>
        <v>0</v>
      </c>
      <c r="BA71" s="65">
        <f t="shared" si="35"/>
        <v>0</v>
      </c>
      <c r="BB71" s="65">
        <f t="shared" si="36"/>
        <v>0</v>
      </c>
      <c r="BC71" s="96"/>
      <c r="BD71" s="65">
        <f t="shared" si="37"/>
        <v>0</v>
      </c>
      <c r="BE71" s="65">
        <f t="shared" si="38"/>
        <v>0</v>
      </c>
      <c r="BF71" s="65">
        <f t="shared" si="39"/>
        <v>0</v>
      </c>
      <c r="BG71" s="96"/>
      <c r="BH71" s="65">
        <f t="shared" si="40"/>
        <v>0</v>
      </c>
      <c r="BI71" s="65">
        <f t="shared" si="41"/>
        <v>0</v>
      </c>
      <c r="BJ71" s="65">
        <f t="shared" si="42"/>
        <v>0</v>
      </c>
    </row>
    <row r="72" spans="1:62" x14ac:dyDescent="0.2">
      <c r="A72" s="71"/>
      <c r="B72" s="96" t="s">
        <v>52</v>
      </c>
      <c r="C72" s="96"/>
      <c r="D72" s="97">
        <f t="shared" si="0"/>
        <v>0</v>
      </c>
      <c r="E72" s="97">
        <f t="shared" si="43"/>
        <v>0</v>
      </c>
      <c r="F72" s="97">
        <f t="shared" si="44"/>
        <v>0</v>
      </c>
      <c r="G72" s="96"/>
      <c r="H72" s="97">
        <f t="shared" si="1"/>
        <v>0</v>
      </c>
      <c r="I72" s="97">
        <f t="shared" si="2"/>
        <v>0</v>
      </c>
      <c r="J72" s="97">
        <f t="shared" si="3"/>
        <v>0</v>
      </c>
      <c r="K72" s="96"/>
      <c r="L72" s="97">
        <f t="shared" si="4"/>
        <v>0</v>
      </c>
      <c r="M72" s="97">
        <f t="shared" si="5"/>
        <v>0</v>
      </c>
      <c r="N72" s="97">
        <f t="shared" si="6"/>
        <v>0</v>
      </c>
      <c r="O72" s="96"/>
      <c r="P72" s="97">
        <f t="shared" si="7"/>
        <v>0</v>
      </c>
      <c r="Q72" s="97">
        <f t="shared" si="8"/>
        <v>0</v>
      </c>
      <c r="R72" s="97">
        <f t="shared" si="9"/>
        <v>0</v>
      </c>
      <c r="S72" s="96"/>
      <c r="T72" s="97">
        <f t="shared" si="10"/>
        <v>0</v>
      </c>
      <c r="U72" s="97">
        <f t="shared" si="11"/>
        <v>0</v>
      </c>
      <c r="V72" s="97">
        <f t="shared" si="12"/>
        <v>0</v>
      </c>
      <c r="W72" s="96"/>
      <c r="X72" s="97">
        <f t="shared" si="13"/>
        <v>0</v>
      </c>
      <c r="Y72" s="97">
        <f t="shared" si="14"/>
        <v>0</v>
      </c>
      <c r="Z72" s="97">
        <f t="shared" si="15"/>
        <v>0</v>
      </c>
      <c r="AA72" s="96"/>
      <c r="AB72" s="97">
        <f t="shared" si="16"/>
        <v>0</v>
      </c>
      <c r="AC72" s="97">
        <f t="shared" si="17"/>
        <v>0</v>
      </c>
      <c r="AD72" s="97">
        <f t="shared" si="18"/>
        <v>0</v>
      </c>
      <c r="AE72" s="96"/>
      <c r="AF72" s="97">
        <f t="shared" si="19"/>
        <v>0</v>
      </c>
      <c r="AG72" s="97">
        <f t="shared" si="20"/>
        <v>0</v>
      </c>
      <c r="AH72" s="97">
        <f t="shared" si="21"/>
        <v>0</v>
      </c>
      <c r="AI72" s="96"/>
      <c r="AJ72" s="97">
        <f t="shared" si="22"/>
        <v>0</v>
      </c>
      <c r="AK72" s="97">
        <f t="shared" si="23"/>
        <v>0</v>
      </c>
      <c r="AL72" s="97">
        <f t="shared" si="24"/>
        <v>0</v>
      </c>
      <c r="AM72" s="96"/>
      <c r="AN72" s="97">
        <f t="shared" si="25"/>
        <v>0</v>
      </c>
      <c r="AO72" s="97">
        <f t="shared" si="26"/>
        <v>0</v>
      </c>
      <c r="AP72" s="97">
        <f t="shared" si="27"/>
        <v>0</v>
      </c>
      <c r="AQ72" s="96"/>
      <c r="AR72" s="97">
        <f t="shared" si="28"/>
        <v>0</v>
      </c>
      <c r="AS72" s="97">
        <f t="shared" si="29"/>
        <v>0</v>
      </c>
      <c r="AT72" s="97">
        <f t="shared" si="30"/>
        <v>0</v>
      </c>
      <c r="AU72" s="96"/>
      <c r="AV72" s="97">
        <f t="shared" si="31"/>
        <v>0</v>
      </c>
      <c r="AW72" s="97">
        <f t="shared" si="32"/>
        <v>0</v>
      </c>
      <c r="AX72" s="97">
        <f t="shared" si="33"/>
        <v>0</v>
      </c>
      <c r="AY72" s="96"/>
      <c r="AZ72" s="65">
        <f t="shared" si="34"/>
        <v>0</v>
      </c>
      <c r="BA72" s="65">
        <f t="shared" si="35"/>
        <v>0</v>
      </c>
      <c r="BB72" s="65">
        <f t="shared" si="36"/>
        <v>0</v>
      </c>
      <c r="BC72" s="96"/>
      <c r="BD72" s="65">
        <f t="shared" si="37"/>
        <v>0</v>
      </c>
      <c r="BE72" s="65">
        <f t="shared" si="38"/>
        <v>0</v>
      </c>
      <c r="BF72" s="65">
        <f t="shared" si="39"/>
        <v>0</v>
      </c>
      <c r="BG72" s="96"/>
      <c r="BH72" s="65">
        <f t="shared" si="40"/>
        <v>0</v>
      </c>
      <c r="BI72" s="65">
        <f t="shared" si="41"/>
        <v>0</v>
      </c>
      <c r="BJ72" s="65">
        <f t="shared" si="42"/>
        <v>0</v>
      </c>
    </row>
    <row r="73" spans="1:62" x14ac:dyDescent="0.2">
      <c r="A73" s="71"/>
      <c r="B73" s="96" t="s">
        <v>52</v>
      </c>
      <c r="C73" s="96"/>
      <c r="D73" s="97">
        <f t="shared" si="0"/>
        <v>0</v>
      </c>
      <c r="E73" s="97">
        <f t="shared" si="43"/>
        <v>0</v>
      </c>
      <c r="F73" s="97">
        <f t="shared" si="44"/>
        <v>0</v>
      </c>
      <c r="G73" s="96"/>
      <c r="H73" s="97">
        <f t="shared" si="1"/>
        <v>0</v>
      </c>
      <c r="I73" s="97">
        <f t="shared" si="2"/>
        <v>0</v>
      </c>
      <c r="J73" s="97">
        <f t="shared" si="3"/>
        <v>0</v>
      </c>
      <c r="K73" s="96"/>
      <c r="L73" s="97">
        <f t="shared" si="4"/>
        <v>0</v>
      </c>
      <c r="M73" s="97">
        <f t="shared" si="5"/>
        <v>0</v>
      </c>
      <c r="N73" s="97">
        <f t="shared" si="6"/>
        <v>0</v>
      </c>
      <c r="O73" s="96"/>
      <c r="P73" s="97">
        <f t="shared" si="7"/>
        <v>0</v>
      </c>
      <c r="Q73" s="97">
        <f t="shared" si="8"/>
        <v>0</v>
      </c>
      <c r="R73" s="97">
        <f t="shared" si="9"/>
        <v>0</v>
      </c>
      <c r="S73" s="96"/>
      <c r="T73" s="97">
        <f t="shared" si="10"/>
        <v>0</v>
      </c>
      <c r="U73" s="97">
        <f t="shared" si="11"/>
        <v>0</v>
      </c>
      <c r="V73" s="97">
        <f t="shared" si="12"/>
        <v>0</v>
      </c>
      <c r="W73" s="96"/>
      <c r="X73" s="97">
        <f t="shared" si="13"/>
        <v>0</v>
      </c>
      <c r="Y73" s="97">
        <f t="shared" si="14"/>
        <v>0</v>
      </c>
      <c r="Z73" s="97">
        <f t="shared" si="15"/>
        <v>0</v>
      </c>
      <c r="AA73" s="96"/>
      <c r="AB73" s="97">
        <f t="shared" si="16"/>
        <v>0</v>
      </c>
      <c r="AC73" s="97">
        <f t="shared" si="17"/>
        <v>0</v>
      </c>
      <c r="AD73" s="97">
        <f t="shared" si="18"/>
        <v>0</v>
      </c>
      <c r="AE73" s="96"/>
      <c r="AF73" s="97">
        <f t="shared" si="19"/>
        <v>0</v>
      </c>
      <c r="AG73" s="97">
        <f t="shared" si="20"/>
        <v>0</v>
      </c>
      <c r="AH73" s="97">
        <f t="shared" si="21"/>
        <v>0</v>
      </c>
      <c r="AI73" s="96"/>
      <c r="AJ73" s="97">
        <f t="shared" si="22"/>
        <v>0</v>
      </c>
      <c r="AK73" s="97">
        <f t="shared" si="23"/>
        <v>0</v>
      </c>
      <c r="AL73" s="97">
        <f t="shared" si="24"/>
        <v>0</v>
      </c>
      <c r="AM73" s="96"/>
      <c r="AN73" s="97">
        <f t="shared" si="25"/>
        <v>0</v>
      </c>
      <c r="AO73" s="97">
        <f t="shared" si="26"/>
        <v>0</v>
      </c>
      <c r="AP73" s="97">
        <f t="shared" si="27"/>
        <v>0</v>
      </c>
      <c r="AQ73" s="96"/>
      <c r="AR73" s="97">
        <f t="shared" si="28"/>
        <v>0</v>
      </c>
      <c r="AS73" s="97">
        <f t="shared" si="29"/>
        <v>0</v>
      </c>
      <c r="AT73" s="97">
        <f t="shared" si="30"/>
        <v>0</v>
      </c>
      <c r="AU73" s="96"/>
      <c r="AV73" s="97">
        <f t="shared" si="31"/>
        <v>0</v>
      </c>
      <c r="AW73" s="97">
        <f t="shared" si="32"/>
        <v>0</v>
      </c>
      <c r="AX73" s="97">
        <f t="shared" si="33"/>
        <v>0</v>
      </c>
      <c r="AY73" s="96"/>
      <c r="AZ73" s="65">
        <f t="shared" si="34"/>
        <v>0</v>
      </c>
      <c r="BA73" s="65">
        <f t="shared" si="35"/>
        <v>0</v>
      </c>
      <c r="BB73" s="65">
        <f t="shared" si="36"/>
        <v>0</v>
      </c>
      <c r="BC73" s="96"/>
      <c r="BD73" s="65">
        <f t="shared" si="37"/>
        <v>0</v>
      </c>
      <c r="BE73" s="65">
        <f t="shared" si="38"/>
        <v>0</v>
      </c>
      <c r="BF73" s="65">
        <f t="shared" si="39"/>
        <v>0</v>
      </c>
      <c r="BG73" s="96"/>
      <c r="BH73" s="65">
        <f t="shared" si="40"/>
        <v>0</v>
      </c>
      <c r="BI73" s="65">
        <f t="shared" si="41"/>
        <v>0</v>
      </c>
      <c r="BJ73" s="65">
        <f t="shared" si="42"/>
        <v>0</v>
      </c>
    </row>
    <row r="74" spans="1:62" x14ac:dyDescent="0.2">
      <c r="A74" s="71"/>
      <c r="B74" s="96" t="s">
        <v>52</v>
      </c>
      <c r="C74" s="96"/>
      <c r="D74" s="97">
        <f t="shared" si="0"/>
        <v>0</v>
      </c>
      <c r="E74" s="97">
        <f t="shared" si="43"/>
        <v>0</v>
      </c>
      <c r="F74" s="97">
        <f t="shared" si="44"/>
        <v>0</v>
      </c>
      <c r="G74" s="96"/>
      <c r="H74" s="97">
        <f t="shared" si="1"/>
        <v>0</v>
      </c>
      <c r="I74" s="97">
        <f t="shared" si="2"/>
        <v>0</v>
      </c>
      <c r="J74" s="97">
        <f t="shared" si="3"/>
        <v>0</v>
      </c>
      <c r="K74" s="96"/>
      <c r="L74" s="97">
        <f t="shared" si="4"/>
        <v>0</v>
      </c>
      <c r="M74" s="97">
        <f t="shared" si="5"/>
        <v>0</v>
      </c>
      <c r="N74" s="97">
        <f t="shared" si="6"/>
        <v>0</v>
      </c>
      <c r="O74" s="96"/>
      <c r="P74" s="97">
        <f t="shared" si="7"/>
        <v>0</v>
      </c>
      <c r="Q74" s="97">
        <f t="shared" si="8"/>
        <v>0</v>
      </c>
      <c r="R74" s="97">
        <f t="shared" si="9"/>
        <v>0</v>
      </c>
      <c r="S74" s="96"/>
      <c r="T74" s="97">
        <f t="shared" si="10"/>
        <v>0</v>
      </c>
      <c r="U74" s="97">
        <f t="shared" si="11"/>
        <v>0</v>
      </c>
      <c r="V74" s="97">
        <f t="shared" si="12"/>
        <v>0</v>
      </c>
      <c r="W74" s="96"/>
      <c r="X74" s="97">
        <f t="shared" si="13"/>
        <v>0</v>
      </c>
      <c r="Y74" s="97">
        <f t="shared" si="14"/>
        <v>0</v>
      </c>
      <c r="Z74" s="97">
        <f t="shared" si="15"/>
        <v>0</v>
      </c>
      <c r="AA74" s="96"/>
      <c r="AB74" s="97">
        <f t="shared" si="16"/>
        <v>0</v>
      </c>
      <c r="AC74" s="97">
        <f t="shared" si="17"/>
        <v>0</v>
      </c>
      <c r="AD74" s="97">
        <f t="shared" si="18"/>
        <v>0</v>
      </c>
      <c r="AE74" s="96"/>
      <c r="AF74" s="97">
        <f t="shared" si="19"/>
        <v>0</v>
      </c>
      <c r="AG74" s="97">
        <f t="shared" si="20"/>
        <v>0</v>
      </c>
      <c r="AH74" s="97">
        <f t="shared" si="21"/>
        <v>0</v>
      </c>
      <c r="AI74" s="96"/>
      <c r="AJ74" s="97">
        <f t="shared" si="22"/>
        <v>0</v>
      </c>
      <c r="AK74" s="97">
        <f t="shared" si="23"/>
        <v>0</v>
      </c>
      <c r="AL74" s="97">
        <f t="shared" si="24"/>
        <v>0</v>
      </c>
      <c r="AM74" s="96"/>
      <c r="AN74" s="97">
        <f t="shared" si="25"/>
        <v>0</v>
      </c>
      <c r="AO74" s="97">
        <f t="shared" si="26"/>
        <v>0</v>
      </c>
      <c r="AP74" s="97">
        <f t="shared" si="27"/>
        <v>0</v>
      </c>
      <c r="AQ74" s="96"/>
      <c r="AR74" s="97">
        <f t="shared" si="28"/>
        <v>0</v>
      </c>
      <c r="AS74" s="97">
        <f t="shared" si="29"/>
        <v>0</v>
      </c>
      <c r="AT74" s="97">
        <f t="shared" si="30"/>
        <v>0</v>
      </c>
      <c r="AU74" s="96"/>
      <c r="AV74" s="97">
        <f t="shared" si="31"/>
        <v>0</v>
      </c>
      <c r="AW74" s="97">
        <f t="shared" si="32"/>
        <v>0</v>
      </c>
      <c r="AX74" s="97">
        <f t="shared" si="33"/>
        <v>0</v>
      </c>
      <c r="AY74" s="96"/>
      <c r="AZ74" s="65">
        <f t="shared" si="34"/>
        <v>0</v>
      </c>
      <c r="BA74" s="65">
        <f t="shared" si="35"/>
        <v>0</v>
      </c>
      <c r="BB74" s="65">
        <f t="shared" si="36"/>
        <v>0</v>
      </c>
      <c r="BC74" s="96"/>
      <c r="BD74" s="65">
        <f t="shared" si="37"/>
        <v>0</v>
      </c>
      <c r="BE74" s="65">
        <f t="shared" si="38"/>
        <v>0</v>
      </c>
      <c r="BF74" s="65">
        <f t="shared" si="39"/>
        <v>0</v>
      </c>
      <c r="BG74" s="96"/>
      <c r="BH74" s="65">
        <f t="shared" si="40"/>
        <v>0</v>
      </c>
      <c r="BI74" s="65">
        <f t="shared" si="41"/>
        <v>0</v>
      </c>
      <c r="BJ74" s="65">
        <f t="shared" si="42"/>
        <v>0</v>
      </c>
    </row>
    <row r="75" spans="1:62" x14ac:dyDescent="0.2">
      <c r="A75" s="71"/>
      <c r="B75" s="96" t="s">
        <v>52</v>
      </c>
      <c r="C75" s="96"/>
      <c r="D75" s="97">
        <f t="shared" si="0"/>
        <v>0</v>
      </c>
      <c r="E75" s="97">
        <f t="shared" si="43"/>
        <v>0</v>
      </c>
      <c r="F75" s="97">
        <f t="shared" si="44"/>
        <v>0</v>
      </c>
      <c r="G75" s="96"/>
      <c r="H75" s="97">
        <f t="shared" si="1"/>
        <v>0</v>
      </c>
      <c r="I75" s="97">
        <f t="shared" si="2"/>
        <v>0</v>
      </c>
      <c r="J75" s="97">
        <f t="shared" si="3"/>
        <v>0</v>
      </c>
      <c r="K75" s="96"/>
      <c r="L75" s="97">
        <f t="shared" si="4"/>
        <v>0</v>
      </c>
      <c r="M75" s="97">
        <f t="shared" si="5"/>
        <v>0</v>
      </c>
      <c r="N75" s="97">
        <f t="shared" si="6"/>
        <v>0</v>
      </c>
      <c r="O75" s="96"/>
      <c r="P75" s="97">
        <f t="shared" si="7"/>
        <v>0</v>
      </c>
      <c r="Q75" s="97">
        <f t="shared" si="8"/>
        <v>0</v>
      </c>
      <c r="R75" s="97">
        <f t="shared" si="9"/>
        <v>0</v>
      </c>
      <c r="S75" s="96"/>
      <c r="T75" s="97">
        <f t="shared" si="10"/>
        <v>0</v>
      </c>
      <c r="U75" s="97">
        <f t="shared" si="11"/>
        <v>0</v>
      </c>
      <c r="V75" s="97">
        <f t="shared" si="12"/>
        <v>0</v>
      </c>
      <c r="W75" s="96"/>
      <c r="X75" s="97">
        <f t="shared" si="13"/>
        <v>0</v>
      </c>
      <c r="Y75" s="97">
        <f t="shared" si="14"/>
        <v>0</v>
      </c>
      <c r="Z75" s="97">
        <f t="shared" si="15"/>
        <v>0</v>
      </c>
      <c r="AA75" s="96"/>
      <c r="AB75" s="97">
        <f t="shared" si="16"/>
        <v>0</v>
      </c>
      <c r="AC75" s="97">
        <f t="shared" si="17"/>
        <v>0</v>
      </c>
      <c r="AD75" s="97">
        <f t="shared" si="18"/>
        <v>0</v>
      </c>
      <c r="AE75" s="96"/>
      <c r="AF75" s="97">
        <f t="shared" si="19"/>
        <v>0</v>
      </c>
      <c r="AG75" s="97">
        <f t="shared" si="20"/>
        <v>0</v>
      </c>
      <c r="AH75" s="97">
        <f t="shared" si="21"/>
        <v>0</v>
      </c>
      <c r="AI75" s="96"/>
      <c r="AJ75" s="97">
        <f t="shared" si="22"/>
        <v>0</v>
      </c>
      <c r="AK75" s="97">
        <f t="shared" si="23"/>
        <v>0</v>
      </c>
      <c r="AL75" s="97">
        <f t="shared" si="24"/>
        <v>0</v>
      </c>
      <c r="AM75" s="96"/>
      <c r="AN75" s="97">
        <f t="shared" si="25"/>
        <v>0</v>
      </c>
      <c r="AO75" s="97">
        <f t="shared" si="26"/>
        <v>0</v>
      </c>
      <c r="AP75" s="97">
        <f t="shared" si="27"/>
        <v>0</v>
      </c>
      <c r="AQ75" s="96"/>
      <c r="AR75" s="97">
        <f t="shared" si="28"/>
        <v>0</v>
      </c>
      <c r="AS75" s="97">
        <f t="shared" si="29"/>
        <v>0</v>
      </c>
      <c r="AT75" s="97">
        <f t="shared" si="30"/>
        <v>0</v>
      </c>
      <c r="AU75" s="96"/>
      <c r="AV75" s="97">
        <f t="shared" si="31"/>
        <v>0</v>
      </c>
      <c r="AW75" s="97">
        <f t="shared" si="32"/>
        <v>0</v>
      </c>
      <c r="AX75" s="97">
        <f t="shared" si="33"/>
        <v>0</v>
      </c>
      <c r="AY75" s="96"/>
      <c r="AZ75" s="65">
        <f t="shared" si="34"/>
        <v>0</v>
      </c>
      <c r="BA75" s="65">
        <f t="shared" si="35"/>
        <v>0</v>
      </c>
      <c r="BB75" s="65">
        <f t="shared" si="36"/>
        <v>0</v>
      </c>
      <c r="BC75" s="96"/>
      <c r="BD75" s="65">
        <f t="shared" si="37"/>
        <v>0</v>
      </c>
      <c r="BE75" s="65">
        <f t="shared" si="38"/>
        <v>0</v>
      </c>
      <c r="BF75" s="65">
        <f t="shared" si="39"/>
        <v>0</v>
      </c>
      <c r="BG75" s="96"/>
      <c r="BH75" s="65">
        <f t="shared" si="40"/>
        <v>0</v>
      </c>
      <c r="BI75" s="65">
        <f t="shared" si="41"/>
        <v>0</v>
      </c>
      <c r="BJ75" s="65">
        <f t="shared" si="42"/>
        <v>0</v>
      </c>
    </row>
    <row r="76" spans="1:62" x14ac:dyDescent="0.2">
      <c r="A76" s="71"/>
      <c r="B76" s="96" t="s">
        <v>52</v>
      </c>
      <c r="C76" s="96"/>
      <c r="D76" s="97">
        <f t="shared" si="0"/>
        <v>0</v>
      </c>
      <c r="E76" s="97">
        <f t="shared" si="43"/>
        <v>0</v>
      </c>
      <c r="F76" s="97">
        <f t="shared" si="44"/>
        <v>0</v>
      </c>
      <c r="G76" s="96"/>
      <c r="H76" s="97">
        <f t="shared" si="1"/>
        <v>0</v>
      </c>
      <c r="I76" s="97">
        <f t="shared" si="2"/>
        <v>0</v>
      </c>
      <c r="J76" s="97">
        <f t="shared" si="3"/>
        <v>0</v>
      </c>
      <c r="K76" s="96"/>
      <c r="L76" s="97">
        <f t="shared" si="4"/>
        <v>0</v>
      </c>
      <c r="M76" s="97">
        <f t="shared" si="5"/>
        <v>0</v>
      </c>
      <c r="N76" s="97">
        <f t="shared" si="6"/>
        <v>0</v>
      </c>
      <c r="O76" s="96"/>
      <c r="P76" s="97">
        <f t="shared" si="7"/>
        <v>0</v>
      </c>
      <c r="Q76" s="97">
        <f t="shared" si="8"/>
        <v>0</v>
      </c>
      <c r="R76" s="97">
        <f t="shared" si="9"/>
        <v>0</v>
      </c>
      <c r="S76" s="96"/>
      <c r="T76" s="97">
        <f t="shared" si="10"/>
        <v>0</v>
      </c>
      <c r="U76" s="97">
        <f t="shared" si="11"/>
        <v>0</v>
      </c>
      <c r="V76" s="97">
        <f t="shared" si="12"/>
        <v>0</v>
      </c>
      <c r="W76" s="96"/>
      <c r="X76" s="97">
        <f t="shared" si="13"/>
        <v>0</v>
      </c>
      <c r="Y76" s="97">
        <f t="shared" si="14"/>
        <v>0</v>
      </c>
      <c r="Z76" s="97">
        <f t="shared" si="15"/>
        <v>0</v>
      </c>
      <c r="AA76" s="96"/>
      <c r="AB76" s="97">
        <f t="shared" si="16"/>
        <v>0</v>
      </c>
      <c r="AC76" s="97">
        <f t="shared" si="17"/>
        <v>0</v>
      </c>
      <c r="AD76" s="97">
        <f t="shared" si="18"/>
        <v>0</v>
      </c>
      <c r="AE76" s="96"/>
      <c r="AF76" s="97">
        <f t="shared" si="19"/>
        <v>0</v>
      </c>
      <c r="AG76" s="97">
        <f t="shared" si="20"/>
        <v>0</v>
      </c>
      <c r="AH76" s="97">
        <f t="shared" si="21"/>
        <v>0</v>
      </c>
      <c r="AI76" s="96"/>
      <c r="AJ76" s="97">
        <f t="shared" si="22"/>
        <v>0</v>
      </c>
      <c r="AK76" s="97">
        <f t="shared" si="23"/>
        <v>0</v>
      </c>
      <c r="AL76" s="97">
        <f t="shared" si="24"/>
        <v>0</v>
      </c>
      <c r="AM76" s="96"/>
      <c r="AN76" s="97">
        <f t="shared" si="25"/>
        <v>0</v>
      </c>
      <c r="AO76" s="97">
        <f t="shared" si="26"/>
        <v>0</v>
      </c>
      <c r="AP76" s="97">
        <f t="shared" si="27"/>
        <v>0</v>
      </c>
      <c r="AQ76" s="96"/>
      <c r="AR76" s="97">
        <f t="shared" si="28"/>
        <v>0</v>
      </c>
      <c r="AS76" s="97">
        <f t="shared" si="29"/>
        <v>0</v>
      </c>
      <c r="AT76" s="97">
        <f t="shared" si="30"/>
        <v>0</v>
      </c>
      <c r="AU76" s="96"/>
      <c r="AV76" s="97">
        <f t="shared" si="31"/>
        <v>0</v>
      </c>
      <c r="AW76" s="97">
        <f t="shared" si="32"/>
        <v>0</v>
      </c>
      <c r="AX76" s="97">
        <f t="shared" si="33"/>
        <v>0</v>
      </c>
      <c r="AY76" s="96"/>
      <c r="AZ76" s="65">
        <f t="shared" si="34"/>
        <v>0</v>
      </c>
      <c r="BA76" s="65">
        <f t="shared" si="35"/>
        <v>0</v>
      </c>
      <c r="BB76" s="65">
        <f t="shared" si="36"/>
        <v>0</v>
      </c>
      <c r="BC76" s="96"/>
      <c r="BD76" s="65">
        <f t="shared" si="37"/>
        <v>0</v>
      </c>
      <c r="BE76" s="65">
        <f t="shared" si="38"/>
        <v>0</v>
      </c>
      <c r="BF76" s="65">
        <f t="shared" si="39"/>
        <v>0</v>
      </c>
      <c r="BG76" s="96"/>
      <c r="BH76" s="65">
        <f t="shared" si="40"/>
        <v>0</v>
      </c>
      <c r="BI76" s="65">
        <f t="shared" si="41"/>
        <v>0</v>
      </c>
      <c r="BJ76" s="65">
        <f t="shared" si="42"/>
        <v>0</v>
      </c>
    </row>
    <row r="77" spans="1:62" x14ac:dyDescent="0.2">
      <c r="A77" s="71"/>
      <c r="B77" s="96" t="s">
        <v>52</v>
      </c>
      <c r="C77" s="96"/>
      <c r="D77" s="97">
        <f t="shared" si="0"/>
        <v>0</v>
      </c>
      <c r="E77" s="97">
        <f t="shared" si="43"/>
        <v>0</v>
      </c>
      <c r="F77" s="97">
        <f t="shared" si="44"/>
        <v>0</v>
      </c>
      <c r="G77" s="96"/>
      <c r="H77" s="97">
        <f t="shared" si="1"/>
        <v>0</v>
      </c>
      <c r="I77" s="97">
        <f t="shared" si="2"/>
        <v>0</v>
      </c>
      <c r="J77" s="97">
        <f t="shared" si="3"/>
        <v>0</v>
      </c>
      <c r="K77" s="96"/>
      <c r="L77" s="97">
        <f t="shared" si="4"/>
        <v>0</v>
      </c>
      <c r="M77" s="97">
        <f t="shared" si="5"/>
        <v>0</v>
      </c>
      <c r="N77" s="97">
        <f t="shared" si="6"/>
        <v>0</v>
      </c>
      <c r="O77" s="96"/>
      <c r="P77" s="97">
        <f t="shared" si="7"/>
        <v>0</v>
      </c>
      <c r="Q77" s="97">
        <f t="shared" si="8"/>
        <v>0</v>
      </c>
      <c r="R77" s="97">
        <f t="shared" si="9"/>
        <v>0</v>
      </c>
      <c r="S77" s="96"/>
      <c r="T77" s="97">
        <f t="shared" si="10"/>
        <v>0</v>
      </c>
      <c r="U77" s="97">
        <f t="shared" si="11"/>
        <v>0</v>
      </c>
      <c r="V77" s="97">
        <f t="shared" si="12"/>
        <v>0</v>
      </c>
      <c r="W77" s="96"/>
      <c r="X77" s="97">
        <f t="shared" si="13"/>
        <v>0</v>
      </c>
      <c r="Y77" s="97">
        <f t="shared" si="14"/>
        <v>0</v>
      </c>
      <c r="Z77" s="97">
        <f t="shared" si="15"/>
        <v>0</v>
      </c>
      <c r="AA77" s="96"/>
      <c r="AB77" s="97">
        <f t="shared" si="16"/>
        <v>0</v>
      </c>
      <c r="AC77" s="97">
        <f t="shared" si="17"/>
        <v>0</v>
      </c>
      <c r="AD77" s="97">
        <f t="shared" si="18"/>
        <v>0</v>
      </c>
      <c r="AE77" s="96"/>
      <c r="AF77" s="97">
        <f t="shared" si="19"/>
        <v>0</v>
      </c>
      <c r="AG77" s="97">
        <f t="shared" si="20"/>
        <v>0</v>
      </c>
      <c r="AH77" s="97">
        <f t="shared" si="21"/>
        <v>0</v>
      </c>
      <c r="AI77" s="96"/>
      <c r="AJ77" s="97">
        <f t="shared" si="22"/>
        <v>0</v>
      </c>
      <c r="AK77" s="97">
        <f t="shared" si="23"/>
        <v>0</v>
      </c>
      <c r="AL77" s="97">
        <f t="shared" si="24"/>
        <v>0</v>
      </c>
      <c r="AM77" s="96"/>
      <c r="AN77" s="97">
        <f t="shared" si="25"/>
        <v>0</v>
      </c>
      <c r="AO77" s="97">
        <f t="shared" si="26"/>
        <v>0</v>
      </c>
      <c r="AP77" s="97">
        <f t="shared" si="27"/>
        <v>0</v>
      </c>
      <c r="AQ77" s="96"/>
      <c r="AR77" s="97">
        <f t="shared" si="28"/>
        <v>0</v>
      </c>
      <c r="AS77" s="97">
        <f t="shared" si="29"/>
        <v>0</v>
      </c>
      <c r="AT77" s="97">
        <f t="shared" si="30"/>
        <v>0</v>
      </c>
      <c r="AU77" s="96"/>
      <c r="AV77" s="97">
        <f t="shared" si="31"/>
        <v>0</v>
      </c>
      <c r="AW77" s="97">
        <f t="shared" si="32"/>
        <v>0</v>
      </c>
      <c r="AX77" s="97">
        <f t="shared" si="33"/>
        <v>0</v>
      </c>
      <c r="AY77" s="96"/>
      <c r="AZ77" s="65">
        <f t="shared" si="34"/>
        <v>0</v>
      </c>
      <c r="BA77" s="65">
        <f t="shared" si="35"/>
        <v>0</v>
      </c>
      <c r="BB77" s="65">
        <f t="shared" si="36"/>
        <v>0</v>
      </c>
      <c r="BC77" s="96"/>
      <c r="BD77" s="65">
        <f t="shared" si="37"/>
        <v>0</v>
      </c>
      <c r="BE77" s="65">
        <f t="shared" si="38"/>
        <v>0</v>
      </c>
      <c r="BF77" s="65">
        <f t="shared" si="39"/>
        <v>0</v>
      </c>
      <c r="BG77" s="96"/>
      <c r="BH77" s="65">
        <f t="shared" si="40"/>
        <v>0</v>
      </c>
      <c r="BI77" s="65">
        <f t="shared" si="41"/>
        <v>0</v>
      </c>
      <c r="BJ77" s="65">
        <f t="shared" si="42"/>
        <v>0</v>
      </c>
    </row>
    <row r="78" spans="1:62" x14ac:dyDescent="0.2">
      <c r="A78" s="71"/>
      <c r="B78" s="96" t="s">
        <v>52</v>
      </c>
      <c r="C78" s="96"/>
      <c r="D78" s="97">
        <f t="shared" si="0"/>
        <v>0</v>
      </c>
      <c r="E78" s="97">
        <f t="shared" si="43"/>
        <v>0</v>
      </c>
      <c r="F78" s="97">
        <f t="shared" si="44"/>
        <v>0</v>
      </c>
      <c r="G78" s="96"/>
      <c r="H78" s="97">
        <f t="shared" si="1"/>
        <v>0</v>
      </c>
      <c r="I78" s="97">
        <f t="shared" si="2"/>
        <v>0</v>
      </c>
      <c r="J78" s="97">
        <f t="shared" si="3"/>
        <v>0</v>
      </c>
      <c r="K78" s="96"/>
      <c r="L78" s="97">
        <f t="shared" si="4"/>
        <v>0</v>
      </c>
      <c r="M78" s="97">
        <f t="shared" si="5"/>
        <v>0</v>
      </c>
      <c r="N78" s="97">
        <f t="shared" si="6"/>
        <v>0</v>
      </c>
      <c r="O78" s="96"/>
      <c r="P78" s="97">
        <f t="shared" si="7"/>
        <v>0</v>
      </c>
      <c r="Q78" s="97">
        <f t="shared" si="8"/>
        <v>0</v>
      </c>
      <c r="R78" s="97">
        <f t="shared" si="9"/>
        <v>0</v>
      </c>
      <c r="S78" s="96"/>
      <c r="T78" s="97">
        <f t="shared" si="10"/>
        <v>0</v>
      </c>
      <c r="U78" s="97">
        <f t="shared" si="11"/>
        <v>0</v>
      </c>
      <c r="V78" s="97">
        <f t="shared" si="12"/>
        <v>0</v>
      </c>
      <c r="W78" s="96"/>
      <c r="X78" s="97">
        <f t="shared" si="13"/>
        <v>0</v>
      </c>
      <c r="Y78" s="97">
        <f t="shared" si="14"/>
        <v>0</v>
      </c>
      <c r="Z78" s="97">
        <f t="shared" si="15"/>
        <v>0</v>
      </c>
      <c r="AA78" s="96"/>
      <c r="AB78" s="97">
        <f t="shared" si="16"/>
        <v>0</v>
      </c>
      <c r="AC78" s="97">
        <f t="shared" si="17"/>
        <v>0</v>
      </c>
      <c r="AD78" s="97">
        <f t="shared" si="18"/>
        <v>0</v>
      </c>
      <c r="AE78" s="96"/>
      <c r="AF78" s="97">
        <f t="shared" si="19"/>
        <v>0</v>
      </c>
      <c r="AG78" s="97">
        <f t="shared" si="20"/>
        <v>0</v>
      </c>
      <c r="AH78" s="97">
        <f t="shared" si="21"/>
        <v>0</v>
      </c>
      <c r="AI78" s="96"/>
      <c r="AJ78" s="97">
        <f t="shared" si="22"/>
        <v>0</v>
      </c>
      <c r="AK78" s="97">
        <f t="shared" si="23"/>
        <v>0</v>
      </c>
      <c r="AL78" s="97">
        <f t="shared" si="24"/>
        <v>0</v>
      </c>
      <c r="AM78" s="96"/>
      <c r="AN78" s="97">
        <f t="shared" si="25"/>
        <v>0</v>
      </c>
      <c r="AO78" s="97">
        <f t="shared" si="26"/>
        <v>0</v>
      </c>
      <c r="AP78" s="97">
        <f t="shared" si="27"/>
        <v>0</v>
      </c>
      <c r="AQ78" s="96"/>
      <c r="AR78" s="97">
        <f t="shared" si="28"/>
        <v>0</v>
      </c>
      <c r="AS78" s="97">
        <f t="shared" si="29"/>
        <v>0</v>
      </c>
      <c r="AT78" s="97">
        <f t="shared" si="30"/>
        <v>0</v>
      </c>
      <c r="AU78" s="96"/>
      <c r="AV78" s="97">
        <f t="shared" si="31"/>
        <v>0</v>
      </c>
      <c r="AW78" s="97">
        <f t="shared" si="32"/>
        <v>0</v>
      </c>
      <c r="AX78" s="97">
        <f t="shared" si="33"/>
        <v>0</v>
      </c>
      <c r="AY78" s="96"/>
      <c r="AZ78" s="65">
        <f t="shared" si="34"/>
        <v>0</v>
      </c>
      <c r="BA78" s="65">
        <f t="shared" si="35"/>
        <v>0</v>
      </c>
      <c r="BB78" s="65">
        <f t="shared" si="36"/>
        <v>0</v>
      </c>
      <c r="BC78" s="96"/>
      <c r="BD78" s="65">
        <f t="shared" si="37"/>
        <v>0</v>
      </c>
      <c r="BE78" s="65">
        <f t="shared" si="38"/>
        <v>0</v>
      </c>
      <c r="BF78" s="65">
        <f t="shared" si="39"/>
        <v>0</v>
      </c>
      <c r="BG78" s="96"/>
      <c r="BH78" s="65">
        <f t="shared" si="40"/>
        <v>0</v>
      </c>
      <c r="BI78" s="65">
        <f t="shared" si="41"/>
        <v>0</v>
      </c>
      <c r="BJ78" s="65">
        <f t="shared" si="42"/>
        <v>0</v>
      </c>
    </row>
    <row r="79" spans="1:62" x14ac:dyDescent="0.2"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BC79" s="75"/>
      <c r="BG79" s="75"/>
    </row>
    <row r="80" spans="1:62" x14ac:dyDescent="0.2"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  <c r="BC80" s="75"/>
      <c r="BG80" s="75"/>
    </row>
    <row r="81" spans="2:59" x14ac:dyDescent="0.2"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BC81" s="75"/>
      <c r="BG81" s="75"/>
    </row>
    <row r="82" spans="2:59" x14ac:dyDescent="0.2"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  <c r="BC82" s="75"/>
      <c r="BG82" s="75"/>
    </row>
    <row r="83" spans="2:59" x14ac:dyDescent="0.2"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75"/>
      <c r="BC83" s="75"/>
      <c r="BG83" s="75"/>
    </row>
    <row r="84" spans="2:59" x14ac:dyDescent="0.2">
      <c r="B84" s="75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BC84" s="75"/>
      <c r="BG84" s="75"/>
    </row>
  </sheetData>
  <sheetProtection password="D974" sheet="1" objects="1" scenarios="1"/>
  <pageMargins left="0.511811024" right="0.511811024" top="0.78740157499999996" bottom="0.78740157499999996" header="0.31496062000000002" footer="0.31496062000000002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Complexidade!$A$1:$A$3</xm:f>
          </x14:formula1>
          <xm:sqref>B20:B78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 enableFormatConditionsCalculation="0">
    <tabColor theme="7" tint="-0.249977111117893"/>
  </sheetPr>
  <dimension ref="A1:BB82"/>
  <sheetViews>
    <sheetView zoomScale="125" zoomScaleNormal="125" zoomScalePageLayoutView="125" workbookViewId="0">
      <selection activeCell="B18" sqref="B18"/>
    </sheetView>
  </sheetViews>
  <sheetFormatPr baseColWidth="10" defaultColWidth="8.83203125" defaultRowHeight="15" x14ac:dyDescent="0.2"/>
  <cols>
    <col min="1" max="1" width="60.1640625" customWidth="1"/>
    <col min="2" max="2" width="26.6640625" bestFit="1" customWidth="1"/>
    <col min="3" max="3" width="23.33203125" customWidth="1"/>
    <col min="4" max="6" width="23.33203125" hidden="1" customWidth="1"/>
    <col min="7" max="7" width="24.1640625" customWidth="1"/>
    <col min="8" max="10" width="23.33203125" hidden="1" customWidth="1"/>
    <col min="11" max="11" width="34.1640625" customWidth="1"/>
    <col min="12" max="14" width="23.33203125" hidden="1" customWidth="1"/>
    <col min="15" max="15" width="27" customWidth="1"/>
    <col min="16" max="18" width="23.33203125" hidden="1" customWidth="1"/>
    <col min="19" max="19" width="25.33203125" customWidth="1"/>
    <col min="20" max="22" width="23.33203125" hidden="1" customWidth="1"/>
    <col min="23" max="23" width="20.83203125" bestFit="1" customWidth="1"/>
    <col min="24" max="26" width="23.33203125" hidden="1" customWidth="1"/>
    <col min="27" max="27" width="19.33203125" bestFit="1" customWidth="1"/>
    <col min="28" max="30" width="23.33203125" hidden="1" customWidth="1"/>
    <col min="31" max="31" width="23.6640625" hidden="1" customWidth="1"/>
    <col min="32" max="34" width="23.33203125" hidden="1" customWidth="1"/>
    <col min="35" max="35" width="22.33203125" hidden="1" customWidth="1"/>
    <col min="36" max="38" width="23.33203125" hidden="1" customWidth="1"/>
    <col min="39" max="39" width="16.5" hidden="1" customWidth="1"/>
    <col min="40" max="42" width="23.33203125" hidden="1" customWidth="1"/>
    <col min="43" max="43" width="22.1640625" hidden="1" customWidth="1"/>
    <col min="44" max="46" width="23.33203125" hidden="1" customWidth="1"/>
    <col min="47" max="47" width="20.83203125" hidden="1" customWidth="1"/>
    <col min="48" max="50" width="23.33203125" hidden="1" customWidth="1"/>
    <col min="51" max="51" width="35.1640625" hidden="1" customWidth="1"/>
    <col min="52" max="54" width="2" hidden="1" customWidth="1"/>
    <col min="55" max="55" width="0" hidden="1" customWidth="1"/>
  </cols>
  <sheetData>
    <row r="1" spans="1:54" ht="16" thickBot="1" x14ac:dyDescent="0.25">
      <c r="O1" s="92"/>
      <c r="P1" s="93"/>
      <c r="Q1" s="93"/>
      <c r="R1" s="93"/>
      <c r="S1" s="93" t="s">
        <v>126</v>
      </c>
      <c r="T1" s="93"/>
      <c r="U1" s="93"/>
      <c r="V1" s="93"/>
      <c r="W1" s="94"/>
    </row>
    <row r="2" spans="1:54" ht="30" x14ac:dyDescent="0.2">
      <c r="A2" s="79" t="s">
        <v>100</v>
      </c>
      <c r="B2" s="80" t="s">
        <v>31</v>
      </c>
      <c r="C2" s="58" t="s">
        <v>59</v>
      </c>
      <c r="D2" s="58"/>
      <c r="E2" s="58"/>
      <c r="F2" s="58"/>
      <c r="G2" s="59" t="s">
        <v>60</v>
      </c>
      <c r="H2" s="58"/>
      <c r="I2" s="58"/>
      <c r="J2" s="58"/>
      <c r="K2" s="60" t="s">
        <v>61</v>
      </c>
      <c r="L2" s="58"/>
      <c r="M2" s="58"/>
      <c r="N2" s="58"/>
      <c r="O2" s="90" t="s">
        <v>123</v>
      </c>
      <c r="P2" s="90"/>
      <c r="Q2" s="90"/>
      <c r="R2" s="90"/>
      <c r="S2" s="90" t="s">
        <v>124</v>
      </c>
      <c r="T2" s="90"/>
      <c r="U2" s="90"/>
      <c r="V2" s="90"/>
      <c r="W2" s="91" t="s">
        <v>125</v>
      </c>
      <c r="X2" s="58"/>
      <c r="Y2" s="58"/>
      <c r="Z2" s="58"/>
      <c r="AB2" s="58"/>
      <c r="AC2" s="58"/>
      <c r="AD2" s="58"/>
      <c r="AF2" s="58"/>
      <c r="AG2" s="58"/>
      <c r="AH2" s="58"/>
      <c r="AJ2" s="58"/>
      <c r="AK2" s="58"/>
      <c r="AL2" s="58"/>
      <c r="AN2" s="58"/>
      <c r="AO2" s="58"/>
      <c r="AP2" s="58"/>
      <c r="AR2" s="58"/>
      <c r="AS2" s="58"/>
      <c r="AT2" s="58"/>
      <c r="AV2" s="58"/>
      <c r="AW2" s="58"/>
      <c r="AX2" s="58"/>
      <c r="AZ2" s="58"/>
      <c r="BA2" s="58"/>
      <c r="BB2" s="58"/>
    </row>
    <row r="3" spans="1:54" x14ac:dyDescent="0.2">
      <c r="A3" s="77" t="str">
        <f>'Catalogo de Item de Serviço'!C32</f>
        <v>WCM-Desenvolvimento Widget</v>
      </c>
      <c r="B3" s="81" t="str">
        <f>'Catalogo de Item de Serviço'!D32</f>
        <v>Número Widgets</v>
      </c>
      <c r="C3" s="65">
        <f>SUM($D$18:$D$76)</f>
        <v>0</v>
      </c>
      <c r="D3" s="65"/>
      <c r="E3" s="65"/>
      <c r="F3" s="65"/>
      <c r="G3" s="65">
        <f>SUM($E$18:$E$76)</f>
        <v>0</v>
      </c>
      <c r="H3" s="65"/>
      <c r="I3" s="65"/>
      <c r="J3" s="65"/>
      <c r="K3" s="65">
        <f>SUM($F$18:$F$76)</f>
        <v>0</v>
      </c>
      <c r="L3" s="65"/>
      <c r="M3" s="65"/>
      <c r="N3" s="65"/>
      <c r="O3" s="89">
        <f>'Catalogo de Item de Serviço'!F32</f>
        <v>16</v>
      </c>
      <c r="P3" s="89"/>
      <c r="Q3" s="89"/>
      <c r="R3" s="89"/>
      <c r="S3" s="89">
        <f>'Catalogo de Item de Serviço'!G32</f>
        <v>24</v>
      </c>
      <c r="T3" s="89"/>
      <c r="U3" s="89"/>
      <c r="V3" s="89"/>
      <c r="W3" s="89">
        <f>'Catalogo de Item de Serviço'!H32</f>
        <v>40</v>
      </c>
      <c r="X3" s="65"/>
      <c r="Y3" s="65"/>
      <c r="Z3" s="65"/>
      <c r="AB3" s="65"/>
      <c r="AC3" s="65"/>
      <c r="AD3" s="65"/>
      <c r="AF3" s="65"/>
      <c r="AG3" s="65"/>
      <c r="AH3" s="65"/>
      <c r="AJ3" s="65"/>
      <c r="AK3" s="65"/>
      <c r="AL3" s="65"/>
      <c r="AN3" s="65"/>
      <c r="AO3" s="65"/>
      <c r="AP3" s="65"/>
      <c r="AR3" s="65"/>
      <c r="AS3" s="65"/>
      <c r="AT3" s="65"/>
      <c r="AV3" s="65"/>
      <c r="AW3" s="65"/>
      <c r="AX3" s="65"/>
      <c r="AZ3" s="65"/>
      <c r="BA3" s="65"/>
      <c r="BB3" s="65"/>
    </row>
    <row r="4" spans="1:54" x14ac:dyDescent="0.2">
      <c r="A4" s="77" t="str">
        <f>'Catalogo de Item de Serviço'!C33</f>
        <v>WCM-Desenvolvimento Página</v>
      </c>
      <c r="B4" s="81" t="str">
        <f>'Catalogo de Item de Serviço'!D33</f>
        <v>Número Layouts</v>
      </c>
      <c r="C4" s="65">
        <f>SUM($H$18:$H$76)</f>
        <v>0</v>
      </c>
      <c r="D4" s="65"/>
      <c r="E4" s="65"/>
      <c r="F4" s="65"/>
      <c r="G4" s="65">
        <f>SUM($I$18:$I$76)</f>
        <v>0</v>
      </c>
      <c r="H4" s="65"/>
      <c r="I4" s="65"/>
      <c r="J4" s="65"/>
      <c r="K4" s="65">
        <f>SUM($J$18:$J$76)</f>
        <v>0</v>
      </c>
      <c r="L4" s="65"/>
      <c r="M4" s="65"/>
      <c r="N4" s="65"/>
      <c r="O4" s="89">
        <f>'Catalogo de Item de Serviço'!F33</f>
        <v>16</v>
      </c>
      <c r="P4" s="89"/>
      <c r="Q4" s="89"/>
      <c r="R4" s="89"/>
      <c r="S4" s="89">
        <f>'Catalogo de Item de Serviço'!G33</f>
        <v>24</v>
      </c>
      <c r="T4" s="89"/>
      <c r="U4" s="89"/>
      <c r="V4" s="89"/>
      <c r="W4" s="89">
        <f>'Catalogo de Item de Serviço'!H33</f>
        <v>40</v>
      </c>
      <c r="X4" s="65"/>
      <c r="Y4" s="65"/>
      <c r="Z4" s="65"/>
      <c r="AB4" s="65"/>
      <c r="AC4" s="65"/>
      <c r="AD4" s="65"/>
      <c r="AF4" s="65"/>
      <c r="AG4" s="65"/>
      <c r="AH4" s="65"/>
      <c r="AJ4" s="65"/>
      <c r="AK4" s="65"/>
      <c r="AL4" s="65"/>
      <c r="AN4" s="65"/>
      <c r="AO4" s="65"/>
      <c r="AP4" s="65"/>
      <c r="AR4" s="65"/>
      <c r="AS4" s="65"/>
      <c r="AT4" s="65"/>
      <c r="AV4" s="65"/>
      <c r="AW4" s="65"/>
      <c r="AX4" s="65"/>
      <c r="AZ4" s="65"/>
      <c r="BA4" s="65"/>
      <c r="BB4" s="65"/>
    </row>
    <row r="5" spans="1:54" x14ac:dyDescent="0.2">
      <c r="A5" s="77" t="str">
        <f>'Catalogo de Item de Serviço'!C34</f>
        <v>WCM-Validações Java Scrip no Widget</v>
      </c>
      <c r="B5" s="81" t="str">
        <f>'Catalogo de Item de Serviço'!D34</f>
        <v>Número Validações</v>
      </c>
      <c r="C5" s="65">
        <f>SUM($L$18:$L$76)</f>
        <v>0</v>
      </c>
      <c r="D5" s="65"/>
      <c r="E5" s="65"/>
      <c r="F5" s="65"/>
      <c r="G5" s="65">
        <f>SUM($M$18:$M$76)</f>
        <v>0</v>
      </c>
      <c r="H5" s="65"/>
      <c r="I5" s="65"/>
      <c r="J5" s="65"/>
      <c r="K5" s="65">
        <f>SUM($N$18:$N$76)</f>
        <v>0</v>
      </c>
      <c r="L5" s="65"/>
      <c r="M5" s="65"/>
      <c r="N5" s="65"/>
      <c r="O5" s="89">
        <f>'Catalogo de Item de Serviço'!F34</f>
        <v>2</v>
      </c>
      <c r="P5" s="89"/>
      <c r="Q5" s="89"/>
      <c r="R5" s="89"/>
      <c r="S5" s="89">
        <f>'Catalogo de Item de Serviço'!G34</f>
        <v>4</v>
      </c>
      <c r="T5" s="89"/>
      <c r="U5" s="89"/>
      <c r="V5" s="89"/>
      <c r="W5" s="89">
        <f>'Catalogo de Item de Serviço'!H34</f>
        <v>8</v>
      </c>
      <c r="X5" s="65"/>
      <c r="Y5" s="65"/>
      <c r="Z5" s="65"/>
      <c r="AB5" s="65"/>
      <c r="AC5" s="65"/>
      <c r="AD5" s="65"/>
      <c r="AF5" s="65"/>
      <c r="AG5" s="65"/>
      <c r="AH5" s="65"/>
      <c r="AJ5" s="65"/>
      <c r="AK5" s="65"/>
      <c r="AL5" s="65"/>
      <c r="AN5" s="65"/>
      <c r="AO5" s="65"/>
      <c r="AP5" s="65"/>
      <c r="AR5" s="65"/>
      <c r="AS5" s="65"/>
      <c r="AT5" s="65"/>
      <c r="AV5" s="65"/>
      <c r="AW5" s="65"/>
      <c r="AX5" s="65"/>
      <c r="AZ5" s="65"/>
      <c r="BA5" s="65"/>
      <c r="BB5" s="65"/>
    </row>
    <row r="6" spans="1:54" x14ac:dyDescent="0.2">
      <c r="A6" s="77" t="str">
        <f>'Catalogo de Item de Serviço'!C35</f>
        <v>Não utilizar</v>
      </c>
      <c r="B6" s="81" t="str">
        <f>'Catalogo de Item de Serviço'!D35</f>
        <v>Não utilizar</v>
      </c>
      <c r="C6" s="65">
        <f>SUM($P$18:$P$76)</f>
        <v>0</v>
      </c>
      <c r="D6" s="65"/>
      <c r="E6" s="65"/>
      <c r="F6" s="65"/>
      <c r="G6" s="65">
        <f>SUM($Q$18:$Q$76)</f>
        <v>0</v>
      </c>
      <c r="H6" s="65"/>
      <c r="I6" s="65"/>
      <c r="J6" s="65"/>
      <c r="K6" s="65">
        <f>SUM($R$18:$R$76)</f>
        <v>0</v>
      </c>
      <c r="L6" s="65"/>
      <c r="M6" s="65"/>
      <c r="N6" s="65"/>
      <c r="O6" s="89">
        <f>'Catalogo de Item de Serviço'!F35</f>
        <v>0</v>
      </c>
      <c r="P6" s="89"/>
      <c r="Q6" s="89"/>
      <c r="R6" s="89"/>
      <c r="S6" s="89">
        <f>'Catalogo de Item de Serviço'!G35</f>
        <v>0</v>
      </c>
      <c r="T6" s="89"/>
      <c r="U6" s="89"/>
      <c r="V6" s="89"/>
      <c r="W6" s="89">
        <f>'Catalogo de Item de Serviço'!H35</f>
        <v>0</v>
      </c>
      <c r="X6" s="65"/>
      <c r="Y6" s="65"/>
      <c r="Z6" s="65"/>
      <c r="AB6" s="65"/>
      <c r="AC6" s="65"/>
      <c r="AD6" s="65"/>
      <c r="AF6" s="65"/>
      <c r="AG6" s="65"/>
      <c r="AH6" s="65"/>
      <c r="AJ6" s="65"/>
      <c r="AK6" s="65"/>
      <c r="AL6" s="65"/>
      <c r="AN6" s="65"/>
      <c r="AO6" s="65"/>
      <c r="AP6" s="65"/>
      <c r="AR6" s="65"/>
      <c r="AS6" s="65"/>
      <c r="AT6" s="65"/>
      <c r="AV6" s="65"/>
      <c r="AW6" s="65"/>
      <c r="AX6" s="65"/>
      <c r="AZ6" s="65"/>
      <c r="BA6" s="65"/>
      <c r="BB6" s="65"/>
    </row>
    <row r="7" spans="1:54" x14ac:dyDescent="0.2">
      <c r="A7" s="77" t="str">
        <f>'Catalogo de Item de Serviço'!C36</f>
        <v>WCM-Dataset para integração</v>
      </c>
      <c r="B7" s="81" t="str">
        <f>'Catalogo de Item de Serviço'!D36</f>
        <v>Número Datasets</v>
      </c>
      <c r="C7" s="65">
        <f>SUM($T$18:$T$76)</f>
        <v>0</v>
      </c>
      <c r="D7" s="65"/>
      <c r="E7" s="65"/>
      <c r="F7" s="65"/>
      <c r="G7" s="65">
        <f>SUM($U$18:$U$76)</f>
        <v>0</v>
      </c>
      <c r="H7" s="65"/>
      <c r="I7" s="65"/>
      <c r="J7" s="65"/>
      <c r="K7" s="65">
        <f>SUM($V$18:$V$76)</f>
        <v>0</v>
      </c>
      <c r="L7" s="65"/>
      <c r="M7" s="65"/>
      <c r="N7" s="65"/>
      <c r="O7" s="89">
        <f>'Catalogo de Item de Serviço'!F36</f>
        <v>4</v>
      </c>
      <c r="P7" s="89"/>
      <c r="Q7" s="89"/>
      <c r="R7" s="89"/>
      <c r="S7" s="89">
        <f>'Catalogo de Item de Serviço'!G36</f>
        <v>8</v>
      </c>
      <c r="T7" s="89"/>
      <c r="U7" s="89"/>
      <c r="V7" s="89"/>
      <c r="W7" s="89">
        <f>'Catalogo de Item de Serviço'!H36</f>
        <v>16</v>
      </c>
      <c r="X7" s="65"/>
      <c r="Y7" s="65"/>
      <c r="Z7" s="65"/>
      <c r="AB7" s="65"/>
      <c r="AC7" s="65"/>
      <c r="AD7" s="65"/>
      <c r="AF7" s="65"/>
      <c r="AG7" s="65"/>
      <c r="AH7" s="65"/>
      <c r="AJ7" s="65"/>
      <c r="AK7" s="65"/>
      <c r="AL7" s="65"/>
      <c r="AN7" s="65"/>
      <c r="AO7" s="65"/>
      <c r="AP7" s="65"/>
      <c r="AR7" s="65"/>
      <c r="AS7" s="65"/>
      <c r="AT7" s="65"/>
      <c r="AV7" s="65"/>
      <c r="AW7" s="65"/>
      <c r="AX7" s="65"/>
      <c r="AZ7" s="65"/>
      <c r="BA7" s="65"/>
      <c r="BB7" s="65"/>
    </row>
    <row r="8" spans="1:54" x14ac:dyDescent="0.2">
      <c r="A8" s="77" t="str">
        <f>'Catalogo de Item de Serviço'!C37</f>
        <v>Não utilizar</v>
      </c>
      <c r="B8" s="81" t="str">
        <f>'Catalogo de Item de Serviço'!D37</f>
        <v>Não utilizar</v>
      </c>
      <c r="C8" s="65">
        <f>SUM($X$18:$X$76)</f>
        <v>0</v>
      </c>
      <c r="D8" s="65"/>
      <c r="E8" s="65"/>
      <c r="F8" s="65"/>
      <c r="G8" s="65">
        <f>SUM($Y$18:$Y$76)</f>
        <v>0</v>
      </c>
      <c r="H8" s="65"/>
      <c r="I8" s="65"/>
      <c r="J8" s="65"/>
      <c r="K8" s="65">
        <f>SUM($Z$18:$Z$76)</f>
        <v>0</v>
      </c>
      <c r="L8" s="65"/>
      <c r="M8" s="65"/>
      <c r="N8" s="65"/>
      <c r="O8" s="89">
        <f>'Catalogo de Item de Serviço'!F37</f>
        <v>0</v>
      </c>
      <c r="P8" s="89"/>
      <c r="Q8" s="89"/>
      <c r="R8" s="89"/>
      <c r="S8" s="89">
        <f>'Catalogo de Item de Serviço'!G37</f>
        <v>0</v>
      </c>
      <c r="T8" s="89"/>
      <c r="U8" s="89"/>
      <c r="V8" s="89"/>
      <c r="W8" s="89">
        <f>'Catalogo de Item de Serviço'!H37</f>
        <v>0</v>
      </c>
      <c r="X8" s="65"/>
      <c r="Y8" s="65"/>
      <c r="Z8" s="65"/>
      <c r="AB8" s="65"/>
      <c r="AC8" s="65"/>
      <c r="AD8" s="65"/>
      <c r="AF8" s="65"/>
      <c r="AG8" s="65"/>
      <c r="AH8" s="65"/>
      <c r="AJ8" s="65"/>
      <c r="AK8" s="65"/>
      <c r="AL8" s="65"/>
      <c r="AN8" s="65"/>
      <c r="AO8" s="65"/>
      <c r="AP8" s="65"/>
      <c r="AR8" s="65"/>
      <c r="AS8" s="65"/>
      <c r="AT8" s="65"/>
      <c r="AV8" s="65"/>
      <c r="AW8" s="65"/>
      <c r="AX8" s="65"/>
      <c r="AZ8" s="65"/>
      <c r="BA8" s="65"/>
      <c r="BB8" s="65"/>
    </row>
    <row r="9" spans="1:54" x14ac:dyDescent="0.2">
      <c r="A9" s="77" t="str">
        <f>'Catalogo de Item de Serviço'!C38</f>
        <v>WCM-Web Services Externo para integração</v>
      </c>
      <c r="B9" s="81" t="str">
        <f>'Catalogo de Item de Serviço'!D38</f>
        <v>Número Web Services</v>
      </c>
      <c r="C9" s="65">
        <f>SUM($AB$18:$AB$76)</f>
        <v>0</v>
      </c>
      <c r="D9" s="65"/>
      <c r="E9" s="65"/>
      <c r="F9" s="65"/>
      <c r="G9" s="65">
        <f>SUM($AC$18:$AC$76)</f>
        <v>0</v>
      </c>
      <c r="H9" s="65"/>
      <c r="I9" s="65"/>
      <c r="J9" s="65"/>
      <c r="K9" s="65">
        <f>SUM($AD$18:$AD$76)</f>
        <v>0</v>
      </c>
      <c r="L9" s="65"/>
      <c r="M9" s="65"/>
      <c r="N9" s="65"/>
      <c r="O9" s="89">
        <f>'Catalogo de Item de Serviço'!F38</f>
        <v>8</v>
      </c>
      <c r="P9" s="89"/>
      <c r="Q9" s="89"/>
      <c r="R9" s="89"/>
      <c r="S9" s="89">
        <f>'Catalogo de Item de Serviço'!G38</f>
        <v>16</v>
      </c>
      <c r="T9" s="89"/>
      <c r="U9" s="89"/>
      <c r="V9" s="89"/>
      <c r="W9" s="89">
        <f>'Catalogo de Item de Serviço'!H38</f>
        <v>24</v>
      </c>
      <c r="X9" s="65"/>
      <c r="Y9" s="65"/>
      <c r="Z9" s="65"/>
      <c r="AB9" s="65"/>
      <c r="AC9" s="65"/>
      <c r="AD9" s="65"/>
      <c r="AF9" s="65"/>
      <c r="AG9" s="65"/>
      <c r="AH9" s="65"/>
      <c r="AJ9" s="65"/>
      <c r="AK9" s="65"/>
      <c r="AL9" s="65"/>
      <c r="AN9" s="65"/>
      <c r="AO9" s="65"/>
      <c r="AP9" s="65"/>
      <c r="AR9" s="65"/>
      <c r="AS9" s="65"/>
      <c r="AT9" s="65"/>
      <c r="AV9" s="65"/>
      <c r="AW9" s="65"/>
      <c r="AX9" s="65"/>
      <c r="AZ9" s="65"/>
      <c r="BA9" s="65"/>
      <c r="BB9" s="65"/>
    </row>
    <row r="10" spans="1:54" hidden="1" x14ac:dyDescent="0.2">
      <c r="A10" s="77"/>
      <c r="B10" s="81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89"/>
      <c r="P10" s="89"/>
      <c r="Q10" s="89"/>
      <c r="R10" s="89"/>
      <c r="S10" s="89"/>
      <c r="T10" s="89"/>
      <c r="U10" s="89"/>
      <c r="V10" s="89"/>
      <c r="W10" s="89"/>
      <c r="X10" s="65"/>
      <c r="Y10" s="65"/>
      <c r="Z10" s="65"/>
      <c r="AB10" s="65"/>
      <c r="AC10" s="65"/>
      <c r="AD10" s="65"/>
      <c r="AF10" s="65"/>
      <c r="AG10" s="65"/>
      <c r="AH10" s="65"/>
      <c r="AJ10" s="65"/>
      <c r="AK10" s="65"/>
      <c r="AL10" s="65"/>
      <c r="AN10" s="65"/>
      <c r="AO10" s="65"/>
      <c r="AP10" s="65"/>
      <c r="AR10" s="65"/>
      <c r="AS10" s="65"/>
      <c r="AT10" s="65"/>
      <c r="AV10" s="65"/>
      <c r="AW10" s="65"/>
      <c r="AX10" s="65"/>
      <c r="AZ10" s="65"/>
      <c r="BA10" s="65"/>
      <c r="BB10" s="65"/>
    </row>
    <row r="11" spans="1:54" hidden="1" x14ac:dyDescent="0.2">
      <c r="A11" s="77"/>
      <c r="B11" s="81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89"/>
      <c r="P11" s="89"/>
      <c r="Q11" s="89"/>
      <c r="R11" s="89"/>
      <c r="S11" s="89"/>
      <c r="T11" s="89"/>
      <c r="U11" s="89"/>
      <c r="V11" s="89"/>
      <c r="W11" s="89"/>
      <c r="X11" s="65"/>
      <c r="Y11" s="65"/>
      <c r="Z11" s="65"/>
      <c r="AB11" s="65"/>
      <c r="AC11" s="65"/>
      <c r="AD11" s="65"/>
      <c r="AF11" s="65"/>
      <c r="AG11" s="65"/>
      <c r="AH11" s="65"/>
      <c r="AJ11" s="65"/>
      <c r="AK11" s="65"/>
      <c r="AL11" s="65"/>
      <c r="AN11" s="65"/>
      <c r="AO11" s="65"/>
      <c r="AP11" s="65"/>
      <c r="AR11" s="65"/>
      <c r="AS11" s="65"/>
      <c r="AT11" s="65"/>
      <c r="AV11" s="65"/>
      <c r="AW11" s="65"/>
      <c r="AX11" s="65"/>
      <c r="AZ11" s="65"/>
      <c r="BA11" s="65"/>
      <c r="BB11" s="65"/>
    </row>
    <row r="12" spans="1:54" hidden="1" x14ac:dyDescent="0.2">
      <c r="A12" s="77"/>
      <c r="B12" s="81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89"/>
      <c r="P12" s="89"/>
      <c r="Q12" s="89"/>
      <c r="R12" s="89"/>
      <c r="S12" s="89"/>
      <c r="T12" s="89"/>
      <c r="U12" s="89"/>
      <c r="V12" s="89"/>
      <c r="W12" s="89"/>
      <c r="X12" s="65"/>
      <c r="Y12" s="65"/>
      <c r="Z12" s="65"/>
      <c r="AB12" s="65"/>
      <c r="AC12" s="65"/>
      <c r="AD12" s="65"/>
      <c r="AF12" s="65"/>
      <c r="AG12" s="65"/>
      <c r="AH12" s="65"/>
      <c r="AJ12" s="65"/>
      <c r="AK12" s="65"/>
      <c r="AL12" s="65"/>
      <c r="AN12" s="65"/>
      <c r="AO12" s="65"/>
      <c r="AP12" s="65"/>
      <c r="AR12" s="65"/>
      <c r="AS12" s="65"/>
      <c r="AT12" s="65"/>
      <c r="AV12" s="65"/>
      <c r="AW12" s="65"/>
      <c r="AX12" s="65"/>
      <c r="AZ12" s="65"/>
      <c r="BA12" s="65"/>
      <c r="BB12" s="65"/>
    </row>
    <row r="13" spans="1:54" hidden="1" x14ac:dyDescent="0.2">
      <c r="A13" s="77"/>
      <c r="B13" s="81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89"/>
      <c r="P13" s="89"/>
      <c r="Q13" s="89"/>
      <c r="R13" s="89"/>
      <c r="S13" s="89"/>
      <c r="T13" s="89"/>
      <c r="U13" s="89"/>
      <c r="V13" s="89"/>
      <c r="W13" s="89"/>
      <c r="X13" s="65"/>
      <c r="Y13" s="65"/>
      <c r="Z13" s="65"/>
      <c r="AB13" s="65"/>
      <c r="AC13" s="65"/>
      <c r="AD13" s="65"/>
      <c r="AF13" s="65"/>
      <c r="AG13" s="65"/>
      <c r="AH13" s="65"/>
      <c r="AJ13" s="65"/>
      <c r="AK13" s="65"/>
      <c r="AL13" s="65"/>
      <c r="AN13" s="65"/>
      <c r="AO13" s="65"/>
      <c r="AP13" s="65"/>
      <c r="AR13" s="65"/>
      <c r="AS13" s="65"/>
      <c r="AT13" s="65"/>
      <c r="AV13" s="65"/>
      <c r="AW13" s="65"/>
      <c r="AX13" s="65"/>
      <c r="AZ13" s="65"/>
      <c r="BA13" s="65"/>
      <c r="BB13" s="65"/>
    </row>
    <row r="14" spans="1:54" hidden="1" x14ac:dyDescent="0.2">
      <c r="A14" s="77"/>
      <c r="B14" s="81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89"/>
      <c r="P14" s="89"/>
      <c r="Q14" s="89"/>
      <c r="R14" s="89"/>
      <c r="S14" s="89"/>
      <c r="T14" s="89"/>
      <c r="U14" s="89"/>
      <c r="V14" s="89"/>
      <c r="W14" s="89"/>
      <c r="X14" s="65"/>
      <c r="Y14" s="65"/>
      <c r="Z14" s="65"/>
      <c r="AB14" s="65"/>
      <c r="AC14" s="65"/>
      <c r="AD14" s="65"/>
      <c r="AF14" s="65"/>
      <c r="AG14" s="65"/>
      <c r="AH14" s="65"/>
      <c r="AJ14" s="65"/>
      <c r="AK14" s="65"/>
      <c r="AL14" s="65"/>
      <c r="AN14" s="65"/>
      <c r="AO14" s="65"/>
      <c r="AP14" s="65"/>
      <c r="AR14" s="65"/>
      <c r="AS14" s="65"/>
      <c r="AT14" s="65"/>
      <c r="AV14" s="65"/>
      <c r="AW14" s="65"/>
      <c r="AX14" s="65"/>
      <c r="AZ14" s="65"/>
      <c r="BA14" s="65"/>
      <c r="BB14" s="65"/>
    </row>
    <row r="15" spans="1:54" hidden="1" x14ac:dyDescent="0.2">
      <c r="A15" s="77"/>
      <c r="B15" s="81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89"/>
      <c r="P15" s="89"/>
      <c r="Q15" s="89"/>
      <c r="R15" s="89"/>
      <c r="S15" s="89"/>
      <c r="T15" s="89"/>
      <c r="U15" s="89"/>
      <c r="V15" s="89"/>
      <c r="W15" s="89"/>
      <c r="X15" s="65"/>
      <c r="Y15" s="65"/>
      <c r="Z15" s="65"/>
      <c r="AB15" s="65"/>
      <c r="AC15" s="65"/>
      <c r="AD15" s="65"/>
      <c r="AF15" s="65"/>
      <c r="AG15" s="65"/>
      <c r="AH15" s="65"/>
      <c r="AJ15" s="65"/>
      <c r="AK15" s="65"/>
      <c r="AL15" s="65"/>
      <c r="AN15" s="65"/>
      <c r="AO15" s="65"/>
      <c r="AP15" s="65"/>
      <c r="AR15" s="65"/>
      <c r="AS15" s="65"/>
      <c r="AT15" s="65"/>
      <c r="AV15" s="65"/>
      <c r="AW15" s="65"/>
      <c r="AX15" s="65"/>
      <c r="AZ15" s="65"/>
      <c r="BA15" s="65"/>
      <c r="BB15" s="65"/>
    </row>
    <row r="16" spans="1:54" x14ac:dyDescent="0.2">
      <c r="A16" s="68"/>
      <c r="B16" s="66"/>
      <c r="C16" s="66" t="s">
        <v>198</v>
      </c>
      <c r="G16" s="66" t="s">
        <v>198</v>
      </c>
      <c r="K16" s="66" t="s">
        <v>198</v>
      </c>
      <c r="S16" s="66" t="s">
        <v>198</v>
      </c>
      <c r="AA16" s="66" t="s">
        <v>198</v>
      </c>
    </row>
    <row r="17" spans="1:54" s="74" customFormat="1" ht="63.75" customHeight="1" x14ac:dyDescent="0.2">
      <c r="A17" s="64" t="s">
        <v>152</v>
      </c>
      <c r="B17" s="18" t="s">
        <v>101</v>
      </c>
      <c r="C17" s="18" t="str">
        <f>A3</f>
        <v>WCM-Desenvolvimento Widget</v>
      </c>
      <c r="D17" s="18"/>
      <c r="E17" s="18"/>
      <c r="F17" s="18"/>
      <c r="G17" s="18" t="str">
        <f>A4</f>
        <v>WCM-Desenvolvimento Página</v>
      </c>
      <c r="H17" s="18"/>
      <c r="I17" s="18"/>
      <c r="J17" s="18"/>
      <c r="K17" s="18" t="str">
        <f>A5</f>
        <v>WCM-Validações Java Scrip no Widget</v>
      </c>
      <c r="L17" s="18"/>
      <c r="M17" s="18"/>
      <c r="N17" s="18"/>
      <c r="O17" s="18" t="str">
        <f>A6</f>
        <v>Não utilizar</v>
      </c>
      <c r="P17" s="18"/>
      <c r="Q17" s="18"/>
      <c r="R17" s="18"/>
      <c r="S17" s="18" t="str">
        <f>A7</f>
        <v>WCM-Dataset para integração</v>
      </c>
      <c r="T17" s="18"/>
      <c r="U17" s="18"/>
      <c r="V17" s="18"/>
      <c r="W17" s="18" t="str">
        <f>A8</f>
        <v>Não utilizar</v>
      </c>
      <c r="X17" s="18"/>
      <c r="Y17" s="18"/>
      <c r="Z17" s="18"/>
      <c r="AA17" s="18" t="str">
        <f>A9</f>
        <v>WCM-Web Services Externo para integração</v>
      </c>
      <c r="AB17" s="18"/>
      <c r="AC17" s="18"/>
      <c r="AD17" s="18"/>
      <c r="AE17" s="18">
        <f>A10</f>
        <v>0</v>
      </c>
      <c r="AF17" s="18"/>
      <c r="AG17" s="18"/>
      <c r="AH17" s="18"/>
      <c r="AI17" s="18">
        <f>A11</f>
        <v>0</v>
      </c>
      <c r="AJ17" s="18"/>
      <c r="AK17" s="18"/>
      <c r="AL17" s="18"/>
      <c r="AM17" s="18">
        <f>A12</f>
        <v>0</v>
      </c>
      <c r="AN17" s="18"/>
      <c r="AO17" s="18"/>
      <c r="AP17" s="18"/>
      <c r="AQ17" s="18">
        <f>A13</f>
        <v>0</v>
      </c>
      <c r="AR17" s="18"/>
      <c r="AS17" s="18"/>
      <c r="AT17" s="18"/>
      <c r="AU17" s="18">
        <f>A14</f>
        <v>0</v>
      </c>
      <c r="AV17" s="18"/>
      <c r="AW17" s="18"/>
      <c r="AX17" s="18"/>
      <c r="AY17" s="18">
        <f>A15</f>
        <v>0</v>
      </c>
      <c r="AZ17" s="73"/>
      <c r="BA17" s="73"/>
      <c r="BB17" s="73"/>
    </row>
    <row r="18" spans="1:54" x14ac:dyDescent="0.2">
      <c r="A18" s="71"/>
      <c r="B18" s="96" t="s">
        <v>53</v>
      </c>
      <c r="C18" s="96"/>
      <c r="D18" s="97">
        <f>IF($B18="1-baixa",C18,0)</f>
        <v>0</v>
      </c>
      <c r="E18" s="97">
        <f>IF($B18="2-media",C18,0)</f>
        <v>0</v>
      </c>
      <c r="F18" s="97">
        <f>IF($B18="3-Alta",C18,0)</f>
        <v>0</v>
      </c>
      <c r="G18" s="96"/>
      <c r="H18" s="97">
        <f>IF($B18="1-baixa",G18,0)</f>
        <v>0</v>
      </c>
      <c r="I18" s="97">
        <f>IF($B18="2-media",G18,0)</f>
        <v>0</v>
      </c>
      <c r="J18" s="97">
        <f>IF($B18="3-Alta",G18,0)</f>
        <v>0</v>
      </c>
      <c r="K18" s="96"/>
      <c r="L18" s="97">
        <f>IF($B18="1-baixa",K18,0)</f>
        <v>0</v>
      </c>
      <c r="M18" s="97">
        <f>IF($B18="2-media",K18,0)</f>
        <v>0</v>
      </c>
      <c r="N18" s="97">
        <f>IF($B18="3-Alta",K18,0)</f>
        <v>0</v>
      </c>
      <c r="O18" s="96"/>
      <c r="P18" s="97">
        <f>IF($B18="1-baixa",O18,0)</f>
        <v>0</v>
      </c>
      <c r="Q18" s="97">
        <f>IF($B18="2-media",O18,0)</f>
        <v>0</v>
      </c>
      <c r="R18" s="97">
        <f>IF($B18="3-Alta",O18,0)</f>
        <v>0</v>
      </c>
      <c r="S18" s="96"/>
      <c r="T18" s="97">
        <f>IF($B18="1-baixa",S18,0)</f>
        <v>0</v>
      </c>
      <c r="U18" s="97">
        <f>IF($B18="2-media",S18,0)</f>
        <v>0</v>
      </c>
      <c r="V18" s="97">
        <f>IF($B18="3-Alta",S18,0)</f>
        <v>0</v>
      </c>
      <c r="W18" s="96"/>
      <c r="X18" s="97">
        <f>IF($B18="1-baixa",W18,0)</f>
        <v>0</v>
      </c>
      <c r="Y18" s="97">
        <f>IF($B18="2-media",W18,0)</f>
        <v>0</v>
      </c>
      <c r="Z18" s="97">
        <f>IF($B18="3-Alta",W18,0)</f>
        <v>0</v>
      </c>
      <c r="AA18" s="96"/>
      <c r="AB18" s="97">
        <f>IF($B18="1-baixa",AA18,0)</f>
        <v>0</v>
      </c>
      <c r="AC18" s="97">
        <f>IF($B18="2-media",AA18,0)</f>
        <v>0</v>
      </c>
      <c r="AD18" s="97">
        <f>IF($B18="3-Alta",AA18,0)</f>
        <v>0</v>
      </c>
      <c r="AE18" s="96">
        <v>10</v>
      </c>
      <c r="AF18" s="97">
        <f>IF($B18="1-baixa",AE18,0)</f>
        <v>0</v>
      </c>
      <c r="AG18" s="97">
        <f>IF($B18="2-media",AE18,0)</f>
        <v>0</v>
      </c>
      <c r="AH18" s="97">
        <f>IF($B18="3-Alta",AE18,0)</f>
        <v>10</v>
      </c>
      <c r="AI18" s="96">
        <v>2</v>
      </c>
      <c r="AJ18" s="97">
        <f>IF($B18="1-baixa",AI18,0)</f>
        <v>0</v>
      </c>
      <c r="AK18" s="97">
        <f>IF($B18="2-media",AI18,0)</f>
        <v>0</v>
      </c>
      <c r="AL18" s="97">
        <f>IF($B18="3-Alta",AI18,0)</f>
        <v>2</v>
      </c>
      <c r="AM18" s="96">
        <v>2</v>
      </c>
      <c r="AN18" s="97">
        <f>IF($B18="1-baixa",AM18,0)</f>
        <v>0</v>
      </c>
      <c r="AO18" s="97">
        <f>IF($B18="2-media",AM18,0)</f>
        <v>0</v>
      </c>
      <c r="AP18" s="97">
        <f>IF($B18="3-Alta",AM18,0)</f>
        <v>2</v>
      </c>
      <c r="AQ18" s="96">
        <v>5</v>
      </c>
      <c r="AR18" s="97">
        <f>IF($B18="1-baixa",AQ18,0)</f>
        <v>0</v>
      </c>
      <c r="AS18" s="97">
        <f>IF($B18="2-media",AQ18,0)</f>
        <v>0</v>
      </c>
      <c r="AT18" s="97">
        <f>IF($B18="3-Alta",AQ18,0)</f>
        <v>5</v>
      </c>
      <c r="AU18" s="96">
        <v>0</v>
      </c>
      <c r="AV18" s="97">
        <f>IF($B18="1-baixa",AU18,0)</f>
        <v>0</v>
      </c>
      <c r="AW18" s="97">
        <f>IF($B18="2-media",AU18,0)</f>
        <v>0</v>
      </c>
      <c r="AX18" s="97">
        <f>IF($B18="3-Alta",AU18,0)</f>
        <v>0</v>
      </c>
      <c r="AY18" s="96">
        <v>5</v>
      </c>
      <c r="AZ18" s="65">
        <f>IF($B18="1-baixa",AY18,0)</f>
        <v>0</v>
      </c>
      <c r="BA18" s="65">
        <f>IF($B18="2-media",AY18,0)</f>
        <v>0</v>
      </c>
      <c r="BB18" s="65">
        <f>IF($B18="3-Alta",AY18,0)</f>
        <v>5</v>
      </c>
    </row>
    <row r="19" spans="1:54" x14ac:dyDescent="0.2">
      <c r="A19" s="71"/>
      <c r="B19" s="96" t="s">
        <v>52</v>
      </c>
      <c r="C19" s="96"/>
      <c r="D19" s="97">
        <f t="shared" ref="D19:D76" si="0">IF($B19="1-baixa",C19,0)</f>
        <v>0</v>
      </c>
      <c r="E19" s="97">
        <f>IF($B19="2-media",C19,0)</f>
        <v>0</v>
      </c>
      <c r="F19" s="97">
        <f>IF($B19="3-Alta",C19,0)</f>
        <v>0</v>
      </c>
      <c r="G19" s="96"/>
      <c r="H19" s="97">
        <f t="shared" ref="H19:H76" si="1">IF($B19="1-baixa",G19,0)</f>
        <v>0</v>
      </c>
      <c r="I19" s="97">
        <f t="shared" ref="I19:I76" si="2">IF($B19="2-media",G19,0)</f>
        <v>0</v>
      </c>
      <c r="J19" s="97">
        <f t="shared" ref="J19:J76" si="3">IF($B19="3-Alta",G19,0)</f>
        <v>0</v>
      </c>
      <c r="K19" s="96"/>
      <c r="L19" s="97">
        <f t="shared" ref="L19:L76" si="4">IF($B19="1-baixa",K19,0)</f>
        <v>0</v>
      </c>
      <c r="M19" s="97">
        <f t="shared" ref="M19:M76" si="5">IF($B19="2-media",K19,0)</f>
        <v>0</v>
      </c>
      <c r="N19" s="97">
        <f t="shared" ref="N19:N76" si="6">IF($B19="3-Alta",K19,0)</f>
        <v>0</v>
      </c>
      <c r="O19" s="96"/>
      <c r="P19" s="97">
        <f t="shared" ref="P19:P76" si="7">IF($B19="1-baixa",O19,0)</f>
        <v>0</v>
      </c>
      <c r="Q19" s="97">
        <f t="shared" ref="Q19:Q76" si="8">IF($B19="2-media",O19,0)</f>
        <v>0</v>
      </c>
      <c r="R19" s="97">
        <f t="shared" ref="R19:R76" si="9">IF($B19="3-Alta",O19,0)</f>
        <v>0</v>
      </c>
      <c r="S19" s="96"/>
      <c r="T19" s="97">
        <f t="shared" ref="T19:T76" si="10">IF($B19="1-baixa",S19,0)</f>
        <v>0</v>
      </c>
      <c r="U19" s="97">
        <f t="shared" ref="U19:U76" si="11">IF($B19="2-media",S19,0)</f>
        <v>0</v>
      </c>
      <c r="V19" s="97">
        <f t="shared" ref="V19:V76" si="12">IF($B19="3-Alta",S19,0)</f>
        <v>0</v>
      </c>
      <c r="W19" s="96"/>
      <c r="X19" s="97">
        <f t="shared" ref="X19:X76" si="13">IF($B19="1-baixa",W19,0)</f>
        <v>0</v>
      </c>
      <c r="Y19" s="97">
        <f t="shared" ref="Y19:Y76" si="14">IF($B19="2-media",W19,0)</f>
        <v>0</v>
      </c>
      <c r="Z19" s="97">
        <f t="shared" ref="Z19:Z76" si="15">IF($B19="3-Alta",W19,0)</f>
        <v>0</v>
      </c>
      <c r="AA19" s="96"/>
      <c r="AB19" s="97">
        <f t="shared" ref="AB19:AB76" si="16">IF($B19="1-baixa",AA19,0)</f>
        <v>0</v>
      </c>
      <c r="AC19" s="97">
        <f t="shared" ref="AC19:AC76" si="17">IF($B19="2-media",AA19,0)</f>
        <v>0</v>
      </c>
      <c r="AD19" s="97">
        <f t="shared" ref="AD19:AD76" si="18">IF($B19="3-Alta",AA19,0)</f>
        <v>0</v>
      </c>
      <c r="AE19" s="96">
        <v>20</v>
      </c>
      <c r="AF19" s="97">
        <f t="shared" ref="AF19:AF76" si="19">IF($B19="1-baixa",AE19,0)</f>
        <v>20</v>
      </c>
      <c r="AG19" s="97">
        <f t="shared" ref="AG19:AG76" si="20">IF($B19="2-media",AE19,0)</f>
        <v>0</v>
      </c>
      <c r="AH19" s="97">
        <f t="shared" ref="AH19:AH76" si="21">IF($B19="3-Alta",AE19,0)</f>
        <v>0</v>
      </c>
      <c r="AI19" s="96">
        <v>5</v>
      </c>
      <c r="AJ19" s="97">
        <f t="shared" ref="AJ19:AJ76" si="22">IF($B19="1-baixa",AI19,0)</f>
        <v>5</v>
      </c>
      <c r="AK19" s="97">
        <f t="shared" ref="AK19:AK76" si="23">IF($B19="2-media",AI19,0)</f>
        <v>0</v>
      </c>
      <c r="AL19" s="97">
        <f t="shared" ref="AL19:AL76" si="24">IF($B19="3-Alta",AI19,0)</f>
        <v>0</v>
      </c>
      <c r="AM19" s="96">
        <v>2</v>
      </c>
      <c r="AN19" s="97">
        <f t="shared" ref="AN19:AN76" si="25">IF($B19="1-baixa",AM19,0)</f>
        <v>2</v>
      </c>
      <c r="AO19" s="97">
        <f t="shared" ref="AO19:AO76" si="26">IF($B19="2-media",AM19,0)</f>
        <v>0</v>
      </c>
      <c r="AP19" s="97">
        <f t="shared" ref="AP19:AP76" si="27">IF($B19="3-Alta",AM19,0)</f>
        <v>0</v>
      </c>
      <c r="AQ19" s="96">
        <v>3</v>
      </c>
      <c r="AR19" s="97">
        <f t="shared" ref="AR19:AR76" si="28">IF($B19="1-baixa",AQ19,0)</f>
        <v>3</v>
      </c>
      <c r="AS19" s="97">
        <f t="shared" ref="AS19:AS76" si="29">IF($B19="2-media",AQ19,0)</f>
        <v>0</v>
      </c>
      <c r="AT19" s="97">
        <f t="shared" ref="AT19:AT76" si="30">IF($B19="3-Alta",AQ19,0)</f>
        <v>0</v>
      </c>
      <c r="AU19" s="96">
        <v>0</v>
      </c>
      <c r="AV19" s="97">
        <f t="shared" ref="AV19:AV76" si="31">IF($B19="1-baixa",AU19,0)</f>
        <v>0</v>
      </c>
      <c r="AW19" s="97">
        <f t="shared" ref="AW19:AW76" si="32">IF($B19="2-media",AU19,0)</f>
        <v>0</v>
      </c>
      <c r="AX19" s="97">
        <f t="shared" ref="AX19:AX76" si="33">IF($B19="3-Alta",AU19,0)</f>
        <v>0</v>
      </c>
      <c r="AY19" s="96">
        <v>3</v>
      </c>
      <c r="AZ19" s="65">
        <f t="shared" ref="AZ19:AZ76" si="34">IF($B19="1-baixa",AY19,0)</f>
        <v>3</v>
      </c>
      <c r="BA19" s="65">
        <f t="shared" ref="BA19:BA76" si="35">IF($B19="2-media",AY19,0)</f>
        <v>0</v>
      </c>
      <c r="BB19" s="65">
        <f t="shared" ref="BB19:BB76" si="36">IF($B19="3-Alta",AY19,0)</f>
        <v>0</v>
      </c>
    </row>
    <row r="20" spans="1:54" x14ac:dyDescent="0.2">
      <c r="A20" s="71"/>
      <c r="B20" s="96" t="s">
        <v>52</v>
      </c>
      <c r="C20" s="96"/>
      <c r="D20" s="97">
        <f t="shared" si="0"/>
        <v>0</v>
      </c>
      <c r="E20" s="97">
        <f>IF($B20="2-media",C20,0)</f>
        <v>0</v>
      </c>
      <c r="F20" s="97">
        <f>IF($B20="3-Alta",C20,0)</f>
        <v>0</v>
      </c>
      <c r="G20" s="96"/>
      <c r="H20" s="97">
        <f t="shared" si="1"/>
        <v>0</v>
      </c>
      <c r="I20" s="97">
        <f t="shared" si="2"/>
        <v>0</v>
      </c>
      <c r="J20" s="97">
        <f t="shared" si="3"/>
        <v>0</v>
      </c>
      <c r="K20" s="96"/>
      <c r="L20" s="97">
        <f t="shared" si="4"/>
        <v>0</v>
      </c>
      <c r="M20" s="97">
        <f t="shared" si="5"/>
        <v>0</v>
      </c>
      <c r="N20" s="97">
        <f t="shared" si="6"/>
        <v>0</v>
      </c>
      <c r="O20" s="96"/>
      <c r="P20" s="97">
        <f t="shared" si="7"/>
        <v>0</v>
      </c>
      <c r="Q20" s="97">
        <f t="shared" si="8"/>
        <v>0</v>
      </c>
      <c r="R20" s="97">
        <f t="shared" si="9"/>
        <v>0</v>
      </c>
      <c r="S20" s="96"/>
      <c r="T20" s="97">
        <f t="shared" si="10"/>
        <v>0</v>
      </c>
      <c r="U20" s="97">
        <f t="shared" si="11"/>
        <v>0</v>
      </c>
      <c r="V20" s="97">
        <f t="shared" si="12"/>
        <v>0</v>
      </c>
      <c r="W20" s="96"/>
      <c r="X20" s="97">
        <f t="shared" si="13"/>
        <v>0</v>
      </c>
      <c r="Y20" s="97">
        <f t="shared" si="14"/>
        <v>0</v>
      </c>
      <c r="Z20" s="97">
        <f t="shared" si="15"/>
        <v>0</v>
      </c>
      <c r="AA20" s="96"/>
      <c r="AB20" s="97">
        <f t="shared" si="16"/>
        <v>0</v>
      </c>
      <c r="AC20" s="97">
        <f t="shared" si="17"/>
        <v>0</v>
      </c>
      <c r="AD20" s="97">
        <f t="shared" si="18"/>
        <v>0</v>
      </c>
      <c r="AE20" s="96">
        <v>20</v>
      </c>
      <c r="AF20" s="97">
        <f t="shared" si="19"/>
        <v>20</v>
      </c>
      <c r="AG20" s="97">
        <f t="shared" si="20"/>
        <v>0</v>
      </c>
      <c r="AH20" s="97">
        <f t="shared" si="21"/>
        <v>0</v>
      </c>
      <c r="AI20" s="96">
        <v>5</v>
      </c>
      <c r="AJ20" s="97">
        <f t="shared" si="22"/>
        <v>5</v>
      </c>
      <c r="AK20" s="97">
        <f t="shared" si="23"/>
        <v>0</v>
      </c>
      <c r="AL20" s="97">
        <f t="shared" si="24"/>
        <v>0</v>
      </c>
      <c r="AM20" s="96">
        <v>2</v>
      </c>
      <c r="AN20" s="97">
        <f t="shared" si="25"/>
        <v>2</v>
      </c>
      <c r="AO20" s="97">
        <f t="shared" si="26"/>
        <v>0</v>
      </c>
      <c r="AP20" s="97">
        <f t="shared" si="27"/>
        <v>0</v>
      </c>
      <c r="AQ20" s="96">
        <v>3</v>
      </c>
      <c r="AR20" s="97">
        <f t="shared" si="28"/>
        <v>3</v>
      </c>
      <c r="AS20" s="97">
        <f t="shared" si="29"/>
        <v>0</v>
      </c>
      <c r="AT20" s="97">
        <f t="shared" si="30"/>
        <v>0</v>
      </c>
      <c r="AU20" s="96">
        <v>0</v>
      </c>
      <c r="AV20" s="97">
        <f t="shared" si="31"/>
        <v>0</v>
      </c>
      <c r="AW20" s="97">
        <f t="shared" si="32"/>
        <v>0</v>
      </c>
      <c r="AX20" s="97">
        <f t="shared" si="33"/>
        <v>0</v>
      </c>
      <c r="AY20" s="96">
        <v>3</v>
      </c>
      <c r="AZ20" s="65">
        <f t="shared" si="34"/>
        <v>3</v>
      </c>
      <c r="BA20" s="65">
        <f t="shared" si="35"/>
        <v>0</v>
      </c>
      <c r="BB20" s="65">
        <f t="shared" si="36"/>
        <v>0</v>
      </c>
    </row>
    <row r="21" spans="1:54" x14ac:dyDescent="0.2">
      <c r="A21" s="71"/>
      <c r="B21" s="96" t="s">
        <v>52</v>
      </c>
      <c r="C21" s="96"/>
      <c r="D21" s="97">
        <f t="shared" si="0"/>
        <v>0</v>
      </c>
      <c r="E21" s="97">
        <f>IF($B21="2-media",C21,0)</f>
        <v>0</v>
      </c>
      <c r="F21" s="97">
        <f>IF($B21="3-Alta",C21,0)</f>
        <v>0</v>
      </c>
      <c r="G21" s="96"/>
      <c r="H21" s="97">
        <f t="shared" si="1"/>
        <v>0</v>
      </c>
      <c r="I21" s="97">
        <f t="shared" si="2"/>
        <v>0</v>
      </c>
      <c r="J21" s="97">
        <f t="shared" si="3"/>
        <v>0</v>
      </c>
      <c r="K21" s="96"/>
      <c r="L21" s="97">
        <f t="shared" si="4"/>
        <v>0</v>
      </c>
      <c r="M21" s="97">
        <f t="shared" si="5"/>
        <v>0</v>
      </c>
      <c r="N21" s="97">
        <f t="shared" si="6"/>
        <v>0</v>
      </c>
      <c r="O21" s="96"/>
      <c r="P21" s="97">
        <f t="shared" si="7"/>
        <v>0</v>
      </c>
      <c r="Q21" s="97">
        <f t="shared" si="8"/>
        <v>0</v>
      </c>
      <c r="R21" s="97">
        <f t="shared" si="9"/>
        <v>0</v>
      </c>
      <c r="S21" s="96"/>
      <c r="T21" s="97">
        <f t="shared" si="10"/>
        <v>0</v>
      </c>
      <c r="U21" s="97">
        <f t="shared" si="11"/>
        <v>0</v>
      </c>
      <c r="V21" s="97">
        <f t="shared" si="12"/>
        <v>0</v>
      </c>
      <c r="W21" s="96"/>
      <c r="X21" s="97">
        <f t="shared" si="13"/>
        <v>0</v>
      </c>
      <c r="Y21" s="97">
        <f t="shared" si="14"/>
        <v>0</v>
      </c>
      <c r="Z21" s="97">
        <f t="shared" si="15"/>
        <v>0</v>
      </c>
      <c r="AA21" s="96"/>
      <c r="AB21" s="97">
        <f t="shared" si="16"/>
        <v>0</v>
      </c>
      <c r="AC21" s="97">
        <f t="shared" si="17"/>
        <v>0</v>
      </c>
      <c r="AD21" s="97">
        <f t="shared" si="18"/>
        <v>0</v>
      </c>
      <c r="AE21" s="96">
        <v>20</v>
      </c>
      <c r="AF21" s="97">
        <f t="shared" si="19"/>
        <v>20</v>
      </c>
      <c r="AG21" s="97">
        <f t="shared" si="20"/>
        <v>0</v>
      </c>
      <c r="AH21" s="97">
        <f t="shared" si="21"/>
        <v>0</v>
      </c>
      <c r="AI21" s="96">
        <v>5</v>
      </c>
      <c r="AJ21" s="97">
        <f t="shared" si="22"/>
        <v>5</v>
      </c>
      <c r="AK21" s="97">
        <f t="shared" si="23"/>
        <v>0</v>
      </c>
      <c r="AL21" s="97">
        <f t="shared" si="24"/>
        <v>0</v>
      </c>
      <c r="AM21" s="96">
        <v>2</v>
      </c>
      <c r="AN21" s="97">
        <f t="shared" si="25"/>
        <v>2</v>
      </c>
      <c r="AO21" s="97">
        <f t="shared" si="26"/>
        <v>0</v>
      </c>
      <c r="AP21" s="97">
        <f t="shared" si="27"/>
        <v>0</v>
      </c>
      <c r="AQ21" s="96">
        <v>3</v>
      </c>
      <c r="AR21" s="97">
        <f t="shared" si="28"/>
        <v>3</v>
      </c>
      <c r="AS21" s="97">
        <f t="shared" si="29"/>
        <v>0</v>
      </c>
      <c r="AT21" s="97">
        <f t="shared" si="30"/>
        <v>0</v>
      </c>
      <c r="AU21" s="96">
        <v>0</v>
      </c>
      <c r="AV21" s="97">
        <f t="shared" si="31"/>
        <v>0</v>
      </c>
      <c r="AW21" s="97">
        <f t="shared" si="32"/>
        <v>0</v>
      </c>
      <c r="AX21" s="97">
        <f t="shared" si="33"/>
        <v>0</v>
      </c>
      <c r="AY21" s="96">
        <v>3</v>
      </c>
      <c r="AZ21" s="65">
        <f t="shared" si="34"/>
        <v>3</v>
      </c>
      <c r="BA21" s="65">
        <f t="shared" si="35"/>
        <v>0</v>
      </c>
      <c r="BB21" s="65">
        <f t="shared" si="36"/>
        <v>0</v>
      </c>
    </row>
    <row r="22" spans="1:54" x14ac:dyDescent="0.2">
      <c r="A22" s="71"/>
      <c r="B22" s="96" t="s">
        <v>52</v>
      </c>
      <c r="C22" s="96"/>
      <c r="D22" s="97">
        <f t="shared" si="0"/>
        <v>0</v>
      </c>
      <c r="E22" s="97">
        <f>IF($B22="2-media",C22,0)</f>
        <v>0</v>
      </c>
      <c r="F22" s="97">
        <f>IF($B22="3-Alta",C22,0)</f>
        <v>0</v>
      </c>
      <c r="G22" s="96"/>
      <c r="H22" s="97">
        <f t="shared" si="1"/>
        <v>0</v>
      </c>
      <c r="I22" s="97">
        <f t="shared" si="2"/>
        <v>0</v>
      </c>
      <c r="J22" s="97">
        <f t="shared" si="3"/>
        <v>0</v>
      </c>
      <c r="K22" s="96"/>
      <c r="L22" s="97">
        <f t="shared" si="4"/>
        <v>0</v>
      </c>
      <c r="M22" s="97">
        <f t="shared" si="5"/>
        <v>0</v>
      </c>
      <c r="N22" s="97">
        <f t="shared" si="6"/>
        <v>0</v>
      </c>
      <c r="O22" s="96"/>
      <c r="P22" s="97">
        <f t="shared" si="7"/>
        <v>0</v>
      </c>
      <c r="Q22" s="97">
        <f t="shared" si="8"/>
        <v>0</v>
      </c>
      <c r="R22" s="97">
        <f t="shared" si="9"/>
        <v>0</v>
      </c>
      <c r="S22" s="96"/>
      <c r="T22" s="97">
        <f t="shared" si="10"/>
        <v>0</v>
      </c>
      <c r="U22" s="97">
        <f t="shared" si="11"/>
        <v>0</v>
      </c>
      <c r="V22" s="97">
        <f t="shared" si="12"/>
        <v>0</v>
      </c>
      <c r="W22" s="96"/>
      <c r="X22" s="97">
        <f t="shared" si="13"/>
        <v>0</v>
      </c>
      <c r="Y22" s="97">
        <f t="shared" si="14"/>
        <v>0</v>
      </c>
      <c r="Z22" s="97">
        <f t="shared" si="15"/>
        <v>0</v>
      </c>
      <c r="AA22" s="96"/>
      <c r="AB22" s="97">
        <f t="shared" si="16"/>
        <v>0</v>
      </c>
      <c r="AC22" s="97">
        <f t="shared" si="17"/>
        <v>0</v>
      </c>
      <c r="AD22" s="97">
        <f t="shared" si="18"/>
        <v>0</v>
      </c>
      <c r="AE22" s="96">
        <v>20</v>
      </c>
      <c r="AF22" s="97">
        <f t="shared" si="19"/>
        <v>20</v>
      </c>
      <c r="AG22" s="97">
        <f t="shared" si="20"/>
        <v>0</v>
      </c>
      <c r="AH22" s="97">
        <f t="shared" si="21"/>
        <v>0</v>
      </c>
      <c r="AI22" s="96">
        <v>5</v>
      </c>
      <c r="AJ22" s="97">
        <f t="shared" si="22"/>
        <v>5</v>
      </c>
      <c r="AK22" s="97">
        <f t="shared" si="23"/>
        <v>0</v>
      </c>
      <c r="AL22" s="97">
        <f t="shared" si="24"/>
        <v>0</v>
      </c>
      <c r="AM22" s="96">
        <v>2</v>
      </c>
      <c r="AN22" s="97">
        <f t="shared" si="25"/>
        <v>2</v>
      </c>
      <c r="AO22" s="97">
        <f t="shared" si="26"/>
        <v>0</v>
      </c>
      <c r="AP22" s="97">
        <f t="shared" si="27"/>
        <v>0</v>
      </c>
      <c r="AQ22" s="96">
        <v>3</v>
      </c>
      <c r="AR22" s="97">
        <f t="shared" si="28"/>
        <v>3</v>
      </c>
      <c r="AS22" s="97">
        <f t="shared" si="29"/>
        <v>0</v>
      </c>
      <c r="AT22" s="97">
        <f t="shared" si="30"/>
        <v>0</v>
      </c>
      <c r="AU22" s="96">
        <v>0</v>
      </c>
      <c r="AV22" s="97">
        <f t="shared" si="31"/>
        <v>0</v>
      </c>
      <c r="AW22" s="97">
        <f t="shared" si="32"/>
        <v>0</v>
      </c>
      <c r="AX22" s="97">
        <f t="shared" si="33"/>
        <v>0</v>
      </c>
      <c r="AY22" s="96">
        <v>3</v>
      </c>
      <c r="AZ22" s="65">
        <f t="shared" si="34"/>
        <v>3</v>
      </c>
      <c r="BA22" s="65">
        <f t="shared" si="35"/>
        <v>0</v>
      </c>
      <c r="BB22" s="65">
        <f t="shared" si="36"/>
        <v>0</v>
      </c>
    </row>
    <row r="23" spans="1:54" x14ac:dyDescent="0.2">
      <c r="A23" s="71"/>
      <c r="B23" s="96" t="s">
        <v>52</v>
      </c>
      <c r="C23" s="96"/>
      <c r="D23" s="97">
        <f t="shared" si="0"/>
        <v>0</v>
      </c>
      <c r="E23" s="97">
        <f t="shared" ref="E23:E76" si="37">IF($B23="2-media",C23,0)</f>
        <v>0</v>
      </c>
      <c r="F23" s="97">
        <f t="shared" ref="F23:F76" si="38">IF($B23="3-Alta",C23,0)</f>
        <v>0</v>
      </c>
      <c r="G23" s="96"/>
      <c r="H23" s="97">
        <f t="shared" si="1"/>
        <v>0</v>
      </c>
      <c r="I23" s="97">
        <f t="shared" si="2"/>
        <v>0</v>
      </c>
      <c r="J23" s="97">
        <f t="shared" si="3"/>
        <v>0</v>
      </c>
      <c r="K23" s="96"/>
      <c r="L23" s="97">
        <f t="shared" si="4"/>
        <v>0</v>
      </c>
      <c r="M23" s="97">
        <f t="shared" si="5"/>
        <v>0</v>
      </c>
      <c r="N23" s="97">
        <f t="shared" si="6"/>
        <v>0</v>
      </c>
      <c r="O23" s="96"/>
      <c r="P23" s="97">
        <f t="shared" si="7"/>
        <v>0</v>
      </c>
      <c r="Q23" s="97">
        <f t="shared" si="8"/>
        <v>0</v>
      </c>
      <c r="R23" s="97">
        <f t="shared" si="9"/>
        <v>0</v>
      </c>
      <c r="S23" s="96"/>
      <c r="T23" s="97">
        <f t="shared" si="10"/>
        <v>0</v>
      </c>
      <c r="U23" s="97">
        <f t="shared" si="11"/>
        <v>0</v>
      </c>
      <c r="V23" s="97">
        <f t="shared" si="12"/>
        <v>0</v>
      </c>
      <c r="W23" s="96"/>
      <c r="X23" s="97">
        <f t="shared" si="13"/>
        <v>0</v>
      </c>
      <c r="Y23" s="97">
        <f t="shared" si="14"/>
        <v>0</v>
      </c>
      <c r="Z23" s="97">
        <f t="shared" si="15"/>
        <v>0</v>
      </c>
      <c r="AA23" s="96"/>
      <c r="AB23" s="97">
        <f t="shared" si="16"/>
        <v>0</v>
      </c>
      <c r="AC23" s="97">
        <f t="shared" si="17"/>
        <v>0</v>
      </c>
      <c r="AD23" s="97">
        <f t="shared" si="18"/>
        <v>0</v>
      </c>
      <c r="AE23" s="96"/>
      <c r="AF23" s="97">
        <f t="shared" si="19"/>
        <v>0</v>
      </c>
      <c r="AG23" s="97">
        <f t="shared" si="20"/>
        <v>0</v>
      </c>
      <c r="AH23" s="97">
        <f t="shared" si="21"/>
        <v>0</v>
      </c>
      <c r="AI23" s="96"/>
      <c r="AJ23" s="97">
        <f t="shared" si="22"/>
        <v>0</v>
      </c>
      <c r="AK23" s="97">
        <f t="shared" si="23"/>
        <v>0</v>
      </c>
      <c r="AL23" s="97">
        <f t="shared" si="24"/>
        <v>0</v>
      </c>
      <c r="AM23" s="96"/>
      <c r="AN23" s="97">
        <f t="shared" si="25"/>
        <v>0</v>
      </c>
      <c r="AO23" s="97">
        <f t="shared" si="26"/>
        <v>0</v>
      </c>
      <c r="AP23" s="97">
        <f t="shared" si="27"/>
        <v>0</v>
      </c>
      <c r="AQ23" s="96"/>
      <c r="AR23" s="97">
        <f t="shared" si="28"/>
        <v>0</v>
      </c>
      <c r="AS23" s="97">
        <f t="shared" si="29"/>
        <v>0</v>
      </c>
      <c r="AT23" s="97">
        <f t="shared" si="30"/>
        <v>0</v>
      </c>
      <c r="AU23" s="96"/>
      <c r="AV23" s="97">
        <f t="shared" si="31"/>
        <v>0</v>
      </c>
      <c r="AW23" s="97">
        <f t="shared" si="32"/>
        <v>0</v>
      </c>
      <c r="AX23" s="97">
        <f t="shared" si="33"/>
        <v>0</v>
      </c>
      <c r="AY23" s="96"/>
      <c r="AZ23" s="65">
        <f t="shared" si="34"/>
        <v>0</v>
      </c>
      <c r="BA23" s="65">
        <f t="shared" si="35"/>
        <v>0</v>
      </c>
      <c r="BB23" s="65">
        <f t="shared" si="36"/>
        <v>0</v>
      </c>
    </row>
    <row r="24" spans="1:54" x14ac:dyDescent="0.2">
      <c r="A24" s="71"/>
      <c r="B24" s="96" t="s">
        <v>52</v>
      </c>
      <c r="C24" s="96"/>
      <c r="D24" s="97">
        <f t="shared" si="0"/>
        <v>0</v>
      </c>
      <c r="E24" s="97">
        <f t="shared" si="37"/>
        <v>0</v>
      </c>
      <c r="F24" s="97">
        <f t="shared" si="38"/>
        <v>0</v>
      </c>
      <c r="G24" s="96"/>
      <c r="H24" s="97">
        <f t="shared" si="1"/>
        <v>0</v>
      </c>
      <c r="I24" s="97">
        <f t="shared" si="2"/>
        <v>0</v>
      </c>
      <c r="J24" s="97">
        <f t="shared" si="3"/>
        <v>0</v>
      </c>
      <c r="K24" s="96"/>
      <c r="L24" s="97">
        <f t="shared" si="4"/>
        <v>0</v>
      </c>
      <c r="M24" s="97">
        <f t="shared" si="5"/>
        <v>0</v>
      </c>
      <c r="N24" s="97">
        <f t="shared" si="6"/>
        <v>0</v>
      </c>
      <c r="O24" s="96"/>
      <c r="P24" s="97">
        <f t="shared" si="7"/>
        <v>0</v>
      </c>
      <c r="Q24" s="97">
        <f t="shared" si="8"/>
        <v>0</v>
      </c>
      <c r="R24" s="97">
        <f t="shared" si="9"/>
        <v>0</v>
      </c>
      <c r="S24" s="96"/>
      <c r="T24" s="97">
        <f t="shared" si="10"/>
        <v>0</v>
      </c>
      <c r="U24" s="97">
        <f t="shared" si="11"/>
        <v>0</v>
      </c>
      <c r="V24" s="97">
        <f t="shared" si="12"/>
        <v>0</v>
      </c>
      <c r="W24" s="96"/>
      <c r="X24" s="97">
        <f t="shared" si="13"/>
        <v>0</v>
      </c>
      <c r="Y24" s="97">
        <f t="shared" si="14"/>
        <v>0</v>
      </c>
      <c r="Z24" s="97">
        <f t="shared" si="15"/>
        <v>0</v>
      </c>
      <c r="AA24" s="96"/>
      <c r="AB24" s="97">
        <f t="shared" si="16"/>
        <v>0</v>
      </c>
      <c r="AC24" s="97">
        <f t="shared" si="17"/>
        <v>0</v>
      </c>
      <c r="AD24" s="97">
        <f t="shared" si="18"/>
        <v>0</v>
      </c>
      <c r="AE24" s="96"/>
      <c r="AF24" s="97">
        <f t="shared" si="19"/>
        <v>0</v>
      </c>
      <c r="AG24" s="97">
        <f t="shared" si="20"/>
        <v>0</v>
      </c>
      <c r="AH24" s="97">
        <f t="shared" si="21"/>
        <v>0</v>
      </c>
      <c r="AI24" s="96"/>
      <c r="AJ24" s="97">
        <f t="shared" si="22"/>
        <v>0</v>
      </c>
      <c r="AK24" s="97">
        <f t="shared" si="23"/>
        <v>0</v>
      </c>
      <c r="AL24" s="97">
        <f t="shared" si="24"/>
        <v>0</v>
      </c>
      <c r="AM24" s="96"/>
      <c r="AN24" s="97">
        <f t="shared" si="25"/>
        <v>0</v>
      </c>
      <c r="AO24" s="97">
        <f t="shared" si="26"/>
        <v>0</v>
      </c>
      <c r="AP24" s="97">
        <f t="shared" si="27"/>
        <v>0</v>
      </c>
      <c r="AQ24" s="96"/>
      <c r="AR24" s="97">
        <f t="shared" si="28"/>
        <v>0</v>
      </c>
      <c r="AS24" s="97">
        <f t="shared" si="29"/>
        <v>0</v>
      </c>
      <c r="AT24" s="97">
        <f t="shared" si="30"/>
        <v>0</v>
      </c>
      <c r="AU24" s="96"/>
      <c r="AV24" s="97">
        <f t="shared" si="31"/>
        <v>0</v>
      </c>
      <c r="AW24" s="97">
        <f t="shared" si="32"/>
        <v>0</v>
      </c>
      <c r="AX24" s="97">
        <f t="shared" si="33"/>
        <v>0</v>
      </c>
      <c r="AY24" s="96"/>
      <c r="AZ24" s="65">
        <f t="shared" si="34"/>
        <v>0</v>
      </c>
      <c r="BA24" s="65">
        <f t="shared" si="35"/>
        <v>0</v>
      </c>
      <c r="BB24" s="65">
        <f t="shared" si="36"/>
        <v>0</v>
      </c>
    </row>
    <row r="25" spans="1:54" x14ac:dyDescent="0.2">
      <c r="A25" s="71"/>
      <c r="B25" s="96" t="s">
        <v>52</v>
      </c>
      <c r="C25" s="96"/>
      <c r="D25" s="97">
        <f t="shared" si="0"/>
        <v>0</v>
      </c>
      <c r="E25" s="97">
        <f t="shared" si="37"/>
        <v>0</v>
      </c>
      <c r="F25" s="97">
        <f t="shared" si="38"/>
        <v>0</v>
      </c>
      <c r="G25" s="96"/>
      <c r="H25" s="97">
        <f t="shared" si="1"/>
        <v>0</v>
      </c>
      <c r="I25" s="97">
        <f t="shared" si="2"/>
        <v>0</v>
      </c>
      <c r="J25" s="97">
        <f t="shared" si="3"/>
        <v>0</v>
      </c>
      <c r="K25" s="96"/>
      <c r="L25" s="97">
        <f t="shared" si="4"/>
        <v>0</v>
      </c>
      <c r="M25" s="97">
        <f t="shared" si="5"/>
        <v>0</v>
      </c>
      <c r="N25" s="97">
        <f t="shared" si="6"/>
        <v>0</v>
      </c>
      <c r="O25" s="96"/>
      <c r="P25" s="97">
        <f t="shared" si="7"/>
        <v>0</v>
      </c>
      <c r="Q25" s="97">
        <f t="shared" si="8"/>
        <v>0</v>
      </c>
      <c r="R25" s="97">
        <f t="shared" si="9"/>
        <v>0</v>
      </c>
      <c r="S25" s="96"/>
      <c r="T25" s="97">
        <f t="shared" si="10"/>
        <v>0</v>
      </c>
      <c r="U25" s="97">
        <f t="shared" si="11"/>
        <v>0</v>
      </c>
      <c r="V25" s="97">
        <f t="shared" si="12"/>
        <v>0</v>
      </c>
      <c r="W25" s="96"/>
      <c r="X25" s="97">
        <f t="shared" si="13"/>
        <v>0</v>
      </c>
      <c r="Y25" s="97">
        <f t="shared" si="14"/>
        <v>0</v>
      </c>
      <c r="Z25" s="97">
        <f t="shared" si="15"/>
        <v>0</v>
      </c>
      <c r="AA25" s="96"/>
      <c r="AB25" s="97">
        <f t="shared" si="16"/>
        <v>0</v>
      </c>
      <c r="AC25" s="97">
        <f t="shared" si="17"/>
        <v>0</v>
      </c>
      <c r="AD25" s="97">
        <f t="shared" si="18"/>
        <v>0</v>
      </c>
      <c r="AE25" s="96"/>
      <c r="AF25" s="97">
        <f t="shared" si="19"/>
        <v>0</v>
      </c>
      <c r="AG25" s="97">
        <f t="shared" si="20"/>
        <v>0</v>
      </c>
      <c r="AH25" s="97">
        <f t="shared" si="21"/>
        <v>0</v>
      </c>
      <c r="AI25" s="96"/>
      <c r="AJ25" s="97">
        <f t="shared" si="22"/>
        <v>0</v>
      </c>
      <c r="AK25" s="97">
        <f t="shared" si="23"/>
        <v>0</v>
      </c>
      <c r="AL25" s="97">
        <f t="shared" si="24"/>
        <v>0</v>
      </c>
      <c r="AM25" s="96"/>
      <c r="AN25" s="97">
        <f t="shared" si="25"/>
        <v>0</v>
      </c>
      <c r="AO25" s="97">
        <f t="shared" si="26"/>
        <v>0</v>
      </c>
      <c r="AP25" s="97">
        <f t="shared" si="27"/>
        <v>0</v>
      </c>
      <c r="AQ25" s="96"/>
      <c r="AR25" s="97">
        <f t="shared" si="28"/>
        <v>0</v>
      </c>
      <c r="AS25" s="97">
        <f t="shared" si="29"/>
        <v>0</v>
      </c>
      <c r="AT25" s="97">
        <f t="shared" si="30"/>
        <v>0</v>
      </c>
      <c r="AU25" s="96"/>
      <c r="AV25" s="97">
        <f t="shared" si="31"/>
        <v>0</v>
      </c>
      <c r="AW25" s="97">
        <f t="shared" si="32"/>
        <v>0</v>
      </c>
      <c r="AX25" s="97">
        <f t="shared" si="33"/>
        <v>0</v>
      </c>
      <c r="AY25" s="96"/>
      <c r="AZ25" s="65">
        <f t="shared" si="34"/>
        <v>0</v>
      </c>
      <c r="BA25" s="65">
        <f t="shared" si="35"/>
        <v>0</v>
      </c>
      <c r="BB25" s="65">
        <f t="shared" si="36"/>
        <v>0</v>
      </c>
    </row>
    <row r="26" spans="1:54" x14ac:dyDescent="0.2">
      <c r="A26" s="71"/>
      <c r="B26" s="96" t="s">
        <v>52</v>
      </c>
      <c r="C26" s="96"/>
      <c r="D26" s="97">
        <f t="shared" si="0"/>
        <v>0</v>
      </c>
      <c r="E26" s="97">
        <f t="shared" si="37"/>
        <v>0</v>
      </c>
      <c r="F26" s="97">
        <f t="shared" si="38"/>
        <v>0</v>
      </c>
      <c r="G26" s="96"/>
      <c r="H26" s="97">
        <f t="shared" si="1"/>
        <v>0</v>
      </c>
      <c r="I26" s="97">
        <f t="shared" si="2"/>
        <v>0</v>
      </c>
      <c r="J26" s="97">
        <f t="shared" si="3"/>
        <v>0</v>
      </c>
      <c r="K26" s="96"/>
      <c r="L26" s="97">
        <f t="shared" si="4"/>
        <v>0</v>
      </c>
      <c r="M26" s="97">
        <f t="shared" si="5"/>
        <v>0</v>
      </c>
      <c r="N26" s="97">
        <f t="shared" si="6"/>
        <v>0</v>
      </c>
      <c r="O26" s="96"/>
      <c r="P26" s="97">
        <f t="shared" si="7"/>
        <v>0</v>
      </c>
      <c r="Q26" s="97">
        <f t="shared" si="8"/>
        <v>0</v>
      </c>
      <c r="R26" s="97">
        <f t="shared" si="9"/>
        <v>0</v>
      </c>
      <c r="S26" s="96"/>
      <c r="T26" s="97">
        <f t="shared" si="10"/>
        <v>0</v>
      </c>
      <c r="U26" s="97">
        <f t="shared" si="11"/>
        <v>0</v>
      </c>
      <c r="V26" s="97">
        <f t="shared" si="12"/>
        <v>0</v>
      </c>
      <c r="W26" s="96"/>
      <c r="X26" s="97">
        <f t="shared" si="13"/>
        <v>0</v>
      </c>
      <c r="Y26" s="97">
        <f t="shared" si="14"/>
        <v>0</v>
      </c>
      <c r="Z26" s="97">
        <f t="shared" si="15"/>
        <v>0</v>
      </c>
      <c r="AA26" s="96"/>
      <c r="AB26" s="97">
        <f t="shared" si="16"/>
        <v>0</v>
      </c>
      <c r="AC26" s="97">
        <f t="shared" si="17"/>
        <v>0</v>
      </c>
      <c r="AD26" s="97">
        <f t="shared" si="18"/>
        <v>0</v>
      </c>
      <c r="AE26" s="96"/>
      <c r="AF26" s="97">
        <f t="shared" si="19"/>
        <v>0</v>
      </c>
      <c r="AG26" s="97">
        <f t="shared" si="20"/>
        <v>0</v>
      </c>
      <c r="AH26" s="97">
        <f t="shared" si="21"/>
        <v>0</v>
      </c>
      <c r="AI26" s="96"/>
      <c r="AJ26" s="97">
        <f t="shared" si="22"/>
        <v>0</v>
      </c>
      <c r="AK26" s="97">
        <f t="shared" si="23"/>
        <v>0</v>
      </c>
      <c r="AL26" s="97">
        <f t="shared" si="24"/>
        <v>0</v>
      </c>
      <c r="AM26" s="96"/>
      <c r="AN26" s="97">
        <f t="shared" si="25"/>
        <v>0</v>
      </c>
      <c r="AO26" s="97">
        <f t="shared" si="26"/>
        <v>0</v>
      </c>
      <c r="AP26" s="97">
        <f t="shared" si="27"/>
        <v>0</v>
      </c>
      <c r="AQ26" s="96"/>
      <c r="AR26" s="97">
        <f t="shared" si="28"/>
        <v>0</v>
      </c>
      <c r="AS26" s="97">
        <f t="shared" si="29"/>
        <v>0</v>
      </c>
      <c r="AT26" s="97">
        <f t="shared" si="30"/>
        <v>0</v>
      </c>
      <c r="AU26" s="96"/>
      <c r="AV26" s="97">
        <f t="shared" si="31"/>
        <v>0</v>
      </c>
      <c r="AW26" s="97">
        <f t="shared" si="32"/>
        <v>0</v>
      </c>
      <c r="AX26" s="97">
        <f t="shared" si="33"/>
        <v>0</v>
      </c>
      <c r="AY26" s="96"/>
      <c r="AZ26" s="65">
        <f t="shared" si="34"/>
        <v>0</v>
      </c>
      <c r="BA26" s="65">
        <f t="shared" si="35"/>
        <v>0</v>
      </c>
      <c r="BB26" s="65">
        <f t="shared" si="36"/>
        <v>0</v>
      </c>
    </row>
    <row r="27" spans="1:54" x14ac:dyDescent="0.2">
      <c r="A27" s="71"/>
      <c r="B27" s="96" t="s">
        <v>52</v>
      </c>
      <c r="C27" s="96"/>
      <c r="D27" s="97">
        <f t="shared" si="0"/>
        <v>0</v>
      </c>
      <c r="E27" s="97">
        <f t="shared" si="37"/>
        <v>0</v>
      </c>
      <c r="F27" s="97">
        <f t="shared" si="38"/>
        <v>0</v>
      </c>
      <c r="G27" s="96"/>
      <c r="H27" s="97">
        <f t="shared" si="1"/>
        <v>0</v>
      </c>
      <c r="I27" s="97">
        <f t="shared" si="2"/>
        <v>0</v>
      </c>
      <c r="J27" s="97">
        <f t="shared" si="3"/>
        <v>0</v>
      </c>
      <c r="K27" s="96"/>
      <c r="L27" s="97">
        <f t="shared" si="4"/>
        <v>0</v>
      </c>
      <c r="M27" s="97">
        <f t="shared" si="5"/>
        <v>0</v>
      </c>
      <c r="N27" s="97">
        <f t="shared" si="6"/>
        <v>0</v>
      </c>
      <c r="O27" s="96"/>
      <c r="P27" s="97">
        <f t="shared" si="7"/>
        <v>0</v>
      </c>
      <c r="Q27" s="97">
        <f t="shared" si="8"/>
        <v>0</v>
      </c>
      <c r="R27" s="97">
        <f t="shared" si="9"/>
        <v>0</v>
      </c>
      <c r="S27" s="96"/>
      <c r="T27" s="97">
        <f t="shared" si="10"/>
        <v>0</v>
      </c>
      <c r="U27" s="97">
        <f t="shared" si="11"/>
        <v>0</v>
      </c>
      <c r="V27" s="97">
        <f t="shared" si="12"/>
        <v>0</v>
      </c>
      <c r="W27" s="96"/>
      <c r="X27" s="97">
        <f t="shared" si="13"/>
        <v>0</v>
      </c>
      <c r="Y27" s="97">
        <f t="shared" si="14"/>
        <v>0</v>
      </c>
      <c r="Z27" s="97">
        <f t="shared" si="15"/>
        <v>0</v>
      </c>
      <c r="AA27" s="96"/>
      <c r="AB27" s="97">
        <f t="shared" si="16"/>
        <v>0</v>
      </c>
      <c r="AC27" s="97">
        <f t="shared" si="17"/>
        <v>0</v>
      </c>
      <c r="AD27" s="97">
        <f t="shared" si="18"/>
        <v>0</v>
      </c>
      <c r="AE27" s="96"/>
      <c r="AF27" s="97">
        <f t="shared" si="19"/>
        <v>0</v>
      </c>
      <c r="AG27" s="97">
        <f t="shared" si="20"/>
        <v>0</v>
      </c>
      <c r="AH27" s="97">
        <f t="shared" si="21"/>
        <v>0</v>
      </c>
      <c r="AI27" s="96"/>
      <c r="AJ27" s="97">
        <f t="shared" si="22"/>
        <v>0</v>
      </c>
      <c r="AK27" s="97">
        <f t="shared" si="23"/>
        <v>0</v>
      </c>
      <c r="AL27" s="97">
        <f t="shared" si="24"/>
        <v>0</v>
      </c>
      <c r="AM27" s="96"/>
      <c r="AN27" s="97">
        <f t="shared" si="25"/>
        <v>0</v>
      </c>
      <c r="AO27" s="97">
        <f t="shared" si="26"/>
        <v>0</v>
      </c>
      <c r="AP27" s="97">
        <f t="shared" si="27"/>
        <v>0</v>
      </c>
      <c r="AQ27" s="96"/>
      <c r="AR27" s="97">
        <f t="shared" si="28"/>
        <v>0</v>
      </c>
      <c r="AS27" s="97">
        <f t="shared" si="29"/>
        <v>0</v>
      </c>
      <c r="AT27" s="97">
        <f t="shared" si="30"/>
        <v>0</v>
      </c>
      <c r="AU27" s="96"/>
      <c r="AV27" s="97">
        <f t="shared" si="31"/>
        <v>0</v>
      </c>
      <c r="AW27" s="97">
        <f t="shared" si="32"/>
        <v>0</v>
      </c>
      <c r="AX27" s="97">
        <f t="shared" si="33"/>
        <v>0</v>
      </c>
      <c r="AY27" s="96"/>
      <c r="AZ27" s="65">
        <f t="shared" si="34"/>
        <v>0</v>
      </c>
      <c r="BA27" s="65">
        <f t="shared" si="35"/>
        <v>0</v>
      </c>
      <c r="BB27" s="65">
        <f t="shared" si="36"/>
        <v>0</v>
      </c>
    </row>
    <row r="28" spans="1:54" x14ac:dyDescent="0.2">
      <c r="A28" s="71"/>
      <c r="B28" s="96" t="s">
        <v>52</v>
      </c>
      <c r="C28" s="96"/>
      <c r="D28" s="97">
        <f t="shared" si="0"/>
        <v>0</v>
      </c>
      <c r="E28" s="97">
        <f t="shared" si="37"/>
        <v>0</v>
      </c>
      <c r="F28" s="97">
        <f t="shared" si="38"/>
        <v>0</v>
      </c>
      <c r="G28" s="96"/>
      <c r="H28" s="97">
        <f t="shared" si="1"/>
        <v>0</v>
      </c>
      <c r="I28" s="97">
        <f t="shared" si="2"/>
        <v>0</v>
      </c>
      <c r="J28" s="97">
        <f t="shared" si="3"/>
        <v>0</v>
      </c>
      <c r="K28" s="96"/>
      <c r="L28" s="97">
        <f t="shared" si="4"/>
        <v>0</v>
      </c>
      <c r="M28" s="97">
        <f t="shared" si="5"/>
        <v>0</v>
      </c>
      <c r="N28" s="97">
        <f t="shared" si="6"/>
        <v>0</v>
      </c>
      <c r="O28" s="96"/>
      <c r="P28" s="97">
        <f t="shared" si="7"/>
        <v>0</v>
      </c>
      <c r="Q28" s="97">
        <f t="shared" si="8"/>
        <v>0</v>
      </c>
      <c r="R28" s="97">
        <f t="shared" si="9"/>
        <v>0</v>
      </c>
      <c r="S28" s="96"/>
      <c r="T28" s="97">
        <f t="shared" si="10"/>
        <v>0</v>
      </c>
      <c r="U28" s="97">
        <f t="shared" si="11"/>
        <v>0</v>
      </c>
      <c r="V28" s="97">
        <f t="shared" si="12"/>
        <v>0</v>
      </c>
      <c r="W28" s="96"/>
      <c r="X28" s="97">
        <f t="shared" si="13"/>
        <v>0</v>
      </c>
      <c r="Y28" s="97">
        <f t="shared" si="14"/>
        <v>0</v>
      </c>
      <c r="Z28" s="97">
        <f t="shared" si="15"/>
        <v>0</v>
      </c>
      <c r="AA28" s="96"/>
      <c r="AB28" s="97">
        <f t="shared" si="16"/>
        <v>0</v>
      </c>
      <c r="AC28" s="97">
        <f t="shared" si="17"/>
        <v>0</v>
      </c>
      <c r="AD28" s="97">
        <f t="shared" si="18"/>
        <v>0</v>
      </c>
      <c r="AE28" s="96"/>
      <c r="AF28" s="97">
        <f t="shared" si="19"/>
        <v>0</v>
      </c>
      <c r="AG28" s="97">
        <f t="shared" si="20"/>
        <v>0</v>
      </c>
      <c r="AH28" s="97">
        <f t="shared" si="21"/>
        <v>0</v>
      </c>
      <c r="AI28" s="96"/>
      <c r="AJ28" s="97">
        <f t="shared" si="22"/>
        <v>0</v>
      </c>
      <c r="AK28" s="97">
        <f t="shared" si="23"/>
        <v>0</v>
      </c>
      <c r="AL28" s="97">
        <f t="shared" si="24"/>
        <v>0</v>
      </c>
      <c r="AM28" s="96"/>
      <c r="AN28" s="97">
        <f t="shared" si="25"/>
        <v>0</v>
      </c>
      <c r="AO28" s="97">
        <f t="shared" si="26"/>
        <v>0</v>
      </c>
      <c r="AP28" s="97">
        <f t="shared" si="27"/>
        <v>0</v>
      </c>
      <c r="AQ28" s="96"/>
      <c r="AR28" s="97">
        <f t="shared" si="28"/>
        <v>0</v>
      </c>
      <c r="AS28" s="97">
        <f t="shared" si="29"/>
        <v>0</v>
      </c>
      <c r="AT28" s="97">
        <f t="shared" si="30"/>
        <v>0</v>
      </c>
      <c r="AU28" s="96"/>
      <c r="AV28" s="97">
        <f t="shared" si="31"/>
        <v>0</v>
      </c>
      <c r="AW28" s="97">
        <f t="shared" si="32"/>
        <v>0</v>
      </c>
      <c r="AX28" s="97">
        <f t="shared" si="33"/>
        <v>0</v>
      </c>
      <c r="AY28" s="96"/>
      <c r="AZ28" s="65">
        <f t="shared" si="34"/>
        <v>0</v>
      </c>
      <c r="BA28" s="65">
        <f t="shared" si="35"/>
        <v>0</v>
      </c>
      <c r="BB28" s="65">
        <f t="shared" si="36"/>
        <v>0</v>
      </c>
    </row>
    <row r="29" spans="1:54" x14ac:dyDescent="0.2">
      <c r="A29" s="71"/>
      <c r="B29" s="96" t="s">
        <v>52</v>
      </c>
      <c r="C29" s="96"/>
      <c r="D29" s="97">
        <f t="shared" si="0"/>
        <v>0</v>
      </c>
      <c r="E29" s="97">
        <f t="shared" si="37"/>
        <v>0</v>
      </c>
      <c r="F29" s="97">
        <f t="shared" si="38"/>
        <v>0</v>
      </c>
      <c r="G29" s="96"/>
      <c r="H29" s="97">
        <f t="shared" si="1"/>
        <v>0</v>
      </c>
      <c r="I29" s="97">
        <f t="shared" si="2"/>
        <v>0</v>
      </c>
      <c r="J29" s="97">
        <f t="shared" si="3"/>
        <v>0</v>
      </c>
      <c r="K29" s="96"/>
      <c r="L29" s="97">
        <f t="shared" si="4"/>
        <v>0</v>
      </c>
      <c r="M29" s="97">
        <f t="shared" si="5"/>
        <v>0</v>
      </c>
      <c r="N29" s="97">
        <f t="shared" si="6"/>
        <v>0</v>
      </c>
      <c r="O29" s="96"/>
      <c r="P29" s="97">
        <f t="shared" si="7"/>
        <v>0</v>
      </c>
      <c r="Q29" s="97">
        <f t="shared" si="8"/>
        <v>0</v>
      </c>
      <c r="R29" s="97">
        <f t="shared" si="9"/>
        <v>0</v>
      </c>
      <c r="S29" s="96"/>
      <c r="T29" s="97">
        <f t="shared" si="10"/>
        <v>0</v>
      </c>
      <c r="U29" s="97">
        <f t="shared" si="11"/>
        <v>0</v>
      </c>
      <c r="V29" s="97">
        <f t="shared" si="12"/>
        <v>0</v>
      </c>
      <c r="W29" s="96"/>
      <c r="X29" s="97">
        <f t="shared" si="13"/>
        <v>0</v>
      </c>
      <c r="Y29" s="97">
        <f t="shared" si="14"/>
        <v>0</v>
      </c>
      <c r="Z29" s="97">
        <f t="shared" si="15"/>
        <v>0</v>
      </c>
      <c r="AA29" s="96"/>
      <c r="AB29" s="97">
        <f t="shared" si="16"/>
        <v>0</v>
      </c>
      <c r="AC29" s="97">
        <f t="shared" si="17"/>
        <v>0</v>
      </c>
      <c r="AD29" s="97">
        <f t="shared" si="18"/>
        <v>0</v>
      </c>
      <c r="AE29" s="96"/>
      <c r="AF29" s="97">
        <f t="shared" si="19"/>
        <v>0</v>
      </c>
      <c r="AG29" s="97">
        <f t="shared" si="20"/>
        <v>0</v>
      </c>
      <c r="AH29" s="97">
        <f t="shared" si="21"/>
        <v>0</v>
      </c>
      <c r="AI29" s="96"/>
      <c r="AJ29" s="97">
        <f t="shared" si="22"/>
        <v>0</v>
      </c>
      <c r="AK29" s="97">
        <f t="shared" si="23"/>
        <v>0</v>
      </c>
      <c r="AL29" s="97">
        <f t="shared" si="24"/>
        <v>0</v>
      </c>
      <c r="AM29" s="96"/>
      <c r="AN29" s="97">
        <f t="shared" si="25"/>
        <v>0</v>
      </c>
      <c r="AO29" s="97">
        <f t="shared" si="26"/>
        <v>0</v>
      </c>
      <c r="AP29" s="97">
        <f t="shared" si="27"/>
        <v>0</v>
      </c>
      <c r="AQ29" s="96"/>
      <c r="AR29" s="97">
        <f t="shared" si="28"/>
        <v>0</v>
      </c>
      <c r="AS29" s="97">
        <f t="shared" si="29"/>
        <v>0</v>
      </c>
      <c r="AT29" s="97">
        <f t="shared" si="30"/>
        <v>0</v>
      </c>
      <c r="AU29" s="96"/>
      <c r="AV29" s="97">
        <f t="shared" si="31"/>
        <v>0</v>
      </c>
      <c r="AW29" s="97">
        <f t="shared" si="32"/>
        <v>0</v>
      </c>
      <c r="AX29" s="97">
        <f t="shared" si="33"/>
        <v>0</v>
      </c>
      <c r="AY29" s="96"/>
      <c r="AZ29" s="65">
        <f t="shared" si="34"/>
        <v>0</v>
      </c>
      <c r="BA29" s="65">
        <f t="shared" si="35"/>
        <v>0</v>
      </c>
      <c r="BB29" s="65">
        <f t="shared" si="36"/>
        <v>0</v>
      </c>
    </row>
    <row r="30" spans="1:54" x14ac:dyDescent="0.2">
      <c r="A30" s="71"/>
      <c r="B30" s="96" t="s">
        <v>52</v>
      </c>
      <c r="C30" s="96"/>
      <c r="D30" s="97">
        <f t="shared" si="0"/>
        <v>0</v>
      </c>
      <c r="E30" s="97">
        <f t="shared" si="37"/>
        <v>0</v>
      </c>
      <c r="F30" s="97">
        <f t="shared" si="38"/>
        <v>0</v>
      </c>
      <c r="G30" s="96"/>
      <c r="H30" s="97">
        <f t="shared" si="1"/>
        <v>0</v>
      </c>
      <c r="I30" s="97">
        <f t="shared" si="2"/>
        <v>0</v>
      </c>
      <c r="J30" s="97">
        <f t="shared" si="3"/>
        <v>0</v>
      </c>
      <c r="K30" s="96"/>
      <c r="L30" s="97">
        <f t="shared" si="4"/>
        <v>0</v>
      </c>
      <c r="M30" s="97">
        <f t="shared" si="5"/>
        <v>0</v>
      </c>
      <c r="N30" s="97">
        <f t="shared" si="6"/>
        <v>0</v>
      </c>
      <c r="O30" s="96"/>
      <c r="P30" s="97">
        <f t="shared" si="7"/>
        <v>0</v>
      </c>
      <c r="Q30" s="97">
        <f t="shared" si="8"/>
        <v>0</v>
      </c>
      <c r="R30" s="97">
        <f t="shared" si="9"/>
        <v>0</v>
      </c>
      <c r="S30" s="96"/>
      <c r="T30" s="97">
        <f t="shared" si="10"/>
        <v>0</v>
      </c>
      <c r="U30" s="97">
        <f t="shared" si="11"/>
        <v>0</v>
      </c>
      <c r="V30" s="97">
        <f t="shared" si="12"/>
        <v>0</v>
      </c>
      <c r="W30" s="96"/>
      <c r="X30" s="97">
        <f t="shared" si="13"/>
        <v>0</v>
      </c>
      <c r="Y30" s="97">
        <f t="shared" si="14"/>
        <v>0</v>
      </c>
      <c r="Z30" s="97">
        <f t="shared" si="15"/>
        <v>0</v>
      </c>
      <c r="AA30" s="96"/>
      <c r="AB30" s="97">
        <f t="shared" si="16"/>
        <v>0</v>
      </c>
      <c r="AC30" s="97">
        <f t="shared" si="17"/>
        <v>0</v>
      </c>
      <c r="AD30" s="97">
        <f t="shared" si="18"/>
        <v>0</v>
      </c>
      <c r="AE30" s="96"/>
      <c r="AF30" s="97">
        <f t="shared" si="19"/>
        <v>0</v>
      </c>
      <c r="AG30" s="97">
        <f t="shared" si="20"/>
        <v>0</v>
      </c>
      <c r="AH30" s="97">
        <f t="shared" si="21"/>
        <v>0</v>
      </c>
      <c r="AI30" s="96"/>
      <c r="AJ30" s="97">
        <f t="shared" si="22"/>
        <v>0</v>
      </c>
      <c r="AK30" s="97">
        <f t="shared" si="23"/>
        <v>0</v>
      </c>
      <c r="AL30" s="97">
        <f t="shared" si="24"/>
        <v>0</v>
      </c>
      <c r="AM30" s="96"/>
      <c r="AN30" s="97">
        <f t="shared" si="25"/>
        <v>0</v>
      </c>
      <c r="AO30" s="97">
        <f t="shared" si="26"/>
        <v>0</v>
      </c>
      <c r="AP30" s="97">
        <f t="shared" si="27"/>
        <v>0</v>
      </c>
      <c r="AQ30" s="96"/>
      <c r="AR30" s="97">
        <f t="shared" si="28"/>
        <v>0</v>
      </c>
      <c r="AS30" s="97">
        <f t="shared" si="29"/>
        <v>0</v>
      </c>
      <c r="AT30" s="97">
        <f t="shared" si="30"/>
        <v>0</v>
      </c>
      <c r="AU30" s="96"/>
      <c r="AV30" s="97">
        <f t="shared" si="31"/>
        <v>0</v>
      </c>
      <c r="AW30" s="97">
        <f t="shared" si="32"/>
        <v>0</v>
      </c>
      <c r="AX30" s="97">
        <f t="shared" si="33"/>
        <v>0</v>
      </c>
      <c r="AY30" s="96"/>
      <c r="AZ30" s="65">
        <f t="shared" si="34"/>
        <v>0</v>
      </c>
      <c r="BA30" s="65">
        <f t="shared" si="35"/>
        <v>0</v>
      </c>
      <c r="BB30" s="65">
        <f t="shared" si="36"/>
        <v>0</v>
      </c>
    </row>
    <row r="31" spans="1:54" x14ac:dyDescent="0.2">
      <c r="A31" s="71"/>
      <c r="B31" s="96" t="s">
        <v>52</v>
      </c>
      <c r="C31" s="96"/>
      <c r="D31" s="97">
        <f t="shared" si="0"/>
        <v>0</v>
      </c>
      <c r="E31" s="97">
        <f t="shared" si="37"/>
        <v>0</v>
      </c>
      <c r="F31" s="97">
        <f t="shared" si="38"/>
        <v>0</v>
      </c>
      <c r="G31" s="96"/>
      <c r="H31" s="97">
        <f t="shared" si="1"/>
        <v>0</v>
      </c>
      <c r="I31" s="97">
        <f t="shared" si="2"/>
        <v>0</v>
      </c>
      <c r="J31" s="97">
        <f t="shared" si="3"/>
        <v>0</v>
      </c>
      <c r="K31" s="96"/>
      <c r="L31" s="97">
        <f t="shared" si="4"/>
        <v>0</v>
      </c>
      <c r="M31" s="97">
        <f t="shared" si="5"/>
        <v>0</v>
      </c>
      <c r="N31" s="97">
        <f t="shared" si="6"/>
        <v>0</v>
      </c>
      <c r="O31" s="96"/>
      <c r="P31" s="97">
        <f t="shared" si="7"/>
        <v>0</v>
      </c>
      <c r="Q31" s="97">
        <f t="shared" si="8"/>
        <v>0</v>
      </c>
      <c r="R31" s="97">
        <f t="shared" si="9"/>
        <v>0</v>
      </c>
      <c r="S31" s="96"/>
      <c r="T31" s="97">
        <f t="shared" si="10"/>
        <v>0</v>
      </c>
      <c r="U31" s="97">
        <f t="shared" si="11"/>
        <v>0</v>
      </c>
      <c r="V31" s="97">
        <f t="shared" si="12"/>
        <v>0</v>
      </c>
      <c r="W31" s="96"/>
      <c r="X31" s="97">
        <f t="shared" si="13"/>
        <v>0</v>
      </c>
      <c r="Y31" s="97">
        <f t="shared" si="14"/>
        <v>0</v>
      </c>
      <c r="Z31" s="97">
        <f t="shared" si="15"/>
        <v>0</v>
      </c>
      <c r="AA31" s="96"/>
      <c r="AB31" s="97">
        <f t="shared" si="16"/>
        <v>0</v>
      </c>
      <c r="AC31" s="97">
        <f t="shared" si="17"/>
        <v>0</v>
      </c>
      <c r="AD31" s="97">
        <f t="shared" si="18"/>
        <v>0</v>
      </c>
      <c r="AE31" s="96"/>
      <c r="AF31" s="97">
        <f t="shared" si="19"/>
        <v>0</v>
      </c>
      <c r="AG31" s="97">
        <f t="shared" si="20"/>
        <v>0</v>
      </c>
      <c r="AH31" s="97">
        <f t="shared" si="21"/>
        <v>0</v>
      </c>
      <c r="AI31" s="96"/>
      <c r="AJ31" s="97">
        <f t="shared" si="22"/>
        <v>0</v>
      </c>
      <c r="AK31" s="97">
        <f t="shared" si="23"/>
        <v>0</v>
      </c>
      <c r="AL31" s="97">
        <f t="shared" si="24"/>
        <v>0</v>
      </c>
      <c r="AM31" s="96"/>
      <c r="AN31" s="97">
        <f t="shared" si="25"/>
        <v>0</v>
      </c>
      <c r="AO31" s="97">
        <f t="shared" si="26"/>
        <v>0</v>
      </c>
      <c r="AP31" s="97">
        <f t="shared" si="27"/>
        <v>0</v>
      </c>
      <c r="AQ31" s="96"/>
      <c r="AR31" s="97">
        <f t="shared" si="28"/>
        <v>0</v>
      </c>
      <c r="AS31" s="97">
        <f t="shared" si="29"/>
        <v>0</v>
      </c>
      <c r="AT31" s="97">
        <f t="shared" si="30"/>
        <v>0</v>
      </c>
      <c r="AU31" s="96"/>
      <c r="AV31" s="97">
        <f t="shared" si="31"/>
        <v>0</v>
      </c>
      <c r="AW31" s="97">
        <f t="shared" si="32"/>
        <v>0</v>
      </c>
      <c r="AX31" s="97">
        <f t="shared" si="33"/>
        <v>0</v>
      </c>
      <c r="AY31" s="96"/>
      <c r="AZ31" s="65">
        <f t="shared" si="34"/>
        <v>0</v>
      </c>
      <c r="BA31" s="65">
        <f t="shared" si="35"/>
        <v>0</v>
      </c>
      <c r="BB31" s="65">
        <f t="shared" si="36"/>
        <v>0</v>
      </c>
    </row>
    <row r="32" spans="1:54" x14ac:dyDescent="0.2">
      <c r="A32" s="71"/>
      <c r="B32" s="96" t="s">
        <v>52</v>
      </c>
      <c r="C32" s="96"/>
      <c r="D32" s="97">
        <f t="shared" si="0"/>
        <v>0</v>
      </c>
      <c r="E32" s="97">
        <f t="shared" si="37"/>
        <v>0</v>
      </c>
      <c r="F32" s="97">
        <f t="shared" si="38"/>
        <v>0</v>
      </c>
      <c r="G32" s="96"/>
      <c r="H32" s="97">
        <f t="shared" si="1"/>
        <v>0</v>
      </c>
      <c r="I32" s="97">
        <f t="shared" si="2"/>
        <v>0</v>
      </c>
      <c r="J32" s="97">
        <f t="shared" si="3"/>
        <v>0</v>
      </c>
      <c r="K32" s="96"/>
      <c r="L32" s="97">
        <f t="shared" si="4"/>
        <v>0</v>
      </c>
      <c r="M32" s="97">
        <f t="shared" si="5"/>
        <v>0</v>
      </c>
      <c r="N32" s="97">
        <f t="shared" si="6"/>
        <v>0</v>
      </c>
      <c r="O32" s="96"/>
      <c r="P32" s="97">
        <f t="shared" si="7"/>
        <v>0</v>
      </c>
      <c r="Q32" s="97">
        <f t="shared" si="8"/>
        <v>0</v>
      </c>
      <c r="R32" s="97">
        <f t="shared" si="9"/>
        <v>0</v>
      </c>
      <c r="S32" s="96"/>
      <c r="T32" s="97">
        <f t="shared" si="10"/>
        <v>0</v>
      </c>
      <c r="U32" s="97">
        <f t="shared" si="11"/>
        <v>0</v>
      </c>
      <c r="V32" s="97">
        <f t="shared" si="12"/>
        <v>0</v>
      </c>
      <c r="W32" s="96"/>
      <c r="X32" s="97">
        <f t="shared" si="13"/>
        <v>0</v>
      </c>
      <c r="Y32" s="97">
        <f t="shared" si="14"/>
        <v>0</v>
      </c>
      <c r="Z32" s="97">
        <f t="shared" si="15"/>
        <v>0</v>
      </c>
      <c r="AA32" s="96"/>
      <c r="AB32" s="97">
        <f t="shared" si="16"/>
        <v>0</v>
      </c>
      <c r="AC32" s="97">
        <f t="shared" si="17"/>
        <v>0</v>
      </c>
      <c r="AD32" s="97">
        <f t="shared" si="18"/>
        <v>0</v>
      </c>
      <c r="AE32" s="96"/>
      <c r="AF32" s="97">
        <f t="shared" si="19"/>
        <v>0</v>
      </c>
      <c r="AG32" s="97">
        <f t="shared" si="20"/>
        <v>0</v>
      </c>
      <c r="AH32" s="97">
        <f t="shared" si="21"/>
        <v>0</v>
      </c>
      <c r="AI32" s="96"/>
      <c r="AJ32" s="97">
        <f t="shared" si="22"/>
        <v>0</v>
      </c>
      <c r="AK32" s="97">
        <f t="shared" si="23"/>
        <v>0</v>
      </c>
      <c r="AL32" s="97">
        <f t="shared" si="24"/>
        <v>0</v>
      </c>
      <c r="AM32" s="96"/>
      <c r="AN32" s="97">
        <f t="shared" si="25"/>
        <v>0</v>
      </c>
      <c r="AO32" s="97">
        <f t="shared" si="26"/>
        <v>0</v>
      </c>
      <c r="AP32" s="97">
        <f t="shared" si="27"/>
        <v>0</v>
      </c>
      <c r="AQ32" s="96"/>
      <c r="AR32" s="97">
        <f t="shared" si="28"/>
        <v>0</v>
      </c>
      <c r="AS32" s="97">
        <f t="shared" si="29"/>
        <v>0</v>
      </c>
      <c r="AT32" s="97">
        <f t="shared" si="30"/>
        <v>0</v>
      </c>
      <c r="AU32" s="96"/>
      <c r="AV32" s="97">
        <f t="shared" si="31"/>
        <v>0</v>
      </c>
      <c r="AW32" s="97">
        <f t="shared" si="32"/>
        <v>0</v>
      </c>
      <c r="AX32" s="97">
        <f t="shared" si="33"/>
        <v>0</v>
      </c>
      <c r="AY32" s="96"/>
      <c r="AZ32" s="65">
        <f t="shared" si="34"/>
        <v>0</v>
      </c>
      <c r="BA32" s="65">
        <f t="shared" si="35"/>
        <v>0</v>
      </c>
      <c r="BB32" s="65">
        <f t="shared" si="36"/>
        <v>0</v>
      </c>
    </row>
    <row r="33" spans="1:54" x14ac:dyDescent="0.2">
      <c r="A33" s="71"/>
      <c r="B33" s="96" t="s">
        <v>52</v>
      </c>
      <c r="C33" s="96"/>
      <c r="D33" s="97">
        <f t="shared" si="0"/>
        <v>0</v>
      </c>
      <c r="E33" s="97">
        <f t="shared" si="37"/>
        <v>0</v>
      </c>
      <c r="F33" s="97">
        <f t="shared" si="38"/>
        <v>0</v>
      </c>
      <c r="G33" s="96"/>
      <c r="H33" s="97">
        <f t="shared" si="1"/>
        <v>0</v>
      </c>
      <c r="I33" s="97">
        <f t="shared" si="2"/>
        <v>0</v>
      </c>
      <c r="J33" s="97">
        <f t="shared" si="3"/>
        <v>0</v>
      </c>
      <c r="K33" s="96"/>
      <c r="L33" s="97">
        <f t="shared" si="4"/>
        <v>0</v>
      </c>
      <c r="M33" s="97">
        <f t="shared" si="5"/>
        <v>0</v>
      </c>
      <c r="N33" s="97">
        <f t="shared" si="6"/>
        <v>0</v>
      </c>
      <c r="O33" s="96"/>
      <c r="P33" s="97">
        <f t="shared" si="7"/>
        <v>0</v>
      </c>
      <c r="Q33" s="97">
        <f t="shared" si="8"/>
        <v>0</v>
      </c>
      <c r="R33" s="97">
        <f t="shared" si="9"/>
        <v>0</v>
      </c>
      <c r="S33" s="96"/>
      <c r="T33" s="97">
        <f t="shared" si="10"/>
        <v>0</v>
      </c>
      <c r="U33" s="97">
        <f t="shared" si="11"/>
        <v>0</v>
      </c>
      <c r="V33" s="97">
        <f t="shared" si="12"/>
        <v>0</v>
      </c>
      <c r="W33" s="96"/>
      <c r="X33" s="97">
        <f t="shared" si="13"/>
        <v>0</v>
      </c>
      <c r="Y33" s="97">
        <f t="shared" si="14"/>
        <v>0</v>
      </c>
      <c r="Z33" s="97">
        <f t="shared" si="15"/>
        <v>0</v>
      </c>
      <c r="AA33" s="96"/>
      <c r="AB33" s="97">
        <f t="shared" si="16"/>
        <v>0</v>
      </c>
      <c r="AC33" s="97">
        <f t="shared" si="17"/>
        <v>0</v>
      </c>
      <c r="AD33" s="97">
        <f t="shared" si="18"/>
        <v>0</v>
      </c>
      <c r="AE33" s="96"/>
      <c r="AF33" s="97">
        <f t="shared" si="19"/>
        <v>0</v>
      </c>
      <c r="AG33" s="97">
        <f t="shared" si="20"/>
        <v>0</v>
      </c>
      <c r="AH33" s="97">
        <f t="shared" si="21"/>
        <v>0</v>
      </c>
      <c r="AI33" s="96"/>
      <c r="AJ33" s="97">
        <f t="shared" si="22"/>
        <v>0</v>
      </c>
      <c r="AK33" s="97">
        <f t="shared" si="23"/>
        <v>0</v>
      </c>
      <c r="AL33" s="97">
        <f t="shared" si="24"/>
        <v>0</v>
      </c>
      <c r="AM33" s="96"/>
      <c r="AN33" s="97">
        <f t="shared" si="25"/>
        <v>0</v>
      </c>
      <c r="AO33" s="97">
        <f t="shared" si="26"/>
        <v>0</v>
      </c>
      <c r="AP33" s="97">
        <f t="shared" si="27"/>
        <v>0</v>
      </c>
      <c r="AQ33" s="96"/>
      <c r="AR33" s="97">
        <f t="shared" si="28"/>
        <v>0</v>
      </c>
      <c r="AS33" s="97">
        <f t="shared" si="29"/>
        <v>0</v>
      </c>
      <c r="AT33" s="97">
        <f t="shared" si="30"/>
        <v>0</v>
      </c>
      <c r="AU33" s="96"/>
      <c r="AV33" s="97">
        <f t="shared" si="31"/>
        <v>0</v>
      </c>
      <c r="AW33" s="97">
        <f t="shared" si="32"/>
        <v>0</v>
      </c>
      <c r="AX33" s="97">
        <f t="shared" si="33"/>
        <v>0</v>
      </c>
      <c r="AY33" s="96"/>
      <c r="AZ33" s="65">
        <f t="shared" si="34"/>
        <v>0</v>
      </c>
      <c r="BA33" s="65">
        <f t="shared" si="35"/>
        <v>0</v>
      </c>
      <c r="BB33" s="65">
        <f t="shared" si="36"/>
        <v>0</v>
      </c>
    </row>
    <row r="34" spans="1:54" x14ac:dyDescent="0.2">
      <c r="A34" s="71"/>
      <c r="B34" s="96" t="s">
        <v>52</v>
      </c>
      <c r="C34" s="96"/>
      <c r="D34" s="97">
        <f t="shared" si="0"/>
        <v>0</v>
      </c>
      <c r="E34" s="97">
        <f t="shared" si="37"/>
        <v>0</v>
      </c>
      <c r="F34" s="97">
        <f t="shared" si="38"/>
        <v>0</v>
      </c>
      <c r="G34" s="96"/>
      <c r="H34" s="97">
        <f t="shared" si="1"/>
        <v>0</v>
      </c>
      <c r="I34" s="97">
        <f t="shared" si="2"/>
        <v>0</v>
      </c>
      <c r="J34" s="97">
        <f t="shared" si="3"/>
        <v>0</v>
      </c>
      <c r="K34" s="96"/>
      <c r="L34" s="97">
        <f t="shared" si="4"/>
        <v>0</v>
      </c>
      <c r="M34" s="97">
        <f t="shared" si="5"/>
        <v>0</v>
      </c>
      <c r="N34" s="97">
        <f t="shared" si="6"/>
        <v>0</v>
      </c>
      <c r="O34" s="96"/>
      <c r="P34" s="97">
        <f t="shared" si="7"/>
        <v>0</v>
      </c>
      <c r="Q34" s="97">
        <f t="shared" si="8"/>
        <v>0</v>
      </c>
      <c r="R34" s="97">
        <f t="shared" si="9"/>
        <v>0</v>
      </c>
      <c r="S34" s="96"/>
      <c r="T34" s="97">
        <f t="shared" si="10"/>
        <v>0</v>
      </c>
      <c r="U34" s="97">
        <f t="shared" si="11"/>
        <v>0</v>
      </c>
      <c r="V34" s="97">
        <f t="shared" si="12"/>
        <v>0</v>
      </c>
      <c r="W34" s="96"/>
      <c r="X34" s="97">
        <f t="shared" si="13"/>
        <v>0</v>
      </c>
      <c r="Y34" s="97">
        <f t="shared" si="14"/>
        <v>0</v>
      </c>
      <c r="Z34" s="97">
        <f t="shared" si="15"/>
        <v>0</v>
      </c>
      <c r="AA34" s="96"/>
      <c r="AB34" s="97">
        <f t="shared" si="16"/>
        <v>0</v>
      </c>
      <c r="AC34" s="97">
        <f t="shared" si="17"/>
        <v>0</v>
      </c>
      <c r="AD34" s="97">
        <f t="shared" si="18"/>
        <v>0</v>
      </c>
      <c r="AE34" s="96"/>
      <c r="AF34" s="97">
        <f t="shared" si="19"/>
        <v>0</v>
      </c>
      <c r="AG34" s="97">
        <f t="shared" si="20"/>
        <v>0</v>
      </c>
      <c r="AH34" s="97">
        <f t="shared" si="21"/>
        <v>0</v>
      </c>
      <c r="AI34" s="96"/>
      <c r="AJ34" s="97">
        <f t="shared" si="22"/>
        <v>0</v>
      </c>
      <c r="AK34" s="97">
        <f t="shared" si="23"/>
        <v>0</v>
      </c>
      <c r="AL34" s="97">
        <f t="shared" si="24"/>
        <v>0</v>
      </c>
      <c r="AM34" s="96"/>
      <c r="AN34" s="97">
        <f t="shared" si="25"/>
        <v>0</v>
      </c>
      <c r="AO34" s="97">
        <f t="shared" si="26"/>
        <v>0</v>
      </c>
      <c r="AP34" s="97">
        <f t="shared" si="27"/>
        <v>0</v>
      </c>
      <c r="AQ34" s="96"/>
      <c r="AR34" s="97">
        <f t="shared" si="28"/>
        <v>0</v>
      </c>
      <c r="AS34" s="97">
        <f t="shared" si="29"/>
        <v>0</v>
      </c>
      <c r="AT34" s="97">
        <f t="shared" si="30"/>
        <v>0</v>
      </c>
      <c r="AU34" s="96"/>
      <c r="AV34" s="97">
        <f t="shared" si="31"/>
        <v>0</v>
      </c>
      <c r="AW34" s="97">
        <f t="shared" si="32"/>
        <v>0</v>
      </c>
      <c r="AX34" s="97">
        <f t="shared" si="33"/>
        <v>0</v>
      </c>
      <c r="AY34" s="96"/>
      <c r="AZ34" s="65">
        <f t="shared" si="34"/>
        <v>0</v>
      </c>
      <c r="BA34" s="65">
        <f t="shared" si="35"/>
        <v>0</v>
      </c>
      <c r="BB34" s="65">
        <f t="shared" si="36"/>
        <v>0</v>
      </c>
    </row>
    <row r="35" spans="1:54" x14ac:dyDescent="0.2">
      <c r="A35" s="71"/>
      <c r="B35" s="96" t="s">
        <v>52</v>
      </c>
      <c r="C35" s="96"/>
      <c r="D35" s="97">
        <f t="shared" si="0"/>
        <v>0</v>
      </c>
      <c r="E35" s="97">
        <f t="shared" si="37"/>
        <v>0</v>
      </c>
      <c r="F35" s="97">
        <f t="shared" si="38"/>
        <v>0</v>
      </c>
      <c r="G35" s="96"/>
      <c r="H35" s="97">
        <f t="shared" si="1"/>
        <v>0</v>
      </c>
      <c r="I35" s="97">
        <f t="shared" si="2"/>
        <v>0</v>
      </c>
      <c r="J35" s="97">
        <f t="shared" si="3"/>
        <v>0</v>
      </c>
      <c r="K35" s="96"/>
      <c r="L35" s="97">
        <f t="shared" si="4"/>
        <v>0</v>
      </c>
      <c r="M35" s="97">
        <f t="shared" si="5"/>
        <v>0</v>
      </c>
      <c r="N35" s="97">
        <f t="shared" si="6"/>
        <v>0</v>
      </c>
      <c r="O35" s="96"/>
      <c r="P35" s="97">
        <f t="shared" si="7"/>
        <v>0</v>
      </c>
      <c r="Q35" s="97">
        <f t="shared" si="8"/>
        <v>0</v>
      </c>
      <c r="R35" s="97">
        <f t="shared" si="9"/>
        <v>0</v>
      </c>
      <c r="S35" s="96"/>
      <c r="T35" s="97">
        <f t="shared" si="10"/>
        <v>0</v>
      </c>
      <c r="U35" s="97">
        <f t="shared" si="11"/>
        <v>0</v>
      </c>
      <c r="V35" s="97">
        <f t="shared" si="12"/>
        <v>0</v>
      </c>
      <c r="W35" s="96"/>
      <c r="X35" s="97">
        <f t="shared" si="13"/>
        <v>0</v>
      </c>
      <c r="Y35" s="97">
        <f t="shared" si="14"/>
        <v>0</v>
      </c>
      <c r="Z35" s="97">
        <f t="shared" si="15"/>
        <v>0</v>
      </c>
      <c r="AA35" s="96"/>
      <c r="AB35" s="97">
        <f t="shared" si="16"/>
        <v>0</v>
      </c>
      <c r="AC35" s="97">
        <f t="shared" si="17"/>
        <v>0</v>
      </c>
      <c r="AD35" s="97">
        <f t="shared" si="18"/>
        <v>0</v>
      </c>
      <c r="AE35" s="96"/>
      <c r="AF35" s="97">
        <f t="shared" si="19"/>
        <v>0</v>
      </c>
      <c r="AG35" s="97">
        <f t="shared" si="20"/>
        <v>0</v>
      </c>
      <c r="AH35" s="97">
        <f t="shared" si="21"/>
        <v>0</v>
      </c>
      <c r="AI35" s="96"/>
      <c r="AJ35" s="97">
        <f t="shared" si="22"/>
        <v>0</v>
      </c>
      <c r="AK35" s="97">
        <f t="shared" si="23"/>
        <v>0</v>
      </c>
      <c r="AL35" s="97">
        <f t="shared" si="24"/>
        <v>0</v>
      </c>
      <c r="AM35" s="96"/>
      <c r="AN35" s="97">
        <f t="shared" si="25"/>
        <v>0</v>
      </c>
      <c r="AO35" s="97">
        <f t="shared" si="26"/>
        <v>0</v>
      </c>
      <c r="AP35" s="97">
        <f t="shared" si="27"/>
        <v>0</v>
      </c>
      <c r="AQ35" s="96"/>
      <c r="AR35" s="97">
        <f t="shared" si="28"/>
        <v>0</v>
      </c>
      <c r="AS35" s="97">
        <f t="shared" si="29"/>
        <v>0</v>
      </c>
      <c r="AT35" s="97">
        <f t="shared" si="30"/>
        <v>0</v>
      </c>
      <c r="AU35" s="96"/>
      <c r="AV35" s="97">
        <f t="shared" si="31"/>
        <v>0</v>
      </c>
      <c r="AW35" s="97">
        <f t="shared" si="32"/>
        <v>0</v>
      </c>
      <c r="AX35" s="97">
        <f t="shared" si="33"/>
        <v>0</v>
      </c>
      <c r="AY35" s="96"/>
      <c r="AZ35" s="65">
        <f t="shared" si="34"/>
        <v>0</v>
      </c>
      <c r="BA35" s="65">
        <f t="shared" si="35"/>
        <v>0</v>
      </c>
      <c r="BB35" s="65">
        <f t="shared" si="36"/>
        <v>0</v>
      </c>
    </row>
    <row r="36" spans="1:54" x14ac:dyDescent="0.2">
      <c r="A36" s="71"/>
      <c r="B36" s="96" t="s">
        <v>52</v>
      </c>
      <c r="C36" s="96"/>
      <c r="D36" s="97">
        <f t="shared" si="0"/>
        <v>0</v>
      </c>
      <c r="E36" s="97">
        <f t="shared" si="37"/>
        <v>0</v>
      </c>
      <c r="F36" s="97">
        <f t="shared" si="38"/>
        <v>0</v>
      </c>
      <c r="G36" s="96"/>
      <c r="H36" s="97">
        <f t="shared" si="1"/>
        <v>0</v>
      </c>
      <c r="I36" s="97">
        <f t="shared" si="2"/>
        <v>0</v>
      </c>
      <c r="J36" s="97">
        <f t="shared" si="3"/>
        <v>0</v>
      </c>
      <c r="K36" s="96"/>
      <c r="L36" s="97">
        <f t="shared" si="4"/>
        <v>0</v>
      </c>
      <c r="M36" s="97">
        <f t="shared" si="5"/>
        <v>0</v>
      </c>
      <c r="N36" s="97">
        <f t="shared" si="6"/>
        <v>0</v>
      </c>
      <c r="O36" s="96"/>
      <c r="P36" s="97">
        <f t="shared" si="7"/>
        <v>0</v>
      </c>
      <c r="Q36" s="97">
        <f t="shared" si="8"/>
        <v>0</v>
      </c>
      <c r="R36" s="97">
        <f t="shared" si="9"/>
        <v>0</v>
      </c>
      <c r="S36" s="96"/>
      <c r="T36" s="97">
        <f t="shared" si="10"/>
        <v>0</v>
      </c>
      <c r="U36" s="97">
        <f t="shared" si="11"/>
        <v>0</v>
      </c>
      <c r="V36" s="97">
        <f t="shared" si="12"/>
        <v>0</v>
      </c>
      <c r="W36" s="96"/>
      <c r="X36" s="97">
        <f t="shared" si="13"/>
        <v>0</v>
      </c>
      <c r="Y36" s="97">
        <f t="shared" si="14"/>
        <v>0</v>
      </c>
      <c r="Z36" s="97">
        <f t="shared" si="15"/>
        <v>0</v>
      </c>
      <c r="AA36" s="96"/>
      <c r="AB36" s="97">
        <f t="shared" si="16"/>
        <v>0</v>
      </c>
      <c r="AC36" s="97">
        <f t="shared" si="17"/>
        <v>0</v>
      </c>
      <c r="AD36" s="97">
        <f t="shared" si="18"/>
        <v>0</v>
      </c>
      <c r="AE36" s="96"/>
      <c r="AF36" s="97">
        <f t="shared" si="19"/>
        <v>0</v>
      </c>
      <c r="AG36" s="97">
        <f t="shared" si="20"/>
        <v>0</v>
      </c>
      <c r="AH36" s="97">
        <f t="shared" si="21"/>
        <v>0</v>
      </c>
      <c r="AI36" s="96"/>
      <c r="AJ36" s="97">
        <f t="shared" si="22"/>
        <v>0</v>
      </c>
      <c r="AK36" s="97">
        <f t="shared" si="23"/>
        <v>0</v>
      </c>
      <c r="AL36" s="97">
        <f t="shared" si="24"/>
        <v>0</v>
      </c>
      <c r="AM36" s="96"/>
      <c r="AN36" s="97">
        <f t="shared" si="25"/>
        <v>0</v>
      </c>
      <c r="AO36" s="97">
        <f t="shared" si="26"/>
        <v>0</v>
      </c>
      <c r="AP36" s="97">
        <f t="shared" si="27"/>
        <v>0</v>
      </c>
      <c r="AQ36" s="96"/>
      <c r="AR36" s="97">
        <f t="shared" si="28"/>
        <v>0</v>
      </c>
      <c r="AS36" s="97">
        <f t="shared" si="29"/>
        <v>0</v>
      </c>
      <c r="AT36" s="97">
        <f t="shared" si="30"/>
        <v>0</v>
      </c>
      <c r="AU36" s="96"/>
      <c r="AV36" s="97">
        <f t="shared" si="31"/>
        <v>0</v>
      </c>
      <c r="AW36" s="97">
        <f t="shared" si="32"/>
        <v>0</v>
      </c>
      <c r="AX36" s="97">
        <f t="shared" si="33"/>
        <v>0</v>
      </c>
      <c r="AY36" s="96"/>
      <c r="AZ36" s="65">
        <f t="shared" si="34"/>
        <v>0</v>
      </c>
      <c r="BA36" s="65">
        <f t="shared" si="35"/>
        <v>0</v>
      </c>
      <c r="BB36" s="65">
        <f t="shared" si="36"/>
        <v>0</v>
      </c>
    </row>
    <row r="37" spans="1:54" x14ac:dyDescent="0.2">
      <c r="A37" s="71"/>
      <c r="B37" s="96" t="s">
        <v>52</v>
      </c>
      <c r="C37" s="96"/>
      <c r="D37" s="97">
        <f t="shared" si="0"/>
        <v>0</v>
      </c>
      <c r="E37" s="97">
        <f t="shared" si="37"/>
        <v>0</v>
      </c>
      <c r="F37" s="97">
        <f t="shared" si="38"/>
        <v>0</v>
      </c>
      <c r="G37" s="96"/>
      <c r="H37" s="97">
        <f t="shared" si="1"/>
        <v>0</v>
      </c>
      <c r="I37" s="97">
        <f t="shared" si="2"/>
        <v>0</v>
      </c>
      <c r="J37" s="97">
        <f t="shared" si="3"/>
        <v>0</v>
      </c>
      <c r="K37" s="96"/>
      <c r="L37" s="97">
        <f t="shared" si="4"/>
        <v>0</v>
      </c>
      <c r="M37" s="97">
        <f t="shared" si="5"/>
        <v>0</v>
      </c>
      <c r="N37" s="97">
        <f t="shared" si="6"/>
        <v>0</v>
      </c>
      <c r="O37" s="96"/>
      <c r="P37" s="97">
        <f t="shared" si="7"/>
        <v>0</v>
      </c>
      <c r="Q37" s="97">
        <f t="shared" si="8"/>
        <v>0</v>
      </c>
      <c r="R37" s="97">
        <f t="shared" si="9"/>
        <v>0</v>
      </c>
      <c r="S37" s="96"/>
      <c r="T37" s="97">
        <f t="shared" si="10"/>
        <v>0</v>
      </c>
      <c r="U37" s="97">
        <f t="shared" si="11"/>
        <v>0</v>
      </c>
      <c r="V37" s="97">
        <f t="shared" si="12"/>
        <v>0</v>
      </c>
      <c r="W37" s="96"/>
      <c r="X37" s="97">
        <f t="shared" si="13"/>
        <v>0</v>
      </c>
      <c r="Y37" s="97">
        <f t="shared" si="14"/>
        <v>0</v>
      </c>
      <c r="Z37" s="97">
        <f t="shared" si="15"/>
        <v>0</v>
      </c>
      <c r="AA37" s="96"/>
      <c r="AB37" s="97">
        <f t="shared" si="16"/>
        <v>0</v>
      </c>
      <c r="AC37" s="97">
        <f t="shared" si="17"/>
        <v>0</v>
      </c>
      <c r="AD37" s="97">
        <f t="shared" si="18"/>
        <v>0</v>
      </c>
      <c r="AE37" s="96"/>
      <c r="AF37" s="97">
        <f t="shared" si="19"/>
        <v>0</v>
      </c>
      <c r="AG37" s="97">
        <f t="shared" si="20"/>
        <v>0</v>
      </c>
      <c r="AH37" s="97">
        <f t="shared" si="21"/>
        <v>0</v>
      </c>
      <c r="AI37" s="96"/>
      <c r="AJ37" s="97">
        <f t="shared" si="22"/>
        <v>0</v>
      </c>
      <c r="AK37" s="97">
        <f t="shared" si="23"/>
        <v>0</v>
      </c>
      <c r="AL37" s="97">
        <f t="shared" si="24"/>
        <v>0</v>
      </c>
      <c r="AM37" s="96"/>
      <c r="AN37" s="97">
        <f t="shared" si="25"/>
        <v>0</v>
      </c>
      <c r="AO37" s="97">
        <f t="shared" si="26"/>
        <v>0</v>
      </c>
      <c r="AP37" s="97">
        <f t="shared" si="27"/>
        <v>0</v>
      </c>
      <c r="AQ37" s="96"/>
      <c r="AR37" s="97">
        <f t="shared" si="28"/>
        <v>0</v>
      </c>
      <c r="AS37" s="97">
        <f t="shared" si="29"/>
        <v>0</v>
      </c>
      <c r="AT37" s="97">
        <f t="shared" si="30"/>
        <v>0</v>
      </c>
      <c r="AU37" s="96"/>
      <c r="AV37" s="97">
        <f t="shared" si="31"/>
        <v>0</v>
      </c>
      <c r="AW37" s="97">
        <f t="shared" si="32"/>
        <v>0</v>
      </c>
      <c r="AX37" s="97">
        <f t="shared" si="33"/>
        <v>0</v>
      </c>
      <c r="AY37" s="96"/>
      <c r="AZ37" s="65">
        <f t="shared" si="34"/>
        <v>0</v>
      </c>
      <c r="BA37" s="65">
        <f t="shared" si="35"/>
        <v>0</v>
      </c>
      <c r="BB37" s="65">
        <f t="shared" si="36"/>
        <v>0</v>
      </c>
    </row>
    <row r="38" spans="1:54" x14ac:dyDescent="0.2">
      <c r="A38" s="71"/>
      <c r="B38" s="96" t="s">
        <v>52</v>
      </c>
      <c r="C38" s="96"/>
      <c r="D38" s="97">
        <f t="shared" si="0"/>
        <v>0</v>
      </c>
      <c r="E38" s="97">
        <f t="shared" si="37"/>
        <v>0</v>
      </c>
      <c r="F38" s="97">
        <f t="shared" si="38"/>
        <v>0</v>
      </c>
      <c r="G38" s="96"/>
      <c r="H38" s="97">
        <f t="shared" si="1"/>
        <v>0</v>
      </c>
      <c r="I38" s="97">
        <f t="shared" si="2"/>
        <v>0</v>
      </c>
      <c r="J38" s="97">
        <f t="shared" si="3"/>
        <v>0</v>
      </c>
      <c r="K38" s="96"/>
      <c r="L38" s="97">
        <f t="shared" si="4"/>
        <v>0</v>
      </c>
      <c r="M38" s="97">
        <f t="shared" si="5"/>
        <v>0</v>
      </c>
      <c r="N38" s="97">
        <f t="shared" si="6"/>
        <v>0</v>
      </c>
      <c r="O38" s="96"/>
      <c r="P38" s="97">
        <f t="shared" si="7"/>
        <v>0</v>
      </c>
      <c r="Q38" s="97">
        <f t="shared" si="8"/>
        <v>0</v>
      </c>
      <c r="R38" s="97">
        <f t="shared" si="9"/>
        <v>0</v>
      </c>
      <c r="S38" s="96"/>
      <c r="T38" s="97">
        <f t="shared" si="10"/>
        <v>0</v>
      </c>
      <c r="U38" s="97">
        <f t="shared" si="11"/>
        <v>0</v>
      </c>
      <c r="V38" s="97">
        <f t="shared" si="12"/>
        <v>0</v>
      </c>
      <c r="W38" s="96"/>
      <c r="X38" s="97">
        <f t="shared" si="13"/>
        <v>0</v>
      </c>
      <c r="Y38" s="97">
        <f t="shared" si="14"/>
        <v>0</v>
      </c>
      <c r="Z38" s="97">
        <f t="shared" si="15"/>
        <v>0</v>
      </c>
      <c r="AA38" s="96"/>
      <c r="AB38" s="97">
        <f t="shared" si="16"/>
        <v>0</v>
      </c>
      <c r="AC38" s="97">
        <f t="shared" si="17"/>
        <v>0</v>
      </c>
      <c r="AD38" s="97">
        <f t="shared" si="18"/>
        <v>0</v>
      </c>
      <c r="AE38" s="96"/>
      <c r="AF38" s="97">
        <f t="shared" si="19"/>
        <v>0</v>
      </c>
      <c r="AG38" s="97">
        <f t="shared" si="20"/>
        <v>0</v>
      </c>
      <c r="AH38" s="97">
        <f t="shared" si="21"/>
        <v>0</v>
      </c>
      <c r="AI38" s="96"/>
      <c r="AJ38" s="97">
        <f t="shared" si="22"/>
        <v>0</v>
      </c>
      <c r="AK38" s="97">
        <f t="shared" si="23"/>
        <v>0</v>
      </c>
      <c r="AL38" s="97">
        <f t="shared" si="24"/>
        <v>0</v>
      </c>
      <c r="AM38" s="96"/>
      <c r="AN38" s="97">
        <f t="shared" si="25"/>
        <v>0</v>
      </c>
      <c r="AO38" s="97">
        <f t="shared" si="26"/>
        <v>0</v>
      </c>
      <c r="AP38" s="97">
        <f t="shared" si="27"/>
        <v>0</v>
      </c>
      <c r="AQ38" s="96"/>
      <c r="AR38" s="97">
        <f t="shared" si="28"/>
        <v>0</v>
      </c>
      <c r="AS38" s="97">
        <f t="shared" si="29"/>
        <v>0</v>
      </c>
      <c r="AT38" s="97">
        <f t="shared" si="30"/>
        <v>0</v>
      </c>
      <c r="AU38" s="96"/>
      <c r="AV38" s="97">
        <f t="shared" si="31"/>
        <v>0</v>
      </c>
      <c r="AW38" s="97">
        <f t="shared" si="32"/>
        <v>0</v>
      </c>
      <c r="AX38" s="97">
        <f t="shared" si="33"/>
        <v>0</v>
      </c>
      <c r="AY38" s="96"/>
      <c r="AZ38" s="65">
        <f t="shared" si="34"/>
        <v>0</v>
      </c>
      <c r="BA38" s="65">
        <f t="shared" si="35"/>
        <v>0</v>
      </c>
      <c r="BB38" s="65">
        <f t="shared" si="36"/>
        <v>0</v>
      </c>
    </row>
    <row r="39" spans="1:54" x14ac:dyDescent="0.2">
      <c r="A39" s="71"/>
      <c r="B39" s="96" t="s">
        <v>52</v>
      </c>
      <c r="C39" s="96"/>
      <c r="D39" s="97">
        <f t="shared" si="0"/>
        <v>0</v>
      </c>
      <c r="E39" s="97">
        <f t="shared" si="37"/>
        <v>0</v>
      </c>
      <c r="F39" s="97">
        <f t="shared" si="38"/>
        <v>0</v>
      </c>
      <c r="G39" s="96"/>
      <c r="H39" s="97">
        <f t="shared" si="1"/>
        <v>0</v>
      </c>
      <c r="I39" s="97">
        <f t="shared" si="2"/>
        <v>0</v>
      </c>
      <c r="J39" s="97">
        <f t="shared" si="3"/>
        <v>0</v>
      </c>
      <c r="K39" s="96"/>
      <c r="L39" s="97">
        <f t="shared" si="4"/>
        <v>0</v>
      </c>
      <c r="M39" s="97">
        <f t="shared" si="5"/>
        <v>0</v>
      </c>
      <c r="N39" s="97">
        <f t="shared" si="6"/>
        <v>0</v>
      </c>
      <c r="O39" s="96"/>
      <c r="P39" s="97">
        <f t="shared" si="7"/>
        <v>0</v>
      </c>
      <c r="Q39" s="97">
        <f t="shared" si="8"/>
        <v>0</v>
      </c>
      <c r="R39" s="97">
        <f t="shared" si="9"/>
        <v>0</v>
      </c>
      <c r="S39" s="96"/>
      <c r="T39" s="97">
        <f t="shared" si="10"/>
        <v>0</v>
      </c>
      <c r="U39" s="97">
        <f t="shared" si="11"/>
        <v>0</v>
      </c>
      <c r="V39" s="97">
        <f t="shared" si="12"/>
        <v>0</v>
      </c>
      <c r="W39" s="96"/>
      <c r="X39" s="97">
        <f t="shared" si="13"/>
        <v>0</v>
      </c>
      <c r="Y39" s="97">
        <f t="shared" si="14"/>
        <v>0</v>
      </c>
      <c r="Z39" s="97">
        <f t="shared" si="15"/>
        <v>0</v>
      </c>
      <c r="AA39" s="96"/>
      <c r="AB39" s="97">
        <f t="shared" si="16"/>
        <v>0</v>
      </c>
      <c r="AC39" s="97">
        <f t="shared" si="17"/>
        <v>0</v>
      </c>
      <c r="AD39" s="97">
        <f t="shared" si="18"/>
        <v>0</v>
      </c>
      <c r="AE39" s="96"/>
      <c r="AF39" s="97">
        <f t="shared" si="19"/>
        <v>0</v>
      </c>
      <c r="AG39" s="97">
        <f t="shared" si="20"/>
        <v>0</v>
      </c>
      <c r="AH39" s="97">
        <f t="shared" si="21"/>
        <v>0</v>
      </c>
      <c r="AI39" s="96"/>
      <c r="AJ39" s="97">
        <f t="shared" si="22"/>
        <v>0</v>
      </c>
      <c r="AK39" s="97">
        <f t="shared" si="23"/>
        <v>0</v>
      </c>
      <c r="AL39" s="97">
        <f t="shared" si="24"/>
        <v>0</v>
      </c>
      <c r="AM39" s="96"/>
      <c r="AN39" s="97">
        <f t="shared" si="25"/>
        <v>0</v>
      </c>
      <c r="AO39" s="97">
        <f t="shared" si="26"/>
        <v>0</v>
      </c>
      <c r="AP39" s="97">
        <f t="shared" si="27"/>
        <v>0</v>
      </c>
      <c r="AQ39" s="96"/>
      <c r="AR39" s="97">
        <f t="shared" si="28"/>
        <v>0</v>
      </c>
      <c r="AS39" s="97">
        <f t="shared" si="29"/>
        <v>0</v>
      </c>
      <c r="AT39" s="97">
        <f t="shared" si="30"/>
        <v>0</v>
      </c>
      <c r="AU39" s="96"/>
      <c r="AV39" s="97">
        <f t="shared" si="31"/>
        <v>0</v>
      </c>
      <c r="AW39" s="97">
        <f t="shared" si="32"/>
        <v>0</v>
      </c>
      <c r="AX39" s="97">
        <f t="shared" si="33"/>
        <v>0</v>
      </c>
      <c r="AY39" s="96"/>
      <c r="AZ39" s="65">
        <f t="shared" si="34"/>
        <v>0</v>
      </c>
      <c r="BA39" s="65">
        <f t="shared" si="35"/>
        <v>0</v>
      </c>
      <c r="BB39" s="65">
        <f t="shared" si="36"/>
        <v>0</v>
      </c>
    </row>
    <row r="40" spans="1:54" x14ac:dyDescent="0.2">
      <c r="A40" s="71"/>
      <c r="B40" s="96" t="s">
        <v>52</v>
      </c>
      <c r="C40" s="96"/>
      <c r="D40" s="97">
        <f t="shared" si="0"/>
        <v>0</v>
      </c>
      <c r="E40" s="97">
        <f t="shared" si="37"/>
        <v>0</v>
      </c>
      <c r="F40" s="97">
        <f t="shared" si="38"/>
        <v>0</v>
      </c>
      <c r="G40" s="96"/>
      <c r="H40" s="97">
        <f t="shared" si="1"/>
        <v>0</v>
      </c>
      <c r="I40" s="97">
        <f t="shared" si="2"/>
        <v>0</v>
      </c>
      <c r="J40" s="97">
        <f t="shared" si="3"/>
        <v>0</v>
      </c>
      <c r="K40" s="96"/>
      <c r="L40" s="97">
        <f t="shared" si="4"/>
        <v>0</v>
      </c>
      <c r="M40" s="97">
        <f t="shared" si="5"/>
        <v>0</v>
      </c>
      <c r="N40" s="97">
        <f t="shared" si="6"/>
        <v>0</v>
      </c>
      <c r="O40" s="96"/>
      <c r="P40" s="97">
        <f t="shared" si="7"/>
        <v>0</v>
      </c>
      <c r="Q40" s="97">
        <f t="shared" si="8"/>
        <v>0</v>
      </c>
      <c r="R40" s="97">
        <f t="shared" si="9"/>
        <v>0</v>
      </c>
      <c r="S40" s="96"/>
      <c r="T40" s="97">
        <f t="shared" si="10"/>
        <v>0</v>
      </c>
      <c r="U40" s="97">
        <f t="shared" si="11"/>
        <v>0</v>
      </c>
      <c r="V40" s="97">
        <f t="shared" si="12"/>
        <v>0</v>
      </c>
      <c r="W40" s="96"/>
      <c r="X40" s="97">
        <f t="shared" si="13"/>
        <v>0</v>
      </c>
      <c r="Y40" s="97">
        <f t="shared" si="14"/>
        <v>0</v>
      </c>
      <c r="Z40" s="97">
        <f t="shared" si="15"/>
        <v>0</v>
      </c>
      <c r="AA40" s="96"/>
      <c r="AB40" s="97">
        <f t="shared" si="16"/>
        <v>0</v>
      </c>
      <c r="AC40" s="97">
        <f t="shared" si="17"/>
        <v>0</v>
      </c>
      <c r="AD40" s="97">
        <f t="shared" si="18"/>
        <v>0</v>
      </c>
      <c r="AE40" s="96"/>
      <c r="AF40" s="97">
        <f t="shared" si="19"/>
        <v>0</v>
      </c>
      <c r="AG40" s="97">
        <f t="shared" si="20"/>
        <v>0</v>
      </c>
      <c r="AH40" s="97">
        <f t="shared" si="21"/>
        <v>0</v>
      </c>
      <c r="AI40" s="96"/>
      <c r="AJ40" s="97">
        <f t="shared" si="22"/>
        <v>0</v>
      </c>
      <c r="AK40" s="97">
        <f t="shared" si="23"/>
        <v>0</v>
      </c>
      <c r="AL40" s="97">
        <f t="shared" si="24"/>
        <v>0</v>
      </c>
      <c r="AM40" s="96"/>
      <c r="AN40" s="97">
        <f t="shared" si="25"/>
        <v>0</v>
      </c>
      <c r="AO40" s="97">
        <f t="shared" si="26"/>
        <v>0</v>
      </c>
      <c r="AP40" s="97">
        <f t="shared" si="27"/>
        <v>0</v>
      </c>
      <c r="AQ40" s="96"/>
      <c r="AR40" s="97">
        <f t="shared" si="28"/>
        <v>0</v>
      </c>
      <c r="AS40" s="97">
        <f t="shared" si="29"/>
        <v>0</v>
      </c>
      <c r="AT40" s="97">
        <f t="shared" si="30"/>
        <v>0</v>
      </c>
      <c r="AU40" s="96"/>
      <c r="AV40" s="97">
        <f t="shared" si="31"/>
        <v>0</v>
      </c>
      <c r="AW40" s="97">
        <f t="shared" si="32"/>
        <v>0</v>
      </c>
      <c r="AX40" s="97">
        <f t="shared" si="33"/>
        <v>0</v>
      </c>
      <c r="AY40" s="96"/>
      <c r="AZ40" s="65">
        <f t="shared" si="34"/>
        <v>0</v>
      </c>
      <c r="BA40" s="65">
        <f t="shared" si="35"/>
        <v>0</v>
      </c>
      <c r="BB40" s="65">
        <f t="shared" si="36"/>
        <v>0</v>
      </c>
    </row>
    <row r="41" spans="1:54" x14ac:dyDescent="0.2">
      <c r="A41" s="71"/>
      <c r="B41" s="96" t="s">
        <v>52</v>
      </c>
      <c r="C41" s="96"/>
      <c r="D41" s="97">
        <f t="shared" si="0"/>
        <v>0</v>
      </c>
      <c r="E41" s="97">
        <f t="shared" si="37"/>
        <v>0</v>
      </c>
      <c r="F41" s="97">
        <f t="shared" si="38"/>
        <v>0</v>
      </c>
      <c r="G41" s="96"/>
      <c r="H41" s="97">
        <f t="shared" si="1"/>
        <v>0</v>
      </c>
      <c r="I41" s="97">
        <f t="shared" si="2"/>
        <v>0</v>
      </c>
      <c r="J41" s="97">
        <f t="shared" si="3"/>
        <v>0</v>
      </c>
      <c r="K41" s="96"/>
      <c r="L41" s="97">
        <f t="shared" si="4"/>
        <v>0</v>
      </c>
      <c r="M41" s="97">
        <f t="shared" si="5"/>
        <v>0</v>
      </c>
      <c r="N41" s="97">
        <f t="shared" si="6"/>
        <v>0</v>
      </c>
      <c r="O41" s="96"/>
      <c r="P41" s="97">
        <f t="shared" si="7"/>
        <v>0</v>
      </c>
      <c r="Q41" s="97">
        <f t="shared" si="8"/>
        <v>0</v>
      </c>
      <c r="R41" s="97">
        <f t="shared" si="9"/>
        <v>0</v>
      </c>
      <c r="S41" s="96"/>
      <c r="T41" s="97">
        <f t="shared" si="10"/>
        <v>0</v>
      </c>
      <c r="U41" s="97">
        <f t="shared" si="11"/>
        <v>0</v>
      </c>
      <c r="V41" s="97">
        <f t="shared" si="12"/>
        <v>0</v>
      </c>
      <c r="W41" s="96"/>
      <c r="X41" s="97">
        <f t="shared" si="13"/>
        <v>0</v>
      </c>
      <c r="Y41" s="97">
        <f t="shared" si="14"/>
        <v>0</v>
      </c>
      <c r="Z41" s="97">
        <f t="shared" si="15"/>
        <v>0</v>
      </c>
      <c r="AA41" s="96"/>
      <c r="AB41" s="97">
        <f t="shared" si="16"/>
        <v>0</v>
      </c>
      <c r="AC41" s="97">
        <f t="shared" si="17"/>
        <v>0</v>
      </c>
      <c r="AD41" s="97">
        <f t="shared" si="18"/>
        <v>0</v>
      </c>
      <c r="AE41" s="96"/>
      <c r="AF41" s="97">
        <f t="shared" si="19"/>
        <v>0</v>
      </c>
      <c r="AG41" s="97">
        <f t="shared" si="20"/>
        <v>0</v>
      </c>
      <c r="AH41" s="97">
        <f t="shared" si="21"/>
        <v>0</v>
      </c>
      <c r="AI41" s="96"/>
      <c r="AJ41" s="97">
        <f t="shared" si="22"/>
        <v>0</v>
      </c>
      <c r="AK41" s="97">
        <f t="shared" si="23"/>
        <v>0</v>
      </c>
      <c r="AL41" s="97">
        <f t="shared" si="24"/>
        <v>0</v>
      </c>
      <c r="AM41" s="96"/>
      <c r="AN41" s="97">
        <f t="shared" si="25"/>
        <v>0</v>
      </c>
      <c r="AO41" s="97">
        <f t="shared" si="26"/>
        <v>0</v>
      </c>
      <c r="AP41" s="97">
        <f t="shared" si="27"/>
        <v>0</v>
      </c>
      <c r="AQ41" s="96"/>
      <c r="AR41" s="97">
        <f t="shared" si="28"/>
        <v>0</v>
      </c>
      <c r="AS41" s="97">
        <f t="shared" si="29"/>
        <v>0</v>
      </c>
      <c r="AT41" s="97">
        <f t="shared" si="30"/>
        <v>0</v>
      </c>
      <c r="AU41" s="96"/>
      <c r="AV41" s="97">
        <f t="shared" si="31"/>
        <v>0</v>
      </c>
      <c r="AW41" s="97">
        <f t="shared" si="32"/>
        <v>0</v>
      </c>
      <c r="AX41" s="97">
        <f t="shared" si="33"/>
        <v>0</v>
      </c>
      <c r="AY41" s="96"/>
      <c r="AZ41" s="65">
        <f t="shared" si="34"/>
        <v>0</v>
      </c>
      <c r="BA41" s="65">
        <f t="shared" si="35"/>
        <v>0</v>
      </c>
      <c r="BB41" s="65">
        <f t="shared" si="36"/>
        <v>0</v>
      </c>
    </row>
    <row r="42" spans="1:54" x14ac:dyDescent="0.2">
      <c r="A42" s="71"/>
      <c r="B42" s="96" t="s">
        <v>52</v>
      </c>
      <c r="C42" s="96"/>
      <c r="D42" s="97">
        <f t="shared" si="0"/>
        <v>0</v>
      </c>
      <c r="E42" s="97">
        <f t="shared" si="37"/>
        <v>0</v>
      </c>
      <c r="F42" s="97">
        <f t="shared" si="38"/>
        <v>0</v>
      </c>
      <c r="G42" s="96"/>
      <c r="H42" s="97">
        <f t="shared" si="1"/>
        <v>0</v>
      </c>
      <c r="I42" s="97">
        <f t="shared" si="2"/>
        <v>0</v>
      </c>
      <c r="J42" s="97">
        <f t="shared" si="3"/>
        <v>0</v>
      </c>
      <c r="K42" s="96"/>
      <c r="L42" s="97">
        <f t="shared" si="4"/>
        <v>0</v>
      </c>
      <c r="M42" s="97">
        <f t="shared" si="5"/>
        <v>0</v>
      </c>
      <c r="N42" s="97">
        <f t="shared" si="6"/>
        <v>0</v>
      </c>
      <c r="O42" s="96"/>
      <c r="P42" s="97">
        <f t="shared" si="7"/>
        <v>0</v>
      </c>
      <c r="Q42" s="97">
        <f t="shared" si="8"/>
        <v>0</v>
      </c>
      <c r="R42" s="97">
        <f t="shared" si="9"/>
        <v>0</v>
      </c>
      <c r="S42" s="96"/>
      <c r="T42" s="97">
        <f t="shared" si="10"/>
        <v>0</v>
      </c>
      <c r="U42" s="97">
        <f t="shared" si="11"/>
        <v>0</v>
      </c>
      <c r="V42" s="97">
        <f t="shared" si="12"/>
        <v>0</v>
      </c>
      <c r="W42" s="96"/>
      <c r="X42" s="97">
        <f t="shared" si="13"/>
        <v>0</v>
      </c>
      <c r="Y42" s="97">
        <f t="shared" si="14"/>
        <v>0</v>
      </c>
      <c r="Z42" s="97">
        <f t="shared" si="15"/>
        <v>0</v>
      </c>
      <c r="AA42" s="96"/>
      <c r="AB42" s="97">
        <f t="shared" si="16"/>
        <v>0</v>
      </c>
      <c r="AC42" s="97">
        <f t="shared" si="17"/>
        <v>0</v>
      </c>
      <c r="AD42" s="97">
        <f t="shared" si="18"/>
        <v>0</v>
      </c>
      <c r="AE42" s="96"/>
      <c r="AF42" s="97">
        <f t="shared" si="19"/>
        <v>0</v>
      </c>
      <c r="AG42" s="97">
        <f t="shared" si="20"/>
        <v>0</v>
      </c>
      <c r="AH42" s="97">
        <f t="shared" si="21"/>
        <v>0</v>
      </c>
      <c r="AI42" s="96"/>
      <c r="AJ42" s="97">
        <f t="shared" si="22"/>
        <v>0</v>
      </c>
      <c r="AK42" s="97">
        <f t="shared" si="23"/>
        <v>0</v>
      </c>
      <c r="AL42" s="97">
        <f t="shared" si="24"/>
        <v>0</v>
      </c>
      <c r="AM42" s="96"/>
      <c r="AN42" s="97">
        <f t="shared" si="25"/>
        <v>0</v>
      </c>
      <c r="AO42" s="97">
        <f t="shared" si="26"/>
        <v>0</v>
      </c>
      <c r="AP42" s="97">
        <f t="shared" si="27"/>
        <v>0</v>
      </c>
      <c r="AQ42" s="96"/>
      <c r="AR42" s="97">
        <f t="shared" si="28"/>
        <v>0</v>
      </c>
      <c r="AS42" s="97">
        <f t="shared" si="29"/>
        <v>0</v>
      </c>
      <c r="AT42" s="97">
        <f t="shared" si="30"/>
        <v>0</v>
      </c>
      <c r="AU42" s="96"/>
      <c r="AV42" s="97">
        <f t="shared" si="31"/>
        <v>0</v>
      </c>
      <c r="AW42" s="97">
        <f t="shared" si="32"/>
        <v>0</v>
      </c>
      <c r="AX42" s="97">
        <f t="shared" si="33"/>
        <v>0</v>
      </c>
      <c r="AY42" s="96"/>
      <c r="AZ42" s="65">
        <f t="shared" si="34"/>
        <v>0</v>
      </c>
      <c r="BA42" s="65">
        <f t="shared" si="35"/>
        <v>0</v>
      </c>
      <c r="BB42" s="65">
        <f t="shared" si="36"/>
        <v>0</v>
      </c>
    </row>
    <row r="43" spans="1:54" x14ac:dyDescent="0.2">
      <c r="A43" s="71"/>
      <c r="B43" s="96" t="s">
        <v>52</v>
      </c>
      <c r="C43" s="96"/>
      <c r="D43" s="97">
        <f t="shared" si="0"/>
        <v>0</v>
      </c>
      <c r="E43" s="97">
        <f t="shared" si="37"/>
        <v>0</v>
      </c>
      <c r="F43" s="97">
        <f t="shared" si="38"/>
        <v>0</v>
      </c>
      <c r="G43" s="96"/>
      <c r="H43" s="97">
        <f t="shared" si="1"/>
        <v>0</v>
      </c>
      <c r="I43" s="97">
        <f t="shared" si="2"/>
        <v>0</v>
      </c>
      <c r="J43" s="97">
        <f t="shared" si="3"/>
        <v>0</v>
      </c>
      <c r="K43" s="96"/>
      <c r="L43" s="97">
        <f t="shared" si="4"/>
        <v>0</v>
      </c>
      <c r="M43" s="97">
        <f t="shared" si="5"/>
        <v>0</v>
      </c>
      <c r="N43" s="97">
        <f t="shared" si="6"/>
        <v>0</v>
      </c>
      <c r="O43" s="96"/>
      <c r="P43" s="97">
        <f t="shared" si="7"/>
        <v>0</v>
      </c>
      <c r="Q43" s="97">
        <f t="shared" si="8"/>
        <v>0</v>
      </c>
      <c r="R43" s="97">
        <f t="shared" si="9"/>
        <v>0</v>
      </c>
      <c r="S43" s="96"/>
      <c r="T43" s="97">
        <f t="shared" si="10"/>
        <v>0</v>
      </c>
      <c r="U43" s="97">
        <f t="shared" si="11"/>
        <v>0</v>
      </c>
      <c r="V43" s="97">
        <f t="shared" si="12"/>
        <v>0</v>
      </c>
      <c r="W43" s="96"/>
      <c r="X43" s="97">
        <f t="shared" si="13"/>
        <v>0</v>
      </c>
      <c r="Y43" s="97">
        <f t="shared" si="14"/>
        <v>0</v>
      </c>
      <c r="Z43" s="97">
        <f t="shared" si="15"/>
        <v>0</v>
      </c>
      <c r="AA43" s="96"/>
      <c r="AB43" s="97">
        <f t="shared" si="16"/>
        <v>0</v>
      </c>
      <c r="AC43" s="97">
        <f t="shared" si="17"/>
        <v>0</v>
      </c>
      <c r="AD43" s="97">
        <f t="shared" si="18"/>
        <v>0</v>
      </c>
      <c r="AE43" s="96"/>
      <c r="AF43" s="97">
        <f t="shared" si="19"/>
        <v>0</v>
      </c>
      <c r="AG43" s="97">
        <f t="shared" si="20"/>
        <v>0</v>
      </c>
      <c r="AH43" s="97">
        <f t="shared" si="21"/>
        <v>0</v>
      </c>
      <c r="AI43" s="96"/>
      <c r="AJ43" s="97">
        <f t="shared" si="22"/>
        <v>0</v>
      </c>
      <c r="AK43" s="97">
        <f t="shared" si="23"/>
        <v>0</v>
      </c>
      <c r="AL43" s="97">
        <f t="shared" si="24"/>
        <v>0</v>
      </c>
      <c r="AM43" s="96"/>
      <c r="AN43" s="97">
        <f t="shared" si="25"/>
        <v>0</v>
      </c>
      <c r="AO43" s="97">
        <f t="shared" si="26"/>
        <v>0</v>
      </c>
      <c r="AP43" s="97">
        <f t="shared" si="27"/>
        <v>0</v>
      </c>
      <c r="AQ43" s="96"/>
      <c r="AR43" s="97">
        <f t="shared" si="28"/>
        <v>0</v>
      </c>
      <c r="AS43" s="97">
        <f t="shared" si="29"/>
        <v>0</v>
      </c>
      <c r="AT43" s="97">
        <f t="shared" si="30"/>
        <v>0</v>
      </c>
      <c r="AU43" s="96"/>
      <c r="AV43" s="97">
        <f t="shared" si="31"/>
        <v>0</v>
      </c>
      <c r="AW43" s="97">
        <f t="shared" si="32"/>
        <v>0</v>
      </c>
      <c r="AX43" s="97">
        <f t="shared" si="33"/>
        <v>0</v>
      </c>
      <c r="AY43" s="96"/>
      <c r="AZ43" s="65">
        <f t="shared" si="34"/>
        <v>0</v>
      </c>
      <c r="BA43" s="65">
        <f t="shared" si="35"/>
        <v>0</v>
      </c>
      <c r="BB43" s="65">
        <f t="shared" si="36"/>
        <v>0</v>
      </c>
    </row>
    <row r="44" spans="1:54" x14ac:dyDescent="0.2">
      <c r="A44" s="71"/>
      <c r="B44" s="96" t="s">
        <v>52</v>
      </c>
      <c r="C44" s="96"/>
      <c r="D44" s="97">
        <f t="shared" si="0"/>
        <v>0</v>
      </c>
      <c r="E44" s="97">
        <f t="shared" si="37"/>
        <v>0</v>
      </c>
      <c r="F44" s="97">
        <f t="shared" si="38"/>
        <v>0</v>
      </c>
      <c r="G44" s="96"/>
      <c r="H44" s="97">
        <f t="shared" si="1"/>
        <v>0</v>
      </c>
      <c r="I44" s="97">
        <f t="shared" si="2"/>
        <v>0</v>
      </c>
      <c r="J44" s="97">
        <f t="shared" si="3"/>
        <v>0</v>
      </c>
      <c r="K44" s="96"/>
      <c r="L44" s="97">
        <f t="shared" si="4"/>
        <v>0</v>
      </c>
      <c r="M44" s="97">
        <f t="shared" si="5"/>
        <v>0</v>
      </c>
      <c r="N44" s="97">
        <f t="shared" si="6"/>
        <v>0</v>
      </c>
      <c r="O44" s="96"/>
      <c r="P44" s="97">
        <f t="shared" si="7"/>
        <v>0</v>
      </c>
      <c r="Q44" s="97">
        <f t="shared" si="8"/>
        <v>0</v>
      </c>
      <c r="R44" s="97">
        <f t="shared" si="9"/>
        <v>0</v>
      </c>
      <c r="S44" s="96"/>
      <c r="T44" s="97">
        <f t="shared" si="10"/>
        <v>0</v>
      </c>
      <c r="U44" s="97">
        <f t="shared" si="11"/>
        <v>0</v>
      </c>
      <c r="V44" s="97">
        <f t="shared" si="12"/>
        <v>0</v>
      </c>
      <c r="W44" s="96"/>
      <c r="X44" s="97">
        <f t="shared" si="13"/>
        <v>0</v>
      </c>
      <c r="Y44" s="97">
        <f t="shared" si="14"/>
        <v>0</v>
      </c>
      <c r="Z44" s="97">
        <f t="shared" si="15"/>
        <v>0</v>
      </c>
      <c r="AA44" s="96"/>
      <c r="AB44" s="97">
        <f t="shared" si="16"/>
        <v>0</v>
      </c>
      <c r="AC44" s="97">
        <f t="shared" si="17"/>
        <v>0</v>
      </c>
      <c r="AD44" s="97">
        <f t="shared" si="18"/>
        <v>0</v>
      </c>
      <c r="AE44" s="96"/>
      <c r="AF44" s="97">
        <f t="shared" si="19"/>
        <v>0</v>
      </c>
      <c r="AG44" s="97">
        <f t="shared" si="20"/>
        <v>0</v>
      </c>
      <c r="AH44" s="97">
        <f t="shared" si="21"/>
        <v>0</v>
      </c>
      <c r="AI44" s="96"/>
      <c r="AJ44" s="97">
        <f t="shared" si="22"/>
        <v>0</v>
      </c>
      <c r="AK44" s="97">
        <f t="shared" si="23"/>
        <v>0</v>
      </c>
      <c r="AL44" s="97">
        <f t="shared" si="24"/>
        <v>0</v>
      </c>
      <c r="AM44" s="96"/>
      <c r="AN44" s="97">
        <f t="shared" si="25"/>
        <v>0</v>
      </c>
      <c r="AO44" s="97">
        <f t="shared" si="26"/>
        <v>0</v>
      </c>
      <c r="AP44" s="97">
        <f t="shared" si="27"/>
        <v>0</v>
      </c>
      <c r="AQ44" s="96"/>
      <c r="AR44" s="97">
        <f t="shared" si="28"/>
        <v>0</v>
      </c>
      <c r="AS44" s="97">
        <f t="shared" si="29"/>
        <v>0</v>
      </c>
      <c r="AT44" s="97">
        <f t="shared" si="30"/>
        <v>0</v>
      </c>
      <c r="AU44" s="96"/>
      <c r="AV44" s="97">
        <f t="shared" si="31"/>
        <v>0</v>
      </c>
      <c r="AW44" s="97">
        <f t="shared" si="32"/>
        <v>0</v>
      </c>
      <c r="AX44" s="97">
        <f t="shared" si="33"/>
        <v>0</v>
      </c>
      <c r="AY44" s="96"/>
      <c r="AZ44" s="65">
        <f t="shared" si="34"/>
        <v>0</v>
      </c>
      <c r="BA44" s="65">
        <f t="shared" si="35"/>
        <v>0</v>
      </c>
      <c r="BB44" s="65">
        <f t="shared" si="36"/>
        <v>0</v>
      </c>
    </row>
    <row r="45" spans="1:54" x14ac:dyDescent="0.2">
      <c r="A45" s="71"/>
      <c r="B45" s="96" t="s">
        <v>52</v>
      </c>
      <c r="C45" s="96"/>
      <c r="D45" s="97">
        <f t="shared" si="0"/>
        <v>0</v>
      </c>
      <c r="E45" s="97">
        <f t="shared" si="37"/>
        <v>0</v>
      </c>
      <c r="F45" s="97">
        <f t="shared" si="38"/>
        <v>0</v>
      </c>
      <c r="G45" s="96"/>
      <c r="H45" s="97">
        <f t="shared" si="1"/>
        <v>0</v>
      </c>
      <c r="I45" s="97">
        <f t="shared" si="2"/>
        <v>0</v>
      </c>
      <c r="J45" s="97">
        <f t="shared" si="3"/>
        <v>0</v>
      </c>
      <c r="K45" s="96"/>
      <c r="L45" s="97">
        <f t="shared" si="4"/>
        <v>0</v>
      </c>
      <c r="M45" s="97">
        <f t="shared" si="5"/>
        <v>0</v>
      </c>
      <c r="N45" s="97">
        <f t="shared" si="6"/>
        <v>0</v>
      </c>
      <c r="O45" s="96"/>
      <c r="P45" s="97">
        <f t="shared" si="7"/>
        <v>0</v>
      </c>
      <c r="Q45" s="97">
        <f t="shared" si="8"/>
        <v>0</v>
      </c>
      <c r="R45" s="97">
        <f t="shared" si="9"/>
        <v>0</v>
      </c>
      <c r="S45" s="96"/>
      <c r="T45" s="97">
        <f t="shared" si="10"/>
        <v>0</v>
      </c>
      <c r="U45" s="97">
        <f t="shared" si="11"/>
        <v>0</v>
      </c>
      <c r="V45" s="97">
        <f t="shared" si="12"/>
        <v>0</v>
      </c>
      <c r="W45" s="96"/>
      <c r="X45" s="97">
        <f t="shared" si="13"/>
        <v>0</v>
      </c>
      <c r="Y45" s="97">
        <f t="shared" si="14"/>
        <v>0</v>
      </c>
      <c r="Z45" s="97">
        <f t="shared" si="15"/>
        <v>0</v>
      </c>
      <c r="AA45" s="96"/>
      <c r="AB45" s="97">
        <f t="shared" si="16"/>
        <v>0</v>
      </c>
      <c r="AC45" s="97">
        <f t="shared" si="17"/>
        <v>0</v>
      </c>
      <c r="AD45" s="97">
        <f t="shared" si="18"/>
        <v>0</v>
      </c>
      <c r="AE45" s="96"/>
      <c r="AF45" s="97">
        <f t="shared" si="19"/>
        <v>0</v>
      </c>
      <c r="AG45" s="97">
        <f t="shared" si="20"/>
        <v>0</v>
      </c>
      <c r="AH45" s="97">
        <f t="shared" si="21"/>
        <v>0</v>
      </c>
      <c r="AI45" s="96"/>
      <c r="AJ45" s="97">
        <f t="shared" si="22"/>
        <v>0</v>
      </c>
      <c r="AK45" s="97">
        <f t="shared" si="23"/>
        <v>0</v>
      </c>
      <c r="AL45" s="97">
        <f t="shared" si="24"/>
        <v>0</v>
      </c>
      <c r="AM45" s="96"/>
      <c r="AN45" s="97">
        <f t="shared" si="25"/>
        <v>0</v>
      </c>
      <c r="AO45" s="97">
        <f t="shared" si="26"/>
        <v>0</v>
      </c>
      <c r="AP45" s="97">
        <f t="shared" si="27"/>
        <v>0</v>
      </c>
      <c r="AQ45" s="96"/>
      <c r="AR45" s="97">
        <f t="shared" si="28"/>
        <v>0</v>
      </c>
      <c r="AS45" s="97">
        <f t="shared" si="29"/>
        <v>0</v>
      </c>
      <c r="AT45" s="97">
        <f t="shared" si="30"/>
        <v>0</v>
      </c>
      <c r="AU45" s="96"/>
      <c r="AV45" s="97">
        <f t="shared" si="31"/>
        <v>0</v>
      </c>
      <c r="AW45" s="97">
        <f t="shared" si="32"/>
        <v>0</v>
      </c>
      <c r="AX45" s="97">
        <f t="shared" si="33"/>
        <v>0</v>
      </c>
      <c r="AY45" s="96"/>
      <c r="AZ45" s="65">
        <f t="shared" si="34"/>
        <v>0</v>
      </c>
      <c r="BA45" s="65">
        <f t="shared" si="35"/>
        <v>0</v>
      </c>
      <c r="BB45" s="65">
        <f t="shared" si="36"/>
        <v>0</v>
      </c>
    </row>
    <row r="46" spans="1:54" x14ac:dyDescent="0.2">
      <c r="A46" s="71"/>
      <c r="B46" s="96" t="s">
        <v>52</v>
      </c>
      <c r="C46" s="96"/>
      <c r="D46" s="97">
        <f t="shared" si="0"/>
        <v>0</v>
      </c>
      <c r="E46" s="97">
        <f t="shared" si="37"/>
        <v>0</v>
      </c>
      <c r="F46" s="97">
        <f t="shared" si="38"/>
        <v>0</v>
      </c>
      <c r="G46" s="96"/>
      <c r="H46" s="97">
        <f t="shared" si="1"/>
        <v>0</v>
      </c>
      <c r="I46" s="97">
        <f t="shared" si="2"/>
        <v>0</v>
      </c>
      <c r="J46" s="97">
        <f t="shared" si="3"/>
        <v>0</v>
      </c>
      <c r="K46" s="96"/>
      <c r="L46" s="97">
        <f t="shared" si="4"/>
        <v>0</v>
      </c>
      <c r="M46" s="97">
        <f t="shared" si="5"/>
        <v>0</v>
      </c>
      <c r="N46" s="97">
        <f t="shared" si="6"/>
        <v>0</v>
      </c>
      <c r="O46" s="96"/>
      <c r="P46" s="97">
        <f t="shared" si="7"/>
        <v>0</v>
      </c>
      <c r="Q46" s="97">
        <f t="shared" si="8"/>
        <v>0</v>
      </c>
      <c r="R46" s="97">
        <f t="shared" si="9"/>
        <v>0</v>
      </c>
      <c r="S46" s="96"/>
      <c r="T46" s="97">
        <f t="shared" si="10"/>
        <v>0</v>
      </c>
      <c r="U46" s="97">
        <f t="shared" si="11"/>
        <v>0</v>
      </c>
      <c r="V46" s="97">
        <f t="shared" si="12"/>
        <v>0</v>
      </c>
      <c r="W46" s="96"/>
      <c r="X46" s="97">
        <f t="shared" si="13"/>
        <v>0</v>
      </c>
      <c r="Y46" s="97">
        <f t="shared" si="14"/>
        <v>0</v>
      </c>
      <c r="Z46" s="97">
        <f t="shared" si="15"/>
        <v>0</v>
      </c>
      <c r="AA46" s="96"/>
      <c r="AB46" s="97">
        <f t="shared" si="16"/>
        <v>0</v>
      </c>
      <c r="AC46" s="97">
        <f t="shared" si="17"/>
        <v>0</v>
      </c>
      <c r="AD46" s="97">
        <f t="shared" si="18"/>
        <v>0</v>
      </c>
      <c r="AE46" s="96"/>
      <c r="AF46" s="97">
        <f t="shared" si="19"/>
        <v>0</v>
      </c>
      <c r="AG46" s="97">
        <f t="shared" si="20"/>
        <v>0</v>
      </c>
      <c r="AH46" s="97">
        <f t="shared" si="21"/>
        <v>0</v>
      </c>
      <c r="AI46" s="96"/>
      <c r="AJ46" s="97">
        <f t="shared" si="22"/>
        <v>0</v>
      </c>
      <c r="AK46" s="97">
        <f t="shared" si="23"/>
        <v>0</v>
      </c>
      <c r="AL46" s="97">
        <f t="shared" si="24"/>
        <v>0</v>
      </c>
      <c r="AM46" s="96"/>
      <c r="AN46" s="97">
        <f t="shared" si="25"/>
        <v>0</v>
      </c>
      <c r="AO46" s="97">
        <f t="shared" si="26"/>
        <v>0</v>
      </c>
      <c r="AP46" s="97">
        <f t="shared" si="27"/>
        <v>0</v>
      </c>
      <c r="AQ46" s="96"/>
      <c r="AR46" s="97">
        <f t="shared" si="28"/>
        <v>0</v>
      </c>
      <c r="AS46" s="97">
        <f t="shared" si="29"/>
        <v>0</v>
      </c>
      <c r="AT46" s="97">
        <f t="shared" si="30"/>
        <v>0</v>
      </c>
      <c r="AU46" s="96"/>
      <c r="AV46" s="97">
        <f t="shared" si="31"/>
        <v>0</v>
      </c>
      <c r="AW46" s="97">
        <f t="shared" si="32"/>
        <v>0</v>
      </c>
      <c r="AX46" s="97">
        <f t="shared" si="33"/>
        <v>0</v>
      </c>
      <c r="AY46" s="96"/>
      <c r="AZ46" s="65">
        <f t="shared" si="34"/>
        <v>0</v>
      </c>
      <c r="BA46" s="65">
        <f t="shared" si="35"/>
        <v>0</v>
      </c>
      <c r="BB46" s="65">
        <f t="shared" si="36"/>
        <v>0</v>
      </c>
    </row>
    <row r="47" spans="1:54" x14ac:dyDescent="0.2">
      <c r="A47" s="71"/>
      <c r="B47" s="96" t="s">
        <v>52</v>
      </c>
      <c r="C47" s="96"/>
      <c r="D47" s="97">
        <f t="shared" si="0"/>
        <v>0</v>
      </c>
      <c r="E47" s="97">
        <f t="shared" si="37"/>
        <v>0</v>
      </c>
      <c r="F47" s="97">
        <f t="shared" si="38"/>
        <v>0</v>
      </c>
      <c r="G47" s="96"/>
      <c r="H47" s="97">
        <f t="shared" si="1"/>
        <v>0</v>
      </c>
      <c r="I47" s="97">
        <f t="shared" si="2"/>
        <v>0</v>
      </c>
      <c r="J47" s="97">
        <f t="shared" si="3"/>
        <v>0</v>
      </c>
      <c r="K47" s="96"/>
      <c r="L47" s="97">
        <f t="shared" si="4"/>
        <v>0</v>
      </c>
      <c r="M47" s="97">
        <f t="shared" si="5"/>
        <v>0</v>
      </c>
      <c r="N47" s="97">
        <f t="shared" si="6"/>
        <v>0</v>
      </c>
      <c r="O47" s="96"/>
      <c r="P47" s="97">
        <f t="shared" si="7"/>
        <v>0</v>
      </c>
      <c r="Q47" s="97">
        <f t="shared" si="8"/>
        <v>0</v>
      </c>
      <c r="R47" s="97">
        <f t="shared" si="9"/>
        <v>0</v>
      </c>
      <c r="S47" s="96"/>
      <c r="T47" s="97">
        <f t="shared" si="10"/>
        <v>0</v>
      </c>
      <c r="U47" s="97">
        <f t="shared" si="11"/>
        <v>0</v>
      </c>
      <c r="V47" s="97">
        <f t="shared" si="12"/>
        <v>0</v>
      </c>
      <c r="W47" s="96"/>
      <c r="X47" s="97">
        <f t="shared" si="13"/>
        <v>0</v>
      </c>
      <c r="Y47" s="97">
        <f t="shared" si="14"/>
        <v>0</v>
      </c>
      <c r="Z47" s="97">
        <f t="shared" si="15"/>
        <v>0</v>
      </c>
      <c r="AA47" s="96"/>
      <c r="AB47" s="97">
        <f t="shared" si="16"/>
        <v>0</v>
      </c>
      <c r="AC47" s="97">
        <f t="shared" si="17"/>
        <v>0</v>
      </c>
      <c r="AD47" s="97">
        <f t="shared" si="18"/>
        <v>0</v>
      </c>
      <c r="AE47" s="96"/>
      <c r="AF47" s="97">
        <f t="shared" si="19"/>
        <v>0</v>
      </c>
      <c r="AG47" s="97">
        <f t="shared" si="20"/>
        <v>0</v>
      </c>
      <c r="AH47" s="97">
        <f t="shared" si="21"/>
        <v>0</v>
      </c>
      <c r="AI47" s="96"/>
      <c r="AJ47" s="97">
        <f t="shared" si="22"/>
        <v>0</v>
      </c>
      <c r="AK47" s="97">
        <f t="shared" si="23"/>
        <v>0</v>
      </c>
      <c r="AL47" s="97">
        <f t="shared" si="24"/>
        <v>0</v>
      </c>
      <c r="AM47" s="96"/>
      <c r="AN47" s="97">
        <f t="shared" si="25"/>
        <v>0</v>
      </c>
      <c r="AO47" s="97">
        <f t="shared" si="26"/>
        <v>0</v>
      </c>
      <c r="AP47" s="97">
        <f t="shared" si="27"/>
        <v>0</v>
      </c>
      <c r="AQ47" s="96"/>
      <c r="AR47" s="97">
        <f t="shared" si="28"/>
        <v>0</v>
      </c>
      <c r="AS47" s="97">
        <f t="shared" si="29"/>
        <v>0</v>
      </c>
      <c r="AT47" s="97">
        <f t="shared" si="30"/>
        <v>0</v>
      </c>
      <c r="AU47" s="96"/>
      <c r="AV47" s="97">
        <f t="shared" si="31"/>
        <v>0</v>
      </c>
      <c r="AW47" s="97">
        <f t="shared" si="32"/>
        <v>0</v>
      </c>
      <c r="AX47" s="97">
        <f t="shared" si="33"/>
        <v>0</v>
      </c>
      <c r="AY47" s="96"/>
      <c r="AZ47" s="65">
        <f t="shared" si="34"/>
        <v>0</v>
      </c>
      <c r="BA47" s="65">
        <f t="shared" si="35"/>
        <v>0</v>
      </c>
      <c r="BB47" s="65">
        <f t="shared" si="36"/>
        <v>0</v>
      </c>
    </row>
    <row r="48" spans="1:54" x14ac:dyDescent="0.2">
      <c r="A48" s="71"/>
      <c r="B48" s="96" t="s">
        <v>52</v>
      </c>
      <c r="C48" s="96"/>
      <c r="D48" s="97">
        <f t="shared" si="0"/>
        <v>0</v>
      </c>
      <c r="E48" s="97">
        <f t="shared" si="37"/>
        <v>0</v>
      </c>
      <c r="F48" s="97">
        <f t="shared" si="38"/>
        <v>0</v>
      </c>
      <c r="G48" s="96"/>
      <c r="H48" s="97">
        <f t="shared" si="1"/>
        <v>0</v>
      </c>
      <c r="I48" s="97">
        <f t="shared" si="2"/>
        <v>0</v>
      </c>
      <c r="J48" s="97">
        <f t="shared" si="3"/>
        <v>0</v>
      </c>
      <c r="K48" s="96"/>
      <c r="L48" s="97">
        <f t="shared" si="4"/>
        <v>0</v>
      </c>
      <c r="M48" s="97">
        <f t="shared" si="5"/>
        <v>0</v>
      </c>
      <c r="N48" s="97">
        <f t="shared" si="6"/>
        <v>0</v>
      </c>
      <c r="O48" s="96"/>
      <c r="P48" s="97">
        <f t="shared" si="7"/>
        <v>0</v>
      </c>
      <c r="Q48" s="97">
        <f t="shared" si="8"/>
        <v>0</v>
      </c>
      <c r="R48" s="97">
        <f t="shared" si="9"/>
        <v>0</v>
      </c>
      <c r="S48" s="96"/>
      <c r="T48" s="97">
        <f t="shared" si="10"/>
        <v>0</v>
      </c>
      <c r="U48" s="97">
        <f t="shared" si="11"/>
        <v>0</v>
      </c>
      <c r="V48" s="97">
        <f t="shared" si="12"/>
        <v>0</v>
      </c>
      <c r="W48" s="96"/>
      <c r="X48" s="97">
        <f t="shared" si="13"/>
        <v>0</v>
      </c>
      <c r="Y48" s="97">
        <f t="shared" si="14"/>
        <v>0</v>
      </c>
      <c r="Z48" s="97">
        <f t="shared" si="15"/>
        <v>0</v>
      </c>
      <c r="AA48" s="96"/>
      <c r="AB48" s="97">
        <f t="shared" si="16"/>
        <v>0</v>
      </c>
      <c r="AC48" s="97">
        <f t="shared" si="17"/>
        <v>0</v>
      </c>
      <c r="AD48" s="97">
        <f t="shared" si="18"/>
        <v>0</v>
      </c>
      <c r="AE48" s="96"/>
      <c r="AF48" s="97">
        <f t="shared" si="19"/>
        <v>0</v>
      </c>
      <c r="AG48" s="97">
        <f t="shared" si="20"/>
        <v>0</v>
      </c>
      <c r="AH48" s="97">
        <f t="shared" si="21"/>
        <v>0</v>
      </c>
      <c r="AI48" s="96"/>
      <c r="AJ48" s="97">
        <f t="shared" si="22"/>
        <v>0</v>
      </c>
      <c r="AK48" s="97">
        <f t="shared" si="23"/>
        <v>0</v>
      </c>
      <c r="AL48" s="97">
        <f t="shared" si="24"/>
        <v>0</v>
      </c>
      <c r="AM48" s="96"/>
      <c r="AN48" s="97">
        <f t="shared" si="25"/>
        <v>0</v>
      </c>
      <c r="AO48" s="97">
        <f t="shared" si="26"/>
        <v>0</v>
      </c>
      <c r="AP48" s="97">
        <f t="shared" si="27"/>
        <v>0</v>
      </c>
      <c r="AQ48" s="96"/>
      <c r="AR48" s="97">
        <f t="shared" si="28"/>
        <v>0</v>
      </c>
      <c r="AS48" s="97">
        <f t="shared" si="29"/>
        <v>0</v>
      </c>
      <c r="AT48" s="97">
        <f t="shared" si="30"/>
        <v>0</v>
      </c>
      <c r="AU48" s="96"/>
      <c r="AV48" s="97">
        <f t="shared" si="31"/>
        <v>0</v>
      </c>
      <c r="AW48" s="97">
        <f t="shared" si="32"/>
        <v>0</v>
      </c>
      <c r="AX48" s="97">
        <f t="shared" si="33"/>
        <v>0</v>
      </c>
      <c r="AY48" s="96"/>
      <c r="AZ48" s="65">
        <f t="shared" si="34"/>
        <v>0</v>
      </c>
      <c r="BA48" s="65">
        <f t="shared" si="35"/>
        <v>0</v>
      </c>
      <c r="BB48" s="65">
        <f t="shared" si="36"/>
        <v>0</v>
      </c>
    </row>
    <row r="49" spans="1:54" x14ac:dyDescent="0.2">
      <c r="A49" s="71"/>
      <c r="B49" s="96" t="s">
        <v>52</v>
      </c>
      <c r="C49" s="96"/>
      <c r="D49" s="97">
        <f t="shared" si="0"/>
        <v>0</v>
      </c>
      <c r="E49" s="97">
        <f t="shared" si="37"/>
        <v>0</v>
      </c>
      <c r="F49" s="97">
        <f t="shared" si="38"/>
        <v>0</v>
      </c>
      <c r="G49" s="96"/>
      <c r="H49" s="97">
        <f t="shared" si="1"/>
        <v>0</v>
      </c>
      <c r="I49" s="97">
        <f t="shared" si="2"/>
        <v>0</v>
      </c>
      <c r="J49" s="97">
        <f t="shared" si="3"/>
        <v>0</v>
      </c>
      <c r="K49" s="96"/>
      <c r="L49" s="97">
        <f t="shared" si="4"/>
        <v>0</v>
      </c>
      <c r="M49" s="97">
        <f t="shared" si="5"/>
        <v>0</v>
      </c>
      <c r="N49" s="97">
        <f t="shared" si="6"/>
        <v>0</v>
      </c>
      <c r="O49" s="96"/>
      <c r="P49" s="97">
        <f t="shared" si="7"/>
        <v>0</v>
      </c>
      <c r="Q49" s="97">
        <f t="shared" si="8"/>
        <v>0</v>
      </c>
      <c r="R49" s="97">
        <f t="shared" si="9"/>
        <v>0</v>
      </c>
      <c r="S49" s="96"/>
      <c r="T49" s="97">
        <f t="shared" si="10"/>
        <v>0</v>
      </c>
      <c r="U49" s="97">
        <f t="shared" si="11"/>
        <v>0</v>
      </c>
      <c r="V49" s="97">
        <f t="shared" si="12"/>
        <v>0</v>
      </c>
      <c r="W49" s="96"/>
      <c r="X49" s="97">
        <f t="shared" si="13"/>
        <v>0</v>
      </c>
      <c r="Y49" s="97">
        <f t="shared" si="14"/>
        <v>0</v>
      </c>
      <c r="Z49" s="97">
        <f t="shared" si="15"/>
        <v>0</v>
      </c>
      <c r="AA49" s="96"/>
      <c r="AB49" s="97">
        <f t="shared" si="16"/>
        <v>0</v>
      </c>
      <c r="AC49" s="97">
        <f t="shared" si="17"/>
        <v>0</v>
      </c>
      <c r="AD49" s="97">
        <f t="shared" si="18"/>
        <v>0</v>
      </c>
      <c r="AE49" s="96"/>
      <c r="AF49" s="97">
        <f t="shared" si="19"/>
        <v>0</v>
      </c>
      <c r="AG49" s="97">
        <f t="shared" si="20"/>
        <v>0</v>
      </c>
      <c r="AH49" s="97">
        <f t="shared" si="21"/>
        <v>0</v>
      </c>
      <c r="AI49" s="96"/>
      <c r="AJ49" s="97">
        <f t="shared" si="22"/>
        <v>0</v>
      </c>
      <c r="AK49" s="97">
        <f t="shared" si="23"/>
        <v>0</v>
      </c>
      <c r="AL49" s="97">
        <f t="shared" si="24"/>
        <v>0</v>
      </c>
      <c r="AM49" s="96"/>
      <c r="AN49" s="97">
        <f t="shared" si="25"/>
        <v>0</v>
      </c>
      <c r="AO49" s="97">
        <f t="shared" si="26"/>
        <v>0</v>
      </c>
      <c r="AP49" s="97">
        <f t="shared" si="27"/>
        <v>0</v>
      </c>
      <c r="AQ49" s="96"/>
      <c r="AR49" s="97">
        <f t="shared" si="28"/>
        <v>0</v>
      </c>
      <c r="AS49" s="97">
        <f t="shared" si="29"/>
        <v>0</v>
      </c>
      <c r="AT49" s="97">
        <f t="shared" si="30"/>
        <v>0</v>
      </c>
      <c r="AU49" s="96"/>
      <c r="AV49" s="97">
        <f t="shared" si="31"/>
        <v>0</v>
      </c>
      <c r="AW49" s="97">
        <f t="shared" si="32"/>
        <v>0</v>
      </c>
      <c r="AX49" s="97">
        <f t="shared" si="33"/>
        <v>0</v>
      </c>
      <c r="AY49" s="96"/>
      <c r="AZ49" s="65">
        <f t="shared" si="34"/>
        <v>0</v>
      </c>
      <c r="BA49" s="65">
        <f t="shared" si="35"/>
        <v>0</v>
      </c>
      <c r="BB49" s="65">
        <f t="shared" si="36"/>
        <v>0</v>
      </c>
    </row>
    <row r="50" spans="1:54" x14ac:dyDescent="0.2">
      <c r="A50" s="71"/>
      <c r="B50" s="96" t="s">
        <v>52</v>
      </c>
      <c r="C50" s="96"/>
      <c r="D50" s="97">
        <f t="shared" si="0"/>
        <v>0</v>
      </c>
      <c r="E50" s="97">
        <f t="shared" si="37"/>
        <v>0</v>
      </c>
      <c r="F50" s="97">
        <f t="shared" si="38"/>
        <v>0</v>
      </c>
      <c r="G50" s="96"/>
      <c r="H50" s="97">
        <f t="shared" si="1"/>
        <v>0</v>
      </c>
      <c r="I50" s="97">
        <f t="shared" si="2"/>
        <v>0</v>
      </c>
      <c r="J50" s="97">
        <f t="shared" si="3"/>
        <v>0</v>
      </c>
      <c r="K50" s="96"/>
      <c r="L50" s="97">
        <f t="shared" si="4"/>
        <v>0</v>
      </c>
      <c r="M50" s="97">
        <f t="shared" si="5"/>
        <v>0</v>
      </c>
      <c r="N50" s="97">
        <f t="shared" si="6"/>
        <v>0</v>
      </c>
      <c r="O50" s="96"/>
      <c r="P50" s="97">
        <f t="shared" si="7"/>
        <v>0</v>
      </c>
      <c r="Q50" s="97">
        <f t="shared" si="8"/>
        <v>0</v>
      </c>
      <c r="R50" s="97">
        <f t="shared" si="9"/>
        <v>0</v>
      </c>
      <c r="S50" s="96"/>
      <c r="T50" s="97">
        <f t="shared" si="10"/>
        <v>0</v>
      </c>
      <c r="U50" s="97">
        <f t="shared" si="11"/>
        <v>0</v>
      </c>
      <c r="V50" s="97">
        <f t="shared" si="12"/>
        <v>0</v>
      </c>
      <c r="W50" s="96"/>
      <c r="X50" s="97">
        <f t="shared" si="13"/>
        <v>0</v>
      </c>
      <c r="Y50" s="97">
        <f t="shared" si="14"/>
        <v>0</v>
      </c>
      <c r="Z50" s="97">
        <f t="shared" si="15"/>
        <v>0</v>
      </c>
      <c r="AA50" s="96"/>
      <c r="AB50" s="97">
        <f t="shared" si="16"/>
        <v>0</v>
      </c>
      <c r="AC50" s="97">
        <f t="shared" si="17"/>
        <v>0</v>
      </c>
      <c r="AD50" s="97">
        <f t="shared" si="18"/>
        <v>0</v>
      </c>
      <c r="AE50" s="96"/>
      <c r="AF50" s="97">
        <f t="shared" si="19"/>
        <v>0</v>
      </c>
      <c r="AG50" s="97">
        <f t="shared" si="20"/>
        <v>0</v>
      </c>
      <c r="AH50" s="97">
        <f t="shared" si="21"/>
        <v>0</v>
      </c>
      <c r="AI50" s="96"/>
      <c r="AJ50" s="97">
        <f t="shared" si="22"/>
        <v>0</v>
      </c>
      <c r="AK50" s="97">
        <f t="shared" si="23"/>
        <v>0</v>
      </c>
      <c r="AL50" s="97">
        <f t="shared" si="24"/>
        <v>0</v>
      </c>
      <c r="AM50" s="96"/>
      <c r="AN50" s="97">
        <f t="shared" si="25"/>
        <v>0</v>
      </c>
      <c r="AO50" s="97">
        <f t="shared" si="26"/>
        <v>0</v>
      </c>
      <c r="AP50" s="97">
        <f t="shared" si="27"/>
        <v>0</v>
      </c>
      <c r="AQ50" s="96"/>
      <c r="AR50" s="97">
        <f t="shared" si="28"/>
        <v>0</v>
      </c>
      <c r="AS50" s="97">
        <f t="shared" si="29"/>
        <v>0</v>
      </c>
      <c r="AT50" s="97">
        <f t="shared" si="30"/>
        <v>0</v>
      </c>
      <c r="AU50" s="96"/>
      <c r="AV50" s="97">
        <f t="shared" si="31"/>
        <v>0</v>
      </c>
      <c r="AW50" s="97">
        <f t="shared" si="32"/>
        <v>0</v>
      </c>
      <c r="AX50" s="97">
        <f t="shared" si="33"/>
        <v>0</v>
      </c>
      <c r="AY50" s="96"/>
      <c r="AZ50" s="65">
        <f t="shared" si="34"/>
        <v>0</v>
      </c>
      <c r="BA50" s="65">
        <f t="shared" si="35"/>
        <v>0</v>
      </c>
      <c r="BB50" s="65">
        <f t="shared" si="36"/>
        <v>0</v>
      </c>
    </row>
    <row r="51" spans="1:54" x14ac:dyDescent="0.2">
      <c r="A51" s="71"/>
      <c r="B51" s="96" t="s">
        <v>52</v>
      </c>
      <c r="C51" s="96"/>
      <c r="D51" s="97">
        <f t="shared" si="0"/>
        <v>0</v>
      </c>
      <c r="E51" s="97">
        <f t="shared" si="37"/>
        <v>0</v>
      </c>
      <c r="F51" s="97">
        <f t="shared" si="38"/>
        <v>0</v>
      </c>
      <c r="G51" s="96"/>
      <c r="H51" s="97">
        <f t="shared" si="1"/>
        <v>0</v>
      </c>
      <c r="I51" s="97">
        <f t="shared" si="2"/>
        <v>0</v>
      </c>
      <c r="J51" s="97">
        <f t="shared" si="3"/>
        <v>0</v>
      </c>
      <c r="K51" s="96"/>
      <c r="L51" s="97">
        <f t="shared" si="4"/>
        <v>0</v>
      </c>
      <c r="M51" s="97">
        <f t="shared" si="5"/>
        <v>0</v>
      </c>
      <c r="N51" s="97">
        <f t="shared" si="6"/>
        <v>0</v>
      </c>
      <c r="O51" s="96"/>
      <c r="P51" s="97">
        <f t="shared" si="7"/>
        <v>0</v>
      </c>
      <c r="Q51" s="97">
        <f t="shared" si="8"/>
        <v>0</v>
      </c>
      <c r="R51" s="97">
        <f t="shared" si="9"/>
        <v>0</v>
      </c>
      <c r="S51" s="96"/>
      <c r="T51" s="97">
        <f t="shared" si="10"/>
        <v>0</v>
      </c>
      <c r="U51" s="97">
        <f t="shared" si="11"/>
        <v>0</v>
      </c>
      <c r="V51" s="97">
        <f t="shared" si="12"/>
        <v>0</v>
      </c>
      <c r="W51" s="96"/>
      <c r="X51" s="97">
        <f t="shared" si="13"/>
        <v>0</v>
      </c>
      <c r="Y51" s="97">
        <f t="shared" si="14"/>
        <v>0</v>
      </c>
      <c r="Z51" s="97">
        <f t="shared" si="15"/>
        <v>0</v>
      </c>
      <c r="AA51" s="96"/>
      <c r="AB51" s="97">
        <f t="shared" si="16"/>
        <v>0</v>
      </c>
      <c r="AC51" s="97">
        <f t="shared" si="17"/>
        <v>0</v>
      </c>
      <c r="AD51" s="97">
        <f t="shared" si="18"/>
        <v>0</v>
      </c>
      <c r="AE51" s="96"/>
      <c r="AF51" s="97">
        <f t="shared" si="19"/>
        <v>0</v>
      </c>
      <c r="AG51" s="97">
        <f t="shared" si="20"/>
        <v>0</v>
      </c>
      <c r="AH51" s="97">
        <f t="shared" si="21"/>
        <v>0</v>
      </c>
      <c r="AI51" s="96"/>
      <c r="AJ51" s="97">
        <f t="shared" si="22"/>
        <v>0</v>
      </c>
      <c r="AK51" s="97">
        <f t="shared" si="23"/>
        <v>0</v>
      </c>
      <c r="AL51" s="97">
        <f t="shared" si="24"/>
        <v>0</v>
      </c>
      <c r="AM51" s="96"/>
      <c r="AN51" s="97">
        <f t="shared" si="25"/>
        <v>0</v>
      </c>
      <c r="AO51" s="97">
        <f t="shared" si="26"/>
        <v>0</v>
      </c>
      <c r="AP51" s="97">
        <f t="shared" si="27"/>
        <v>0</v>
      </c>
      <c r="AQ51" s="96"/>
      <c r="AR51" s="97">
        <f t="shared" si="28"/>
        <v>0</v>
      </c>
      <c r="AS51" s="97">
        <f t="shared" si="29"/>
        <v>0</v>
      </c>
      <c r="AT51" s="97">
        <f t="shared" si="30"/>
        <v>0</v>
      </c>
      <c r="AU51" s="96"/>
      <c r="AV51" s="97">
        <f t="shared" si="31"/>
        <v>0</v>
      </c>
      <c r="AW51" s="97">
        <f t="shared" si="32"/>
        <v>0</v>
      </c>
      <c r="AX51" s="97">
        <f t="shared" si="33"/>
        <v>0</v>
      </c>
      <c r="AY51" s="96"/>
      <c r="AZ51" s="65">
        <f t="shared" si="34"/>
        <v>0</v>
      </c>
      <c r="BA51" s="65">
        <f t="shared" si="35"/>
        <v>0</v>
      </c>
      <c r="BB51" s="65">
        <f t="shared" si="36"/>
        <v>0</v>
      </c>
    </row>
    <row r="52" spans="1:54" x14ac:dyDescent="0.2">
      <c r="A52" s="71"/>
      <c r="B52" s="96" t="s">
        <v>52</v>
      </c>
      <c r="C52" s="96"/>
      <c r="D52" s="97">
        <f t="shared" si="0"/>
        <v>0</v>
      </c>
      <c r="E52" s="97">
        <f t="shared" si="37"/>
        <v>0</v>
      </c>
      <c r="F52" s="97">
        <f t="shared" si="38"/>
        <v>0</v>
      </c>
      <c r="G52" s="96"/>
      <c r="H52" s="97">
        <f t="shared" si="1"/>
        <v>0</v>
      </c>
      <c r="I52" s="97">
        <f t="shared" si="2"/>
        <v>0</v>
      </c>
      <c r="J52" s="97">
        <f t="shared" si="3"/>
        <v>0</v>
      </c>
      <c r="K52" s="96"/>
      <c r="L52" s="97">
        <f t="shared" si="4"/>
        <v>0</v>
      </c>
      <c r="M52" s="97">
        <f t="shared" si="5"/>
        <v>0</v>
      </c>
      <c r="N52" s="97">
        <f t="shared" si="6"/>
        <v>0</v>
      </c>
      <c r="O52" s="96"/>
      <c r="P52" s="97">
        <f t="shared" si="7"/>
        <v>0</v>
      </c>
      <c r="Q52" s="97">
        <f t="shared" si="8"/>
        <v>0</v>
      </c>
      <c r="R52" s="97">
        <f t="shared" si="9"/>
        <v>0</v>
      </c>
      <c r="S52" s="96"/>
      <c r="T52" s="97">
        <f t="shared" si="10"/>
        <v>0</v>
      </c>
      <c r="U52" s="97">
        <f t="shared" si="11"/>
        <v>0</v>
      </c>
      <c r="V52" s="97">
        <f t="shared" si="12"/>
        <v>0</v>
      </c>
      <c r="W52" s="96"/>
      <c r="X52" s="97">
        <f t="shared" si="13"/>
        <v>0</v>
      </c>
      <c r="Y52" s="97">
        <f t="shared" si="14"/>
        <v>0</v>
      </c>
      <c r="Z52" s="97">
        <f t="shared" si="15"/>
        <v>0</v>
      </c>
      <c r="AA52" s="96"/>
      <c r="AB52" s="97">
        <f t="shared" si="16"/>
        <v>0</v>
      </c>
      <c r="AC52" s="97">
        <f t="shared" si="17"/>
        <v>0</v>
      </c>
      <c r="AD52" s="97">
        <f t="shared" si="18"/>
        <v>0</v>
      </c>
      <c r="AE52" s="96"/>
      <c r="AF52" s="97">
        <f t="shared" si="19"/>
        <v>0</v>
      </c>
      <c r="AG52" s="97">
        <f t="shared" si="20"/>
        <v>0</v>
      </c>
      <c r="AH52" s="97">
        <f t="shared" si="21"/>
        <v>0</v>
      </c>
      <c r="AI52" s="96"/>
      <c r="AJ52" s="97">
        <f t="shared" si="22"/>
        <v>0</v>
      </c>
      <c r="AK52" s="97">
        <f t="shared" si="23"/>
        <v>0</v>
      </c>
      <c r="AL52" s="97">
        <f t="shared" si="24"/>
        <v>0</v>
      </c>
      <c r="AM52" s="96"/>
      <c r="AN52" s="97">
        <f t="shared" si="25"/>
        <v>0</v>
      </c>
      <c r="AO52" s="97">
        <f t="shared" si="26"/>
        <v>0</v>
      </c>
      <c r="AP52" s="97">
        <f t="shared" si="27"/>
        <v>0</v>
      </c>
      <c r="AQ52" s="96"/>
      <c r="AR52" s="97">
        <f t="shared" si="28"/>
        <v>0</v>
      </c>
      <c r="AS52" s="97">
        <f t="shared" si="29"/>
        <v>0</v>
      </c>
      <c r="AT52" s="97">
        <f t="shared" si="30"/>
        <v>0</v>
      </c>
      <c r="AU52" s="96"/>
      <c r="AV52" s="97">
        <f t="shared" si="31"/>
        <v>0</v>
      </c>
      <c r="AW52" s="97">
        <f t="shared" si="32"/>
        <v>0</v>
      </c>
      <c r="AX52" s="97">
        <f t="shared" si="33"/>
        <v>0</v>
      </c>
      <c r="AY52" s="96"/>
      <c r="AZ52" s="65">
        <f t="shared" si="34"/>
        <v>0</v>
      </c>
      <c r="BA52" s="65">
        <f t="shared" si="35"/>
        <v>0</v>
      </c>
      <c r="BB52" s="65">
        <f t="shared" si="36"/>
        <v>0</v>
      </c>
    </row>
    <row r="53" spans="1:54" x14ac:dyDescent="0.2">
      <c r="A53" s="71"/>
      <c r="B53" s="96" t="s">
        <v>52</v>
      </c>
      <c r="C53" s="96"/>
      <c r="D53" s="97">
        <f t="shared" si="0"/>
        <v>0</v>
      </c>
      <c r="E53" s="97">
        <f t="shared" si="37"/>
        <v>0</v>
      </c>
      <c r="F53" s="97">
        <f t="shared" si="38"/>
        <v>0</v>
      </c>
      <c r="G53" s="96"/>
      <c r="H53" s="97">
        <f t="shared" si="1"/>
        <v>0</v>
      </c>
      <c r="I53" s="97">
        <f t="shared" si="2"/>
        <v>0</v>
      </c>
      <c r="J53" s="97">
        <f t="shared" si="3"/>
        <v>0</v>
      </c>
      <c r="K53" s="96"/>
      <c r="L53" s="97">
        <f t="shared" si="4"/>
        <v>0</v>
      </c>
      <c r="M53" s="97">
        <f t="shared" si="5"/>
        <v>0</v>
      </c>
      <c r="N53" s="97">
        <f t="shared" si="6"/>
        <v>0</v>
      </c>
      <c r="O53" s="96"/>
      <c r="P53" s="97">
        <f t="shared" si="7"/>
        <v>0</v>
      </c>
      <c r="Q53" s="97">
        <f t="shared" si="8"/>
        <v>0</v>
      </c>
      <c r="R53" s="97">
        <f t="shared" si="9"/>
        <v>0</v>
      </c>
      <c r="S53" s="96"/>
      <c r="T53" s="97">
        <f t="shared" si="10"/>
        <v>0</v>
      </c>
      <c r="U53" s="97">
        <f t="shared" si="11"/>
        <v>0</v>
      </c>
      <c r="V53" s="97">
        <f t="shared" si="12"/>
        <v>0</v>
      </c>
      <c r="W53" s="96"/>
      <c r="X53" s="97">
        <f t="shared" si="13"/>
        <v>0</v>
      </c>
      <c r="Y53" s="97">
        <f t="shared" si="14"/>
        <v>0</v>
      </c>
      <c r="Z53" s="97">
        <f t="shared" si="15"/>
        <v>0</v>
      </c>
      <c r="AA53" s="96"/>
      <c r="AB53" s="97">
        <f t="shared" si="16"/>
        <v>0</v>
      </c>
      <c r="AC53" s="97">
        <f t="shared" si="17"/>
        <v>0</v>
      </c>
      <c r="AD53" s="97">
        <f t="shared" si="18"/>
        <v>0</v>
      </c>
      <c r="AE53" s="96"/>
      <c r="AF53" s="97">
        <f t="shared" si="19"/>
        <v>0</v>
      </c>
      <c r="AG53" s="97">
        <f t="shared" si="20"/>
        <v>0</v>
      </c>
      <c r="AH53" s="97">
        <f t="shared" si="21"/>
        <v>0</v>
      </c>
      <c r="AI53" s="96"/>
      <c r="AJ53" s="97">
        <f t="shared" si="22"/>
        <v>0</v>
      </c>
      <c r="AK53" s="97">
        <f t="shared" si="23"/>
        <v>0</v>
      </c>
      <c r="AL53" s="97">
        <f t="shared" si="24"/>
        <v>0</v>
      </c>
      <c r="AM53" s="96"/>
      <c r="AN53" s="97">
        <f t="shared" si="25"/>
        <v>0</v>
      </c>
      <c r="AO53" s="97">
        <f t="shared" si="26"/>
        <v>0</v>
      </c>
      <c r="AP53" s="97">
        <f t="shared" si="27"/>
        <v>0</v>
      </c>
      <c r="AQ53" s="96"/>
      <c r="AR53" s="97">
        <f t="shared" si="28"/>
        <v>0</v>
      </c>
      <c r="AS53" s="97">
        <f t="shared" si="29"/>
        <v>0</v>
      </c>
      <c r="AT53" s="97">
        <f t="shared" si="30"/>
        <v>0</v>
      </c>
      <c r="AU53" s="96"/>
      <c r="AV53" s="97">
        <f t="shared" si="31"/>
        <v>0</v>
      </c>
      <c r="AW53" s="97">
        <f t="shared" si="32"/>
        <v>0</v>
      </c>
      <c r="AX53" s="97">
        <f t="shared" si="33"/>
        <v>0</v>
      </c>
      <c r="AY53" s="96"/>
      <c r="AZ53" s="65">
        <f t="shared" si="34"/>
        <v>0</v>
      </c>
      <c r="BA53" s="65">
        <f t="shared" si="35"/>
        <v>0</v>
      </c>
      <c r="BB53" s="65">
        <f t="shared" si="36"/>
        <v>0</v>
      </c>
    </row>
    <row r="54" spans="1:54" x14ac:dyDescent="0.2">
      <c r="A54" s="71"/>
      <c r="B54" s="96" t="s">
        <v>52</v>
      </c>
      <c r="C54" s="96"/>
      <c r="D54" s="97">
        <f t="shared" si="0"/>
        <v>0</v>
      </c>
      <c r="E54" s="97">
        <f t="shared" si="37"/>
        <v>0</v>
      </c>
      <c r="F54" s="97">
        <f t="shared" si="38"/>
        <v>0</v>
      </c>
      <c r="G54" s="96"/>
      <c r="H54" s="97">
        <f t="shared" si="1"/>
        <v>0</v>
      </c>
      <c r="I54" s="97">
        <f t="shared" si="2"/>
        <v>0</v>
      </c>
      <c r="J54" s="97">
        <f t="shared" si="3"/>
        <v>0</v>
      </c>
      <c r="K54" s="96"/>
      <c r="L54" s="97">
        <f t="shared" si="4"/>
        <v>0</v>
      </c>
      <c r="M54" s="97">
        <f t="shared" si="5"/>
        <v>0</v>
      </c>
      <c r="N54" s="97">
        <f t="shared" si="6"/>
        <v>0</v>
      </c>
      <c r="O54" s="96"/>
      <c r="P54" s="97">
        <f t="shared" si="7"/>
        <v>0</v>
      </c>
      <c r="Q54" s="97">
        <f t="shared" si="8"/>
        <v>0</v>
      </c>
      <c r="R54" s="97">
        <f t="shared" si="9"/>
        <v>0</v>
      </c>
      <c r="S54" s="96"/>
      <c r="T54" s="97">
        <f t="shared" si="10"/>
        <v>0</v>
      </c>
      <c r="U54" s="97">
        <f t="shared" si="11"/>
        <v>0</v>
      </c>
      <c r="V54" s="97">
        <f t="shared" si="12"/>
        <v>0</v>
      </c>
      <c r="W54" s="96"/>
      <c r="X54" s="97">
        <f t="shared" si="13"/>
        <v>0</v>
      </c>
      <c r="Y54" s="97">
        <f t="shared" si="14"/>
        <v>0</v>
      </c>
      <c r="Z54" s="97">
        <f t="shared" si="15"/>
        <v>0</v>
      </c>
      <c r="AA54" s="96"/>
      <c r="AB54" s="97">
        <f t="shared" si="16"/>
        <v>0</v>
      </c>
      <c r="AC54" s="97">
        <f t="shared" si="17"/>
        <v>0</v>
      </c>
      <c r="AD54" s="97">
        <f t="shared" si="18"/>
        <v>0</v>
      </c>
      <c r="AE54" s="96"/>
      <c r="AF54" s="97">
        <f t="shared" si="19"/>
        <v>0</v>
      </c>
      <c r="AG54" s="97">
        <f t="shared" si="20"/>
        <v>0</v>
      </c>
      <c r="AH54" s="97">
        <f t="shared" si="21"/>
        <v>0</v>
      </c>
      <c r="AI54" s="96"/>
      <c r="AJ54" s="97">
        <f t="shared" si="22"/>
        <v>0</v>
      </c>
      <c r="AK54" s="97">
        <f t="shared" si="23"/>
        <v>0</v>
      </c>
      <c r="AL54" s="97">
        <f t="shared" si="24"/>
        <v>0</v>
      </c>
      <c r="AM54" s="96"/>
      <c r="AN54" s="97">
        <f t="shared" si="25"/>
        <v>0</v>
      </c>
      <c r="AO54" s="97">
        <f t="shared" si="26"/>
        <v>0</v>
      </c>
      <c r="AP54" s="97">
        <f t="shared" si="27"/>
        <v>0</v>
      </c>
      <c r="AQ54" s="96"/>
      <c r="AR54" s="97">
        <f t="shared" si="28"/>
        <v>0</v>
      </c>
      <c r="AS54" s="97">
        <f t="shared" si="29"/>
        <v>0</v>
      </c>
      <c r="AT54" s="97">
        <f t="shared" si="30"/>
        <v>0</v>
      </c>
      <c r="AU54" s="96"/>
      <c r="AV54" s="97">
        <f t="shared" si="31"/>
        <v>0</v>
      </c>
      <c r="AW54" s="97">
        <f t="shared" si="32"/>
        <v>0</v>
      </c>
      <c r="AX54" s="97">
        <f t="shared" si="33"/>
        <v>0</v>
      </c>
      <c r="AY54" s="96"/>
      <c r="AZ54" s="65">
        <f t="shared" si="34"/>
        <v>0</v>
      </c>
      <c r="BA54" s="65">
        <f t="shared" si="35"/>
        <v>0</v>
      </c>
      <c r="BB54" s="65">
        <f t="shared" si="36"/>
        <v>0</v>
      </c>
    </row>
    <row r="55" spans="1:54" x14ac:dyDescent="0.2">
      <c r="A55" s="71"/>
      <c r="B55" s="96" t="s">
        <v>52</v>
      </c>
      <c r="C55" s="96"/>
      <c r="D55" s="97">
        <f t="shared" si="0"/>
        <v>0</v>
      </c>
      <c r="E55" s="97">
        <f t="shared" si="37"/>
        <v>0</v>
      </c>
      <c r="F55" s="97">
        <f t="shared" si="38"/>
        <v>0</v>
      </c>
      <c r="G55" s="96"/>
      <c r="H55" s="97">
        <f t="shared" si="1"/>
        <v>0</v>
      </c>
      <c r="I55" s="97">
        <f t="shared" si="2"/>
        <v>0</v>
      </c>
      <c r="J55" s="97">
        <f t="shared" si="3"/>
        <v>0</v>
      </c>
      <c r="K55" s="96"/>
      <c r="L55" s="97">
        <f t="shared" si="4"/>
        <v>0</v>
      </c>
      <c r="M55" s="97">
        <f t="shared" si="5"/>
        <v>0</v>
      </c>
      <c r="N55" s="97">
        <f t="shared" si="6"/>
        <v>0</v>
      </c>
      <c r="O55" s="96"/>
      <c r="P55" s="97">
        <f t="shared" si="7"/>
        <v>0</v>
      </c>
      <c r="Q55" s="97">
        <f t="shared" si="8"/>
        <v>0</v>
      </c>
      <c r="R55" s="97">
        <f t="shared" si="9"/>
        <v>0</v>
      </c>
      <c r="S55" s="96"/>
      <c r="T55" s="97">
        <f t="shared" si="10"/>
        <v>0</v>
      </c>
      <c r="U55" s="97">
        <f t="shared" si="11"/>
        <v>0</v>
      </c>
      <c r="V55" s="97">
        <f t="shared" si="12"/>
        <v>0</v>
      </c>
      <c r="W55" s="96"/>
      <c r="X55" s="97">
        <f t="shared" si="13"/>
        <v>0</v>
      </c>
      <c r="Y55" s="97">
        <f t="shared" si="14"/>
        <v>0</v>
      </c>
      <c r="Z55" s="97">
        <f t="shared" si="15"/>
        <v>0</v>
      </c>
      <c r="AA55" s="96"/>
      <c r="AB55" s="97">
        <f t="shared" si="16"/>
        <v>0</v>
      </c>
      <c r="AC55" s="97">
        <f t="shared" si="17"/>
        <v>0</v>
      </c>
      <c r="AD55" s="97">
        <f t="shared" si="18"/>
        <v>0</v>
      </c>
      <c r="AE55" s="96"/>
      <c r="AF55" s="97">
        <f t="shared" si="19"/>
        <v>0</v>
      </c>
      <c r="AG55" s="97">
        <f t="shared" si="20"/>
        <v>0</v>
      </c>
      <c r="AH55" s="97">
        <f t="shared" si="21"/>
        <v>0</v>
      </c>
      <c r="AI55" s="96"/>
      <c r="AJ55" s="97">
        <f t="shared" si="22"/>
        <v>0</v>
      </c>
      <c r="AK55" s="97">
        <f t="shared" si="23"/>
        <v>0</v>
      </c>
      <c r="AL55" s="97">
        <f t="shared" si="24"/>
        <v>0</v>
      </c>
      <c r="AM55" s="96"/>
      <c r="AN55" s="97">
        <f t="shared" si="25"/>
        <v>0</v>
      </c>
      <c r="AO55" s="97">
        <f t="shared" si="26"/>
        <v>0</v>
      </c>
      <c r="AP55" s="97">
        <f t="shared" si="27"/>
        <v>0</v>
      </c>
      <c r="AQ55" s="96"/>
      <c r="AR55" s="97">
        <f t="shared" si="28"/>
        <v>0</v>
      </c>
      <c r="AS55" s="97">
        <f t="shared" si="29"/>
        <v>0</v>
      </c>
      <c r="AT55" s="97">
        <f t="shared" si="30"/>
        <v>0</v>
      </c>
      <c r="AU55" s="96"/>
      <c r="AV55" s="97">
        <f t="shared" si="31"/>
        <v>0</v>
      </c>
      <c r="AW55" s="97">
        <f t="shared" si="32"/>
        <v>0</v>
      </c>
      <c r="AX55" s="97">
        <f t="shared" si="33"/>
        <v>0</v>
      </c>
      <c r="AY55" s="96"/>
      <c r="AZ55" s="65">
        <f t="shared" si="34"/>
        <v>0</v>
      </c>
      <c r="BA55" s="65">
        <f t="shared" si="35"/>
        <v>0</v>
      </c>
      <c r="BB55" s="65">
        <f t="shared" si="36"/>
        <v>0</v>
      </c>
    </row>
    <row r="56" spans="1:54" x14ac:dyDescent="0.2">
      <c r="A56" s="71"/>
      <c r="B56" s="96" t="s">
        <v>52</v>
      </c>
      <c r="C56" s="96"/>
      <c r="D56" s="97">
        <f t="shared" si="0"/>
        <v>0</v>
      </c>
      <c r="E56" s="97">
        <f t="shared" si="37"/>
        <v>0</v>
      </c>
      <c r="F56" s="97">
        <f t="shared" si="38"/>
        <v>0</v>
      </c>
      <c r="G56" s="96"/>
      <c r="H56" s="97">
        <f t="shared" si="1"/>
        <v>0</v>
      </c>
      <c r="I56" s="97">
        <f t="shared" si="2"/>
        <v>0</v>
      </c>
      <c r="J56" s="97">
        <f t="shared" si="3"/>
        <v>0</v>
      </c>
      <c r="K56" s="96"/>
      <c r="L56" s="97">
        <f t="shared" si="4"/>
        <v>0</v>
      </c>
      <c r="M56" s="97">
        <f t="shared" si="5"/>
        <v>0</v>
      </c>
      <c r="N56" s="97">
        <f t="shared" si="6"/>
        <v>0</v>
      </c>
      <c r="O56" s="96"/>
      <c r="P56" s="97">
        <f t="shared" si="7"/>
        <v>0</v>
      </c>
      <c r="Q56" s="97">
        <f t="shared" si="8"/>
        <v>0</v>
      </c>
      <c r="R56" s="97">
        <f t="shared" si="9"/>
        <v>0</v>
      </c>
      <c r="S56" s="96"/>
      <c r="T56" s="97">
        <f t="shared" si="10"/>
        <v>0</v>
      </c>
      <c r="U56" s="97">
        <f t="shared" si="11"/>
        <v>0</v>
      </c>
      <c r="V56" s="97">
        <f t="shared" si="12"/>
        <v>0</v>
      </c>
      <c r="W56" s="96"/>
      <c r="X56" s="97">
        <f t="shared" si="13"/>
        <v>0</v>
      </c>
      <c r="Y56" s="97">
        <f t="shared" si="14"/>
        <v>0</v>
      </c>
      <c r="Z56" s="97">
        <f t="shared" si="15"/>
        <v>0</v>
      </c>
      <c r="AA56" s="96"/>
      <c r="AB56" s="97">
        <f t="shared" si="16"/>
        <v>0</v>
      </c>
      <c r="AC56" s="97">
        <f t="shared" si="17"/>
        <v>0</v>
      </c>
      <c r="AD56" s="97">
        <f t="shared" si="18"/>
        <v>0</v>
      </c>
      <c r="AE56" s="96"/>
      <c r="AF56" s="97">
        <f t="shared" si="19"/>
        <v>0</v>
      </c>
      <c r="AG56" s="97">
        <f t="shared" si="20"/>
        <v>0</v>
      </c>
      <c r="AH56" s="97">
        <f t="shared" si="21"/>
        <v>0</v>
      </c>
      <c r="AI56" s="96"/>
      <c r="AJ56" s="97">
        <f t="shared" si="22"/>
        <v>0</v>
      </c>
      <c r="AK56" s="97">
        <f t="shared" si="23"/>
        <v>0</v>
      </c>
      <c r="AL56" s="97">
        <f t="shared" si="24"/>
        <v>0</v>
      </c>
      <c r="AM56" s="96"/>
      <c r="AN56" s="97">
        <f t="shared" si="25"/>
        <v>0</v>
      </c>
      <c r="AO56" s="97">
        <f t="shared" si="26"/>
        <v>0</v>
      </c>
      <c r="AP56" s="97">
        <f t="shared" si="27"/>
        <v>0</v>
      </c>
      <c r="AQ56" s="96"/>
      <c r="AR56" s="97">
        <f t="shared" si="28"/>
        <v>0</v>
      </c>
      <c r="AS56" s="97">
        <f t="shared" si="29"/>
        <v>0</v>
      </c>
      <c r="AT56" s="97">
        <f t="shared" si="30"/>
        <v>0</v>
      </c>
      <c r="AU56" s="96"/>
      <c r="AV56" s="97">
        <f t="shared" si="31"/>
        <v>0</v>
      </c>
      <c r="AW56" s="97">
        <f t="shared" si="32"/>
        <v>0</v>
      </c>
      <c r="AX56" s="97">
        <f t="shared" si="33"/>
        <v>0</v>
      </c>
      <c r="AY56" s="96"/>
      <c r="AZ56" s="65">
        <f t="shared" si="34"/>
        <v>0</v>
      </c>
      <c r="BA56" s="65">
        <f t="shared" si="35"/>
        <v>0</v>
      </c>
      <c r="BB56" s="65">
        <f t="shared" si="36"/>
        <v>0</v>
      </c>
    </row>
    <row r="57" spans="1:54" x14ac:dyDescent="0.2">
      <c r="A57" s="71"/>
      <c r="B57" s="96" t="s">
        <v>52</v>
      </c>
      <c r="C57" s="96"/>
      <c r="D57" s="97">
        <f t="shared" si="0"/>
        <v>0</v>
      </c>
      <c r="E57" s="97">
        <f t="shared" si="37"/>
        <v>0</v>
      </c>
      <c r="F57" s="97">
        <f t="shared" si="38"/>
        <v>0</v>
      </c>
      <c r="G57" s="96"/>
      <c r="H57" s="97">
        <f t="shared" si="1"/>
        <v>0</v>
      </c>
      <c r="I57" s="97">
        <f t="shared" si="2"/>
        <v>0</v>
      </c>
      <c r="J57" s="97">
        <f t="shared" si="3"/>
        <v>0</v>
      </c>
      <c r="K57" s="96"/>
      <c r="L57" s="97">
        <f t="shared" si="4"/>
        <v>0</v>
      </c>
      <c r="M57" s="97">
        <f t="shared" si="5"/>
        <v>0</v>
      </c>
      <c r="N57" s="97">
        <f t="shared" si="6"/>
        <v>0</v>
      </c>
      <c r="O57" s="96"/>
      <c r="P57" s="97">
        <f t="shared" si="7"/>
        <v>0</v>
      </c>
      <c r="Q57" s="97">
        <f t="shared" si="8"/>
        <v>0</v>
      </c>
      <c r="R57" s="97">
        <f t="shared" si="9"/>
        <v>0</v>
      </c>
      <c r="S57" s="96"/>
      <c r="T57" s="97">
        <f t="shared" si="10"/>
        <v>0</v>
      </c>
      <c r="U57" s="97">
        <f t="shared" si="11"/>
        <v>0</v>
      </c>
      <c r="V57" s="97">
        <f t="shared" si="12"/>
        <v>0</v>
      </c>
      <c r="W57" s="96"/>
      <c r="X57" s="97">
        <f t="shared" si="13"/>
        <v>0</v>
      </c>
      <c r="Y57" s="97">
        <f t="shared" si="14"/>
        <v>0</v>
      </c>
      <c r="Z57" s="97">
        <f t="shared" si="15"/>
        <v>0</v>
      </c>
      <c r="AA57" s="96"/>
      <c r="AB57" s="97">
        <f t="shared" si="16"/>
        <v>0</v>
      </c>
      <c r="AC57" s="97">
        <f t="shared" si="17"/>
        <v>0</v>
      </c>
      <c r="AD57" s="97">
        <f t="shared" si="18"/>
        <v>0</v>
      </c>
      <c r="AE57" s="96"/>
      <c r="AF57" s="97">
        <f t="shared" si="19"/>
        <v>0</v>
      </c>
      <c r="AG57" s="97">
        <f t="shared" si="20"/>
        <v>0</v>
      </c>
      <c r="AH57" s="97">
        <f t="shared" si="21"/>
        <v>0</v>
      </c>
      <c r="AI57" s="96"/>
      <c r="AJ57" s="97">
        <f t="shared" si="22"/>
        <v>0</v>
      </c>
      <c r="AK57" s="97">
        <f t="shared" si="23"/>
        <v>0</v>
      </c>
      <c r="AL57" s="97">
        <f t="shared" si="24"/>
        <v>0</v>
      </c>
      <c r="AM57" s="96"/>
      <c r="AN57" s="97">
        <f t="shared" si="25"/>
        <v>0</v>
      </c>
      <c r="AO57" s="97">
        <f t="shared" si="26"/>
        <v>0</v>
      </c>
      <c r="AP57" s="97">
        <f t="shared" si="27"/>
        <v>0</v>
      </c>
      <c r="AQ57" s="96"/>
      <c r="AR57" s="97">
        <f t="shared" si="28"/>
        <v>0</v>
      </c>
      <c r="AS57" s="97">
        <f t="shared" si="29"/>
        <v>0</v>
      </c>
      <c r="AT57" s="97">
        <f t="shared" si="30"/>
        <v>0</v>
      </c>
      <c r="AU57" s="96"/>
      <c r="AV57" s="97">
        <f t="shared" si="31"/>
        <v>0</v>
      </c>
      <c r="AW57" s="97">
        <f t="shared" si="32"/>
        <v>0</v>
      </c>
      <c r="AX57" s="97">
        <f t="shared" si="33"/>
        <v>0</v>
      </c>
      <c r="AY57" s="96"/>
      <c r="AZ57" s="65">
        <f t="shared" si="34"/>
        <v>0</v>
      </c>
      <c r="BA57" s="65">
        <f t="shared" si="35"/>
        <v>0</v>
      </c>
      <c r="BB57" s="65">
        <f t="shared" si="36"/>
        <v>0</v>
      </c>
    </row>
    <row r="58" spans="1:54" x14ac:dyDescent="0.2">
      <c r="A58" s="71"/>
      <c r="B58" s="96" t="s">
        <v>52</v>
      </c>
      <c r="C58" s="96"/>
      <c r="D58" s="97">
        <f t="shared" si="0"/>
        <v>0</v>
      </c>
      <c r="E58" s="97">
        <f t="shared" si="37"/>
        <v>0</v>
      </c>
      <c r="F58" s="97">
        <f t="shared" si="38"/>
        <v>0</v>
      </c>
      <c r="G58" s="96"/>
      <c r="H58" s="97">
        <f t="shared" si="1"/>
        <v>0</v>
      </c>
      <c r="I58" s="97">
        <f t="shared" si="2"/>
        <v>0</v>
      </c>
      <c r="J58" s="97">
        <f t="shared" si="3"/>
        <v>0</v>
      </c>
      <c r="K58" s="96"/>
      <c r="L58" s="97">
        <f t="shared" si="4"/>
        <v>0</v>
      </c>
      <c r="M58" s="97">
        <f t="shared" si="5"/>
        <v>0</v>
      </c>
      <c r="N58" s="97">
        <f t="shared" si="6"/>
        <v>0</v>
      </c>
      <c r="O58" s="96"/>
      <c r="P58" s="97">
        <f t="shared" si="7"/>
        <v>0</v>
      </c>
      <c r="Q58" s="97">
        <f t="shared" si="8"/>
        <v>0</v>
      </c>
      <c r="R58" s="97">
        <f t="shared" si="9"/>
        <v>0</v>
      </c>
      <c r="S58" s="96"/>
      <c r="T58" s="97">
        <f t="shared" si="10"/>
        <v>0</v>
      </c>
      <c r="U58" s="97">
        <f t="shared" si="11"/>
        <v>0</v>
      </c>
      <c r="V58" s="97">
        <f t="shared" si="12"/>
        <v>0</v>
      </c>
      <c r="W58" s="96"/>
      <c r="X58" s="97">
        <f t="shared" si="13"/>
        <v>0</v>
      </c>
      <c r="Y58" s="97">
        <f t="shared" si="14"/>
        <v>0</v>
      </c>
      <c r="Z58" s="97">
        <f t="shared" si="15"/>
        <v>0</v>
      </c>
      <c r="AA58" s="96"/>
      <c r="AB58" s="97">
        <f t="shared" si="16"/>
        <v>0</v>
      </c>
      <c r="AC58" s="97">
        <f t="shared" si="17"/>
        <v>0</v>
      </c>
      <c r="AD58" s="97">
        <f t="shared" si="18"/>
        <v>0</v>
      </c>
      <c r="AE58" s="96"/>
      <c r="AF58" s="97">
        <f t="shared" si="19"/>
        <v>0</v>
      </c>
      <c r="AG58" s="97">
        <f t="shared" si="20"/>
        <v>0</v>
      </c>
      <c r="AH58" s="97">
        <f t="shared" si="21"/>
        <v>0</v>
      </c>
      <c r="AI58" s="96"/>
      <c r="AJ58" s="97">
        <f t="shared" si="22"/>
        <v>0</v>
      </c>
      <c r="AK58" s="97">
        <f t="shared" si="23"/>
        <v>0</v>
      </c>
      <c r="AL58" s="97">
        <f t="shared" si="24"/>
        <v>0</v>
      </c>
      <c r="AM58" s="96"/>
      <c r="AN58" s="97">
        <f t="shared" si="25"/>
        <v>0</v>
      </c>
      <c r="AO58" s="97">
        <f t="shared" si="26"/>
        <v>0</v>
      </c>
      <c r="AP58" s="97">
        <f t="shared" si="27"/>
        <v>0</v>
      </c>
      <c r="AQ58" s="96"/>
      <c r="AR58" s="97">
        <f t="shared" si="28"/>
        <v>0</v>
      </c>
      <c r="AS58" s="97">
        <f t="shared" si="29"/>
        <v>0</v>
      </c>
      <c r="AT58" s="97">
        <f t="shared" si="30"/>
        <v>0</v>
      </c>
      <c r="AU58" s="96"/>
      <c r="AV58" s="97">
        <f t="shared" si="31"/>
        <v>0</v>
      </c>
      <c r="AW58" s="97">
        <f t="shared" si="32"/>
        <v>0</v>
      </c>
      <c r="AX58" s="97">
        <f t="shared" si="33"/>
        <v>0</v>
      </c>
      <c r="AY58" s="96"/>
      <c r="AZ58" s="65">
        <f t="shared" si="34"/>
        <v>0</v>
      </c>
      <c r="BA58" s="65">
        <f t="shared" si="35"/>
        <v>0</v>
      </c>
      <c r="BB58" s="65">
        <f t="shared" si="36"/>
        <v>0</v>
      </c>
    </row>
    <row r="59" spans="1:54" x14ac:dyDescent="0.2">
      <c r="A59" s="71"/>
      <c r="B59" s="96" t="s">
        <v>52</v>
      </c>
      <c r="C59" s="96"/>
      <c r="D59" s="97">
        <f t="shared" si="0"/>
        <v>0</v>
      </c>
      <c r="E59" s="97">
        <f t="shared" si="37"/>
        <v>0</v>
      </c>
      <c r="F59" s="97">
        <f t="shared" si="38"/>
        <v>0</v>
      </c>
      <c r="G59" s="96"/>
      <c r="H59" s="97">
        <f t="shared" si="1"/>
        <v>0</v>
      </c>
      <c r="I59" s="97">
        <f t="shared" si="2"/>
        <v>0</v>
      </c>
      <c r="J59" s="97">
        <f t="shared" si="3"/>
        <v>0</v>
      </c>
      <c r="K59" s="96"/>
      <c r="L59" s="97">
        <f t="shared" si="4"/>
        <v>0</v>
      </c>
      <c r="M59" s="97">
        <f t="shared" si="5"/>
        <v>0</v>
      </c>
      <c r="N59" s="97">
        <f t="shared" si="6"/>
        <v>0</v>
      </c>
      <c r="O59" s="96"/>
      <c r="P59" s="97">
        <f t="shared" si="7"/>
        <v>0</v>
      </c>
      <c r="Q59" s="97">
        <f t="shared" si="8"/>
        <v>0</v>
      </c>
      <c r="R59" s="97">
        <f t="shared" si="9"/>
        <v>0</v>
      </c>
      <c r="S59" s="96"/>
      <c r="T59" s="97">
        <f t="shared" si="10"/>
        <v>0</v>
      </c>
      <c r="U59" s="97">
        <f t="shared" si="11"/>
        <v>0</v>
      </c>
      <c r="V59" s="97">
        <f t="shared" si="12"/>
        <v>0</v>
      </c>
      <c r="W59" s="96"/>
      <c r="X59" s="97">
        <f t="shared" si="13"/>
        <v>0</v>
      </c>
      <c r="Y59" s="97">
        <f t="shared" si="14"/>
        <v>0</v>
      </c>
      <c r="Z59" s="97">
        <f t="shared" si="15"/>
        <v>0</v>
      </c>
      <c r="AA59" s="96"/>
      <c r="AB59" s="97">
        <f t="shared" si="16"/>
        <v>0</v>
      </c>
      <c r="AC59" s="97">
        <f t="shared" si="17"/>
        <v>0</v>
      </c>
      <c r="AD59" s="97">
        <f t="shared" si="18"/>
        <v>0</v>
      </c>
      <c r="AE59" s="96"/>
      <c r="AF59" s="97">
        <f t="shared" si="19"/>
        <v>0</v>
      </c>
      <c r="AG59" s="97">
        <f t="shared" si="20"/>
        <v>0</v>
      </c>
      <c r="AH59" s="97">
        <f t="shared" si="21"/>
        <v>0</v>
      </c>
      <c r="AI59" s="96"/>
      <c r="AJ59" s="97">
        <f t="shared" si="22"/>
        <v>0</v>
      </c>
      <c r="AK59" s="97">
        <f t="shared" si="23"/>
        <v>0</v>
      </c>
      <c r="AL59" s="97">
        <f t="shared" si="24"/>
        <v>0</v>
      </c>
      <c r="AM59" s="96"/>
      <c r="AN59" s="97">
        <f t="shared" si="25"/>
        <v>0</v>
      </c>
      <c r="AO59" s="97">
        <f t="shared" si="26"/>
        <v>0</v>
      </c>
      <c r="AP59" s="97">
        <f t="shared" si="27"/>
        <v>0</v>
      </c>
      <c r="AQ59" s="96"/>
      <c r="AR59" s="97">
        <f t="shared" si="28"/>
        <v>0</v>
      </c>
      <c r="AS59" s="97">
        <f t="shared" si="29"/>
        <v>0</v>
      </c>
      <c r="AT59" s="97">
        <f t="shared" si="30"/>
        <v>0</v>
      </c>
      <c r="AU59" s="96"/>
      <c r="AV59" s="97">
        <f t="shared" si="31"/>
        <v>0</v>
      </c>
      <c r="AW59" s="97">
        <f t="shared" si="32"/>
        <v>0</v>
      </c>
      <c r="AX59" s="97">
        <f t="shared" si="33"/>
        <v>0</v>
      </c>
      <c r="AY59" s="96"/>
      <c r="AZ59" s="65">
        <f t="shared" si="34"/>
        <v>0</v>
      </c>
      <c r="BA59" s="65">
        <f t="shared" si="35"/>
        <v>0</v>
      </c>
      <c r="BB59" s="65">
        <f t="shared" si="36"/>
        <v>0</v>
      </c>
    </row>
    <row r="60" spans="1:54" x14ac:dyDescent="0.2">
      <c r="A60" s="71"/>
      <c r="B60" s="96" t="s">
        <v>52</v>
      </c>
      <c r="C60" s="96"/>
      <c r="D60" s="97">
        <f t="shared" si="0"/>
        <v>0</v>
      </c>
      <c r="E60" s="97">
        <f t="shared" si="37"/>
        <v>0</v>
      </c>
      <c r="F60" s="97">
        <f t="shared" si="38"/>
        <v>0</v>
      </c>
      <c r="G60" s="96"/>
      <c r="H60" s="97">
        <f t="shared" si="1"/>
        <v>0</v>
      </c>
      <c r="I60" s="97">
        <f t="shared" si="2"/>
        <v>0</v>
      </c>
      <c r="J60" s="97">
        <f t="shared" si="3"/>
        <v>0</v>
      </c>
      <c r="K60" s="96"/>
      <c r="L60" s="97">
        <f t="shared" si="4"/>
        <v>0</v>
      </c>
      <c r="M60" s="97">
        <f t="shared" si="5"/>
        <v>0</v>
      </c>
      <c r="N60" s="97">
        <f t="shared" si="6"/>
        <v>0</v>
      </c>
      <c r="O60" s="96"/>
      <c r="P60" s="97">
        <f t="shared" si="7"/>
        <v>0</v>
      </c>
      <c r="Q60" s="97">
        <f t="shared" si="8"/>
        <v>0</v>
      </c>
      <c r="R60" s="97">
        <f t="shared" si="9"/>
        <v>0</v>
      </c>
      <c r="S60" s="96"/>
      <c r="T60" s="97">
        <f t="shared" si="10"/>
        <v>0</v>
      </c>
      <c r="U60" s="97">
        <f t="shared" si="11"/>
        <v>0</v>
      </c>
      <c r="V60" s="97">
        <f t="shared" si="12"/>
        <v>0</v>
      </c>
      <c r="W60" s="96"/>
      <c r="X60" s="97">
        <f t="shared" si="13"/>
        <v>0</v>
      </c>
      <c r="Y60" s="97">
        <f t="shared" si="14"/>
        <v>0</v>
      </c>
      <c r="Z60" s="97">
        <f t="shared" si="15"/>
        <v>0</v>
      </c>
      <c r="AA60" s="96"/>
      <c r="AB60" s="97">
        <f t="shared" si="16"/>
        <v>0</v>
      </c>
      <c r="AC60" s="97">
        <f t="shared" si="17"/>
        <v>0</v>
      </c>
      <c r="AD60" s="97">
        <f t="shared" si="18"/>
        <v>0</v>
      </c>
      <c r="AE60" s="96"/>
      <c r="AF60" s="97">
        <f t="shared" si="19"/>
        <v>0</v>
      </c>
      <c r="AG60" s="97">
        <f t="shared" si="20"/>
        <v>0</v>
      </c>
      <c r="AH60" s="97">
        <f t="shared" si="21"/>
        <v>0</v>
      </c>
      <c r="AI60" s="96"/>
      <c r="AJ60" s="97">
        <f t="shared" si="22"/>
        <v>0</v>
      </c>
      <c r="AK60" s="97">
        <f t="shared" si="23"/>
        <v>0</v>
      </c>
      <c r="AL60" s="97">
        <f t="shared" si="24"/>
        <v>0</v>
      </c>
      <c r="AM60" s="96"/>
      <c r="AN60" s="97">
        <f t="shared" si="25"/>
        <v>0</v>
      </c>
      <c r="AO60" s="97">
        <f t="shared" si="26"/>
        <v>0</v>
      </c>
      <c r="AP60" s="97">
        <f t="shared" si="27"/>
        <v>0</v>
      </c>
      <c r="AQ60" s="96"/>
      <c r="AR60" s="97">
        <f t="shared" si="28"/>
        <v>0</v>
      </c>
      <c r="AS60" s="97">
        <f t="shared" si="29"/>
        <v>0</v>
      </c>
      <c r="AT60" s="97">
        <f t="shared" si="30"/>
        <v>0</v>
      </c>
      <c r="AU60" s="96"/>
      <c r="AV60" s="97">
        <f t="shared" si="31"/>
        <v>0</v>
      </c>
      <c r="AW60" s="97">
        <f t="shared" si="32"/>
        <v>0</v>
      </c>
      <c r="AX60" s="97">
        <f t="shared" si="33"/>
        <v>0</v>
      </c>
      <c r="AY60" s="96"/>
      <c r="AZ60" s="65">
        <f t="shared" si="34"/>
        <v>0</v>
      </c>
      <c r="BA60" s="65">
        <f t="shared" si="35"/>
        <v>0</v>
      </c>
      <c r="BB60" s="65">
        <f t="shared" si="36"/>
        <v>0</v>
      </c>
    </row>
    <row r="61" spans="1:54" x14ac:dyDescent="0.2">
      <c r="A61" s="71"/>
      <c r="B61" s="96" t="s">
        <v>52</v>
      </c>
      <c r="C61" s="96"/>
      <c r="D61" s="97">
        <f t="shared" si="0"/>
        <v>0</v>
      </c>
      <c r="E61" s="97">
        <f t="shared" si="37"/>
        <v>0</v>
      </c>
      <c r="F61" s="97">
        <f t="shared" si="38"/>
        <v>0</v>
      </c>
      <c r="G61" s="96"/>
      <c r="H61" s="97">
        <f t="shared" si="1"/>
        <v>0</v>
      </c>
      <c r="I61" s="97">
        <f t="shared" si="2"/>
        <v>0</v>
      </c>
      <c r="J61" s="97">
        <f t="shared" si="3"/>
        <v>0</v>
      </c>
      <c r="K61" s="96"/>
      <c r="L61" s="97">
        <f t="shared" si="4"/>
        <v>0</v>
      </c>
      <c r="M61" s="97">
        <f t="shared" si="5"/>
        <v>0</v>
      </c>
      <c r="N61" s="97">
        <f t="shared" si="6"/>
        <v>0</v>
      </c>
      <c r="O61" s="96"/>
      <c r="P61" s="97">
        <f t="shared" si="7"/>
        <v>0</v>
      </c>
      <c r="Q61" s="97">
        <f t="shared" si="8"/>
        <v>0</v>
      </c>
      <c r="R61" s="97">
        <f t="shared" si="9"/>
        <v>0</v>
      </c>
      <c r="S61" s="96"/>
      <c r="T61" s="97">
        <f t="shared" si="10"/>
        <v>0</v>
      </c>
      <c r="U61" s="97">
        <f t="shared" si="11"/>
        <v>0</v>
      </c>
      <c r="V61" s="97">
        <f t="shared" si="12"/>
        <v>0</v>
      </c>
      <c r="W61" s="96"/>
      <c r="X61" s="97">
        <f t="shared" si="13"/>
        <v>0</v>
      </c>
      <c r="Y61" s="97">
        <f t="shared" si="14"/>
        <v>0</v>
      </c>
      <c r="Z61" s="97">
        <f t="shared" si="15"/>
        <v>0</v>
      </c>
      <c r="AA61" s="96"/>
      <c r="AB61" s="97">
        <f t="shared" si="16"/>
        <v>0</v>
      </c>
      <c r="AC61" s="97">
        <f t="shared" si="17"/>
        <v>0</v>
      </c>
      <c r="AD61" s="97">
        <f t="shared" si="18"/>
        <v>0</v>
      </c>
      <c r="AE61" s="96"/>
      <c r="AF61" s="97">
        <f t="shared" si="19"/>
        <v>0</v>
      </c>
      <c r="AG61" s="97">
        <f t="shared" si="20"/>
        <v>0</v>
      </c>
      <c r="AH61" s="97">
        <f t="shared" si="21"/>
        <v>0</v>
      </c>
      <c r="AI61" s="96"/>
      <c r="AJ61" s="97">
        <f t="shared" si="22"/>
        <v>0</v>
      </c>
      <c r="AK61" s="97">
        <f t="shared" si="23"/>
        <v>0</v>
      </c>
      <c r="AL61" s="97">
        <f t="shared" si="24"/>
        <v>0</v>
      </c>
      <c r="AM61" s="96"/>
      <c r="AN61" s="97">
        <f t="shared" si="25"/>
        <v>0</v>
      </c>
      <c r="AO61" s="97">
        <f t="shared" si="26"/>
        <v>0</v>
      </c>
      <c r="AP61" s="97">
        <f t="shared" si="27"/>
        <v>0</v>
      </c>
      <c r="AQ61" s="96"/>
      <c r="AR61" s="97">
        <f t="shared" si="28"/>
        <v>0</v>
      </c>
      <c r="AS61" s="97">
        <f t="shared" si="29"/>
        <v>0</v>
      </c>
      <c r="AT61" s="97">
        <f t="shared" si="30"/>
        <v>0</v>
      </c>
      <c r="AU61" s="96"/>
      <c r="AV61" s="97">
        <f t="shared" si="31"/>
        <v>0</v>
      </c>
      <c r="AW61" s="97">
        <f t="shared" si="32"/>
        <v>0</v>
      </c>
      <c r="AX61" s="97">
        <f t="shared" si="33"/>
        <v>0</v>
      </c>
      <c r="AY61" s="96"/>
      <c r="AZ61" s="65">
        <f t="shared" si="34"/>
        <v>0</v>
      </c>
      <c r="BA61" s="65">
        <f t="shared" si="35"/>
        <v>0</v>
      </c>
      <c r="BB61" s="65">
        <f t="shared" si="36"/>
        <v>0</v>
      </c>
    </row>
    <row r="62" spans="1:54" x14ac:dyDescent="0.2">
      <c r="A62" s="71"/>
      <c r="B62" s="96" t="s">
        <v>52</v>
      </c>
      <c r="C62" s="96"/>
      <c r="D62" s="97">
        <f t="shared" si="0"/>
        <v>0</v>
      </c>
      <c r="E62" s="97">
        <f t="shared" si="37"/>
        <v>0</v>
      </c>
      <c r="F62" s="97">
        <f t="shared" si="38"/>
        <v>0</v>
      </c>
      <c r="G62" s="96"/>
      <c r="H62" s="97">
        <f t="shared" si="1"/>
        <v>0</v>
      </c>
      <c r="I62" s="97">
        <f t="shared" si="2"/>
        <v>0</v>
      </c>
      <c r="J62" s="97">
        <f t="shared" si="3"/>
        <v>0</v>
      </c>
      <c r="K62" s="96"/>
      <c r="L62" s="97">
        <f t="shared" si="4"/>
        <v>0</v>
      </c>
      <c r="M62" s="97">
        <f t="shared" si="5"/>
        <v>0</v>
      </c>
      <c r="N62" s="97">
        <f t="shared" si="6"/>
        <v>0</v>
      </c>
      <c r="O62" s="96"/>
      <c r="P62" s="97">
        <f t="shared" si="7"/>
        <v>0</v>
      </c>
      <c r="Q62" s="97">
        <f t="shared" si="8"/>
        <v>0</v>
      </c>
      <c r="R62" s="97">
        <f t="shared" si="9"/>
        <v>0</v>
      </c>
      <c r="S62" s="96"/>
      <c r="T62" s="97">
        <f t="shared" si="10"/>
        <v>0</v>
      </c>
      <c r="U62" s="97">
        <f t="shared" si="11"/>
        <v>0</v>
      </c>
      <c r="V62" s="97">
        <f t="shared" si="12"/>
        <v>0</v>
      </c>
      <c r="W62" s="96"/>
      <c r="X62" s="97">
        <f t="shared" si="13"/>
        <v>0</v>
      </c>
      <c r="Y62" s="97">
        <f t="shared" si="14"/>
        <v>0</v>
      </c>
      <c r="Z62" s="97">
        <f t="shared" si="15"/>
        <v>0</v>
      </c>
      <c r="AA62" s="96"/>
      <c r="AB62" s="97">
        <f t="shared" si="16"/>
        <v>0</v>
      </c>
      <c r="AC62" s="97">
        <f t="shared" si="17"/>
        <v>0</v>
      </c>
      <c r="AD62" s="97">
        <f t="shared" si="18"/>
        <v>0</v>
      </c>
      <c r="AE62" s="96"/>
      <c r="AF62" s="97">
        <f t="shared" si="19"/>
        <v>0</v>
      </c>
      <c r="AG62" s="97">
        <f t="shared" si="20"/>
        <v>0</v>
      </c>
      <c r="AH62" s="97">
        <f t="shared" si="21"/>
        <v>0</v>
      </c>
      <c r="AI62" s="96"/>
      <c r="AJ62" s="97">
        <f t="shared" si="22"/>
        <v>0</v>
      </c>
      <c r="AK62" s="97">
        <f t="shared" si="23"/>
        <v>0</v>
      </c>
      <c r="AL62" s="97">
        <f t="shared" si="24"/>
        <v>0</v>
      </c>
      <c r="AM62" s="96"/>
      <c r="AN62" s="97">
        <f t="shared" si="25"/>
        <v>0</v>
      </c>
      <c r="AO62" s="97">
        <f t="shared" si="26"/>
        <v>0</v>
      </c>
      <c r="AP62" s="97">
        <f t="shared" si="27"/>
        <v>0</v>
      </c>
      <c r="AQ62" s="96"/>
      <c r="AR62" s="97">
        <f t="shared" si="28"/>
        <v>0</v>
      </c>
      <c r="AS62" s="97">
        <f t="shared" si="29"/>
        <v>0</v>
      </c>
      <c r="AT62" s="97">
        <f t="shared" si="30"/>
        <v>0</v>
      </c>
      <c r="AU62" s="96"/>
      <c r="AV62" s="97">
        <f t="shared" si="31"/>
        <v>0</v>
      </c>
      <c r="AW62" s="97">
        <f t="shared" si="32"/>
        <v>0</v>
      </c>
      <c r="AX62" s="97">
        <f t="shared" si="33"/>
        <v>0</v>
      </c>
      <c r="AY62" s="96"/>
      <c r="AZ62" s="65">
        <f t="shared" si="34"/>
        <v>0</v>
      </c>
      <c r="BA62" s="65">
        <f t="shared" si="35"/>
        <v>0</v>
      </c>
      <c r="BB62" s="65">
        <f t="shared" si="36"/>
        <v>0</v>
      </c>
    </row>
    <row r="63" spans="1:54" x14ac:dyDescent="0.2">
      <c r="A63" s="71"/>
      <c r="B63" s="96" t="s">
        <v>52</v>
      </c>
      <c r="C63" s="96"/>
      <c r="D63" s="97">
        <f t="shared" si="0"/>
        <v>0</v>
      </c>
      <c r="E63" s="97">
        <f t="shared" si="37"/>
        <v>0</v>
      </c>
      <c r="F63" s="97">
        <f t="shared" si="38"/>
        <v>0</v>
      </c>
      <c r="G63" s="96"/>
      <c r="H63" s="97">
        <f t="shared" si="1"/>
        <v>0</v>
      </c>
      <c r="I63" s="97">
        <f t="shared" si="2"/>
        <v>0</v>
      </c>
      <c r="J63" s="97">
        <f t="shared" si="3"/>
        <v>0</v>
      </c>
      <c r="K63" s="96"/>
      <c r="L63" s="97">
        <f t="shared" si="4"/>
        <v>0</v>
      </c>
      <c r="M63" s="97">
        <f t="shared" si="5"/>
        <v>0</v>
      </c>
      <c r="N63" s="97">
        <f t="shared" si="6"/>
        <v>0</v>
      </c>
      <c r="O63" s="96"/>
      <c r="P63" s="97">
        <f t="shared" si="7"/>
        <v>0</v>
      </c>
      <c r="Q63" s="97">
        <f t="shared" si="8"/>
        <v>0</v>
      </c>
      <c r="R63" s="97">
        <f t="shared" si="9"/>
        <v>0</v>
      </c>
      <c r="S63" s="96"/>
      <c r="T63" s="97">
        <f t="shared" si="10"/>
        <v>0</v>
      </c>
      <c r="U63" s="97">
        <f t="shared" si="11"/>
        <v>0</v>
      </c>
      <c r="V63" s="97">
        <f t="shared" si="12"/>
        <v>0</v>
      </c>
      <c r="W63" s="96"/>
      <c r="X63" s="97">
        <f t="shared" si="13"/>
        <v>0</v>
      </c>
      <c r="Y63" s="97">
        <f t="shared" si="14"/>
        <v>0</v>
      </c>
      <c r="Z63" s="97">
        <f t="shared" si="15"/>
        <v>0</v>
      </c>
      <c r="AA63" s="96"/>
      <c r="AB63" s="97">
        <f t="shared" si="16"/>
        <v>0</v>
      </c>
      <c r="AC63" s="97">
        <f t="shared" si="17"/>
        <v>0</v>
      </c>
      <c r="AD63" s="97">
        <f t="shared" si="18"/>
        <v>0</v>
      </c>
      <c r="AE63" s="96"/>
      <c r="AF63" s="97">
        <f t="shared" si="19"/>
        <v>0</v>
      </c>
      <c r="AG63" s="97">
        <f t="shared" si="20"/>
        <v>0</v>
      </c>
      <c r="AH63" s="97">
        <f t="shared" si="21"/>
        <v>0</v>
      </c>
      <c r="AI63" s="96"/>
      <c r="AJ63" s="97">
        <f t="shared" si="22"/>
        <v>0</v>
      </c>
      <c r="AK63" s="97">
        <f t="shared" si="23"/>
        <v>0</v>
      </c>
      <c r="AL63" s="97">
        <f t="shared" si="24"/>
        <v>0</v>
      </c>
      <c r="AM63" s="96"/>
      <c r="AN63" s="97">
        <f t="shared" si="25"/>
        <v>0</v>
      </c>
      <c r="AO63" s="97">
        <f t="shared" si="26"/>
        <v>0</v>
      </c>
      <c r="AP63" s="97">
        <f t="shared" si="27"/>
        <v>0</v>
      </c>
      <c r="AQ63" s="96"/>
      <c r="AR63" s="97">
        <f t="shared" si="28"/>
        <v>0</v>
      </c>
      <c r="AS63" s="97">
        <f t="shared" si="29"/>
        <v>0</v>
      </c>
      <c r="AT63" s="97">
        <f t="shared" si="30"/>
        <v>0</v>
      </c>
      <c r="AU63" s="96"/>
      <c r="AV63" s="97">
        <f t="shared" si="31"/>
        <v>0</v>
      </c>
      <c r="AW63" s="97">
        <f t="shared" si="32"/>
        <v>0</v>
      </c>
      <c r="AX63" s="97">
        <f t="shared" si="33"/>
        <v>0</v>
      </c>
      <c r="AY63" s="96"/>
      <c r="AZ63" s="65">
        <f t="shared" si="34"/>
        <v>0</v>
      </c>
      <c r="BA63" s="65">
        <f t="shared" si="35"/>
        <v>0</v>
      </c>
      <c r="BB63" s="65">
        <f t="shared" si="36"/>
        <v>0</v>
      </c>
    </row>
    <row r="64" spans="1:54" x14ac:dyDescent="0.2">
      <c r="A64" s="71"/>
      <c r="B64" s="96" t="s">
        <v>52</v>
      </c>
      <c r="C64" s="96"/>
      <c r="D64" s="97">
        <f t="shared" si="0"/>
        <v>0</v>
      </c>
      <c r="E64" s="97">
        <f t="shared" si="37"/>
        <v>0</v>
      </c>
      <c r="F64" s="97">
        <f t="shared" si="38"/>
        <v>0</v>
      </c>
      <c r="G64" s="96"/>
      <c r="H64" s="97">
        <f t="shared" si="1"/>
        <v>0</v>
      </c>
      <c r="I64" s="97">
        <f t="shared" si="2"/>
        <v>0</v>
      </c>
      <c r="J64" s="97">
        <f t="shared" si="3"/>
        <v>0</v>
      </c>
      <c r="K64" s="96"/>
      <c r="L64" s="97">
        <f t="shared" si="4"/>
        <v>0</v>
      </c>
      <c r="M64" s="97">
        <f t="shared" si="5"/>
        <v>0</v>
      </c>
      <c r="N64" s="97">
        <f t="shared" si="6"/>
        <v>0</v>
      </c>
      <c r="O64" s="96"/>
      <c r="P64" s="97">
        <f t="shared" si="7"/>
        <v>0</v>
      </c>
      <c r="Q64" s="97">
        <f t="shared" si="8"/>
        <v>0</v>
      </c>
      <c r="R64" s="97">
        <f t="shared" si="9"/>
        <v>0</v>
      </c>
      <c r="S64" s="96"/>
      <c r="T64" s="97">
        <f t="shared" si="10"/>
        <v>0</v>
      </c>
      <c r="U64" s="97">
        <f t="shared" si="11"/>
        <v>0</v>
      </c>
      <c r="V64" s="97">
        <f t="shared" si="12"/>
        <v>0</v>
      </c>
      <c r="W64" s="96"/>
      <c r="X64" s="97">
        <f t="shared" si="13"/>
        <v>0</v>
      </c>
      <c r="Y64" s="97">
        <f t="shared" si="14"/>
        <v>0</v>
      </c>
      <c r="Z64" s="97">
        <f t="shared" si="15"/>
        <v>0</v>
      </c>
      <c r="AA64" s="96"/>
      <c r="AB64" s="97">
        <f t="shared" si="16"/>
        <v>0</v>
      </c>
      <c r="AC64" s="97">
        <f t="shared" si="17"/>
        <v>0</v>
      </c>
      <c r="AD64" s="97">
        <f t="shared" si="18"/>
        <v>0</v>
      </c>
      <c r="AE64" s="96"/>
      <c r="AF64" s="97">
        <f t="shared" si="19"/>
        <v>0</v>
      </c>
      <c r="AG64" s="97">
        <f t="shared" si="20"/>
        <v>0</v>
      </c>
      <c r="AH64" s="97">
        <f t="shared" si="21"/>
        <v>0</v>
      </c>
      <c r="AI64" s="96"/>
      <c r="AJ64" s="97">
        <f t="shared" si="22"/>
        <v>0</v>
      </c>
      <c r="AK64" s="97">
        <f t="shared" si="23"/>
        <v>0</v>
      </c>
      <c r="AL64" s="97">
        <f t="shared" si="24"/>
        <v>0</v>
      </c>
      <c r="AM64" s="96"/>
      <c r="AN64" s="97">
        <f t="shared" si="25"/>
        <v>0</v>
      </c>
      <c r="AO64" s="97">
        <f t="shared" si="26"/>
        <v>0</v>
      </c>
      <c r="AP64" s="97">
        <f t="shared" si="27"/>
        <v>0</v>
      </c>
      <c r="AQ64" s="96"/>
      <c r="AR64" s="97">
        <f t="shared" si="28"/>
        <v>0</v>
      </c>
      <c r="AS64" s="97">
        <f t="shared" si="29"/>
        <v>0</v>
      </c>
      <c r="AT64" s="97">
        <f t="shared" si="30"/>
        <v>0</v>
      </c>
      <c r="AU64" s="96"/>
      <c r="AV64" s="97">
        <f t="shared" si="31"/>
        <v>0</v>
      </c>
      <c r="AW64" s="97">
        <f t="shared" si="32"/>
        <v>0</v>
      </c>
      <c r="AX64" s="97">
        <f t="shared" si="33"/>
        <v>0</v>
      </c>
      <c r="AY64" s="96"/>
      <c r="AZ64" s="65">
        <f t="shared" si="34"/>
        <v>0</v>
      </c>
      <c r="BA64" s="65">
        <f t="shared" si="35"/>
        <v>0</v>
      </c>
      <c r="BB64" s="65">
        <f t="shared" si="36"/>
        <v>0</v>
      </c>
    </row>
    <row r="65" spans="1:54" x14ac:dyDescent="0.2">
      <c r="A65" s="71"/>
      <c r="B65" s="96" t="s">
        <v>52</v>
      </c>
      <c r="C65" s="96"/>
      <c r="D65" s="97">
        <f t="shared" si="0"/>
        <v>0</v>
      </c>
      <c r="E65" s="97">
        <f t="shared" si="37"/>
        <v>0</v>
      </c>
      <c r="F65" s="97">
        <f t="shared" si="38"/>
        <v>0</v>
      </c>
      <c r="G65" s="96"/>
      <c r="H65" s="97">
        <f t="shared" si="1"/>
        <v>0</v>
      </c>
      <c r="I65" s="97">
        <f t="shared" si="2"/>
        <v>0</v>
      </c>
      <c r="J65" s="97">
        <f t="shared" si="3"/>
        <v>0</v>
      </c>
      <c r="K65" s="96"/>
      <c r="L65" s="97">
        <f t="shared" si="4"/>
        <v>0</v>
      </c>
      <c r="M65" s="97">
        <f t="shared" si="5"/>
        <v>0</v>
      </c>
      <c r="N65" s="97">
        <f t="shared" si="6"/>
        <v>0</v>
      </c>
      <c r="O65" s="96"/>
      <c r="P65" s="97">
        <f t="shared" si="7"/>
        <v>0</v>
      </c>
      <c r="Q65" s="97">
        <f t="shared" si="8"/>
        <v>0</v>
      </c>
      <c r="R65" s="97">
        <f t="shared" si="9"/>
        <v>0</v>
      </c>
      <c r="S65" s="96"/>
      <c r="T65" s="97">
        <f t="shared" si="10"/>
        <v>0</v>
      </c>
      <c r="U65" s="97">
        <f t="shared" si="11"/>
        <v>0</v>
      </c>
      <c r="V65" s="97">
        <f t="shared" si="12"/>
        <v>0</v>
      </c>
      <c r="W65" s="96"/>
      <c r="X65" s="97">
        <f t="shared" si="13"/>
        <v>0</v>
      </c>
      <c r="Y65" s="97">
        <f t="shared" si="14"/>
        <v>0</v>
      </c>
      <c r="Z65" s="97">
        <f t="shared" si="15"/>
        <v>0</v>
      </c>
      <c r="AA65" s="96"/>
      <c r="AB65" s="97">
        <f t="shared" si="16"/>
        <v>0</v>
      </c>
      <c r="AC65" s="97">
        <f t="shared" si="17"/>
        <v>0</v>
      </c>
      <c r="AD65" s="97">
        <f t="shared" si="18"/>
        <v>0</v>
      </c>
      <c r="AE65" s="96"/>
      <c r="AF65" s="97">
        <f t="shared" si="19"/>
        <v>0</v>
      </c>
      <c r="AG65" s="97">
        <f t="shared" si="20"/>
        <v>0</v>
      </c>
      <c r="AH65" s="97">
        <f t="shared" si="21"/>
        <v>0</v>
      </c>
      <c r="AI65" s="96"/>
      <c r="AJ65" s="97">
        <f t="shared" si="22"/>
        <v>0</v>
      </c>
      <c r="AK65" s="97">
        <f t="shared" si="23"/>
        <v>0</v>
      </c>
      <c r="AL65" s="97">
        <f t="shared" si="24"/>
        <v>0</v>
      </c>
      <c r="AM65" s="96"/>
      <c r="AN65" s="97">
        <f t="shared" si="25"/>
        <v>0</v>
      </c>
      <c r="AO65" s="97">
        <f t="shared" si="26"/>
        <v>0</v>
      </c>
      <c r="AP65" s="97">
        <f t="shared" si="27"/>
        <v>0</v>
      </c>
      <c r="AQ65" s="96"/>
      <c r="AR65" s="97">
        <f t="shared" si="28"/>
        <v>0</v>
      </c>
      <c r="AS65" s="97">
        <f t="shared" si="29"/>
        <v>0</v>
      </c>
      <c r="AT65" s="97">
        <f t="shared" si="30"/>
        <v>0</v>
      </c>
      <c r="AU65" s="96"/>
      <c r="AV65" s="97">
        <f t="shared" si="31"/>
        <v>0</v>
      </c>
      <c r="AW65" s="97">
        <f t="shared" si="32"/>
        <v>0</v>
      </c>
      <c r="AX65" s="97">
        <f t="shared" si="33"/>
        <v>0</v>
      </c>
      <c r="AY65" s="96"/>
      <c r="AZ65" s="65">
        <f t="shared" si="34"/>
        <v>0</v>
      </c>
      <c r="BA65" s="65">
        <f t="shared" si="35"/>
        <v>0</v>
      </c>
      <c r="BB65" s="65">
        <f t="shared" si="36"/>
        <v>0</v>
      </c>
    </row>
    <row r="66" spans="1:54" x14ac:dyDescent="0.2">
      <c r="A66" s="71"/>
      <c r="B66" s="96" t="s">
        <v>52</v>
      </c>
      <c r="C66" s="96"/>
      <c r="D66" s="97">
        <f t="shared" si="0"/>
        <v>0</v>
      </c>
      <c r="E66" s="97">
        <f t="shared" si="37"/>
        <v>0</v>
      </c>
      <c r="F66" s="97">
        <f t="shared" si="38"/>
        <v>0</v>
      </c>
      <c r="G66" s="96"/>
      <c r="H66" s="97">
        <f t="shared" si="1"/>
        <v>0</v>
      </c>
      <c r="I66" s="97">
        <f t="shared" si="2"/>
        <v>0</v>
      </c>
      <c r="J66" s="97">
        <f t="shared" si="3"/>
        <v>0</v>
      </c>
      <c r="K66" s="96"/>
      <c r="L66" s="97">
        <f t="shared" si="4"/>
        <v>0</v>
      </c>
      <c r="M66" s="97">
        <f t="shared" si="5"/>
        <v>0</v>
      </c>
      <c r="N66" s="97">
        <f t="shared" si="6"/>
        <v>0</v>
      </c>
      <c r="O66" s="96"/>
      <c r="P66" s="97">
        <f t="shared" si="7"/>
        <v>0</v>
      </c>
      <c r="Q66" s="97">
        <f t="shared" si="8"/>
        <v>0</v>
      </c>
      <c r="R66" s="97">
        <f t="shared" si="9"/>
        <v>0</v>
      </c>
      <c r="S66" s="96"/>
      <c r="T66" s="97">
        <f t="shared" si="10"/>
        <v>0</v>
      </c>
      <c r="U66" s="97">
        <f t="shared" si="11"/>
        <v>0</v>
      </c>
      <c r="V66" s="97">
        <f t="shared" si="12"/>
        <v>0</v>
      </c>
      <c r="W66" s="96"/>
      <c r="X66" s="97">
        <f t="shared" si="13"/>
        <v>0</v>
      </c>
      <c r="Y66" s="97">
        <f t="shared" si="14"/>
        <v>0</v>
      </c>
      <c r="Z66" s="97">
        <f t="shared" si="15"/>
        <v>0</v>
      </c>
      <c r="AA66" s="96"/>
      <c r="AB66" s="97">
        <f t="shared" si="16"/>
        <v>0</v>
      </c>
      <c r="AC66" s="97">
        <f t="shared" si="17"/>
        <v>0</v>
      </c>
      <c r="AD66" s="97">
        <f t="shared" si="18"/>
        <v>0</v>
      </c>
      <c r="AE66" s="96"/>
      <c r="AF66" s="97">
        <f t="shared" si="19"/>
        <v>0</v>
      </c>
      <c r="AG66" s="97">
        <f t="shared" si="20"/>
        <v>0</v>
      </c>
      <c r="AH66" s="97">
        <f t="shared" si="21"/>
        <v>0</v>
      </c>
      <c r="AI66" s="96"/>
      <c r="AJ66" s="97">
        <f t="shared" si="22"/>
        <v>0</v>
      </c>
      <c r="AK66" s="97">
        <f t="shared" si="23"/>
        <v>0</v>
      </c>
      <c r="AL66" s="97">
        <f t="shared" si="24"/>
        <v>0</v>
      </c>
      <c r="AM66" s="96"/>
      <c r="AN66" s="97">
        <f t="shared" si="25"/>
        <v>0</v>
      </c>
      <c r="AO66" s="97">
        <f t="shared" si="26"/>
        <v>0</v>
      </c>
      <c r="AP66" s="97">
        <f t="shared" si="27"/>
        <v>0</v>
      </c>
      <c r="AQ66" s="96"/>
      <c r="AR66" s="97">
        <f t="shared" si="28"/>
        <v>0</v>
      </c>
      <c r="AS66" s="97">
        <f t="shared" si="29"/>
        <v>0</v>
      </c>
      <c r="AT66" s="97">
        <f t="shared" si="30"/>
        <v>0</v>
      </c>
      <c r="AU66" s="96"/>
      <c r="AV66" s="97">
        <f t="shared" si="31"/>
        <v>0</v>
      </c>
      <c r="AW66" s="97">
        <f t="shared" si="32"/>
        <v>0</v>
      </c>
      <c r="AX66" s="97">
        <f t="shared" si="33"/>
        <v>0</v>
      </c>
      <c r="AY66" s="96"/>
      <c r="AZ66" s="65">
        <f t="shared" si="34"/>
        <v>0</v>
      </c>
      <c r="BA66" s="65">
        <f t="shared" si="35"/>
        <v>0</v>
      </c>
      <c r="BB66" s="65">
        <f t="shared" si="36"/>
        <v>0</v>
      </c>
    </row>
    <row r="67" spans="1:54" x14ac:dyDescent="0.2">
      <c r="A67" s="71"/>
      <c r="B67" s="96" t="s">
        <v>52</v>
      </c>
      <c r="C67" s="96"/>
      <c r="D67" s="97">
        <f t="shared" si="0"/>
        <v>0</v>
      </c>
      <c r="E67" s="97">
        <f t="shared" si="37"/>
        <v>0</v>
      </c>
      <c r="F67" s="97">
        <f t="shared" si="38"/>
        <v>0</v>
      </c>
      <c r="G67" s="96"/>
      <c r="H67" s="97">
        <f t="shared" si="1"/>
        <v>0</v>
      </c>
      <c r="I67" s="97">
        <f t="shared" si="2"/>
        <v>0</v>
      </c>
      <c r="J67" s="97">
        <f t="shared" si="3"/>
        <v>0</v>
      </c>
      <c r="K67" s="96"/>
      <c r="L67" s="97">
        <f t="shared" si="4"/>
        <v>0</v>
      </c>
      <c r="M67" s="97">
        <f t="shared" si="5"/>
        <v>0</v>
      </c>
      <c r="N67" s="97">
        <f t="shared" si="6"/>
        <v>0</v>
      </c>
      <c r="O67" s="96"/>
      <c r="P67" s="97">
        <f t="shared" si="7"/>
        <v>0</v>
      </c>
      <c r="Q67" s="97">
        <f t="shared" si="8"/>
        <v>0</v>
      </c>
      <c r="R67" s="97">
        <f t="shared" si="9"/>
        <v>0</v>
      </c>
      <c r="S67" s="96"/>
      <c r="T67" s="97">
        <f t="shared" si="10"/>
        <v>0</v>
      </c>
      <c r="U67" s="97">
        <f t="shared" si="11"/>
        <v>0</v>
      </c>
      <c r="V67" s="97">
        <f t="shared" si="12"/>
        <v>0</v>
      </c>
      <c r="W67" s="96"/>
      <c r="X67" s="97">
        <f t="shared" si="13"/>
        <v>0</v>
      </c>
      <c r="Y67" s="97">
        <f t="shared" si="14"/>
        <v>0</v>
      </c>
      <c r="Z67" s="97">
        <f t="shared" si="15"/>
        <v>0</v>
      </c>
      <c r="AA67" s="96"/>
      <c r="AB67" s="97">
        <f t="shared" si="16"/>
        <v>0</v>
      </c>
      <c r="AC67" s="97">
        <f t="shared" si="17"/>
        <v>0</v>
      </c>
      <c r="AD67" s="97">
        <f t="shared" si="18"/>
        <v>0</v>
      </c>
      <c r="AE67" s="96"/>
      <c r="AF67" s="97">
        <f t="shared" si="19"/>
        <v>0</v>
      </c>
      <c r="AG67" s="97">
        <f t="shared" si="20"/>
        <v>0</v>
      </c>
      <c r="AH67" s="97">
        <f t="shared" si="21"/>
        <v>0</v>
      </c>
      <c r="AI67" s="96"/>
      <c r="AJ67" s="97">
        <f t="shared" si="22"/>
        <v>0</v>
      </c>
      <c r="AK67" s="97">
        <f t="shared" si="23"/>
        <v>0</v>
      </c>
      <c r="AL67" s="97">
        <f t="shared" si="24"/>
        <v>0</v>
      </c>
      <c r="AM67" s="96"/>
      <c r="AN67" s="97">
        <f t="shared" si="25"/>
        <v>0</v>
      </c>
      <c r="AO67" s="97">
        <f t="shared" si="26"/>
        <v>0</v>
      </c>
      <c r="AP67" s="97">
        <f t="shared" si="27"/>
        <v>0</v>
      </c>
      <c r="AQ67" s="96"/>
      <c r="AR67" s="97">
        <f t="shared" si="28"/>
        <v>0</v>
      </c>
      <c r="AS67" s="97">
        <f t="shared" si="29"/>
        <v>0</v>
      </c>
      <c r="AT67" s="97">
        <f t="shared" si="30"/>
        <v>0</v>
      </c>
      <c r="AU67" s="96"/>
      <c r="AV67" s="97">
        <f t="shared" si="31"/>
        <v>0</v>
      </c>
      <c r="AW67" s="97">
        <f t="shared" si="32"/>
        <v>0</v>
      </c>
      <c r="AX67" s="97">
        <f t="shared" si="33"/>
        <v>0</v>
      </c>
      <c r="AY67" s="96"/>
      <c r="AZ67" s="65">
        <f t="shared" si="34"/>
        <v>0</v>
      </c>
      <c r="BA67" s="65">
        <f t="shared" si="35"/>
        <v>0</v>
      </c>
      <c r="BB67" s="65">
        <f t="shared" si="36"/>
        <v>0</v>
      </c>
    </row>
    <row r="68" spans="1:54" x14ac:dyDescent="0.2">
      <c r="A68" s="71"/>
      <c r="B68" s="96" t="s">
        <v>52</v>
      </c>
      <c r="C68" s="96"/>
      <c r="D68" s="97">
        <f t="shared" si="0"/>
        <v>0</v>
      </c>
      <c r="E68" s="97">
        <f t="shared" si="37"/>
        <v>0</v>
      </c>
      <c r="F68" s="97">
        <f t="shared" si="38"/>
        <v>0</v>
      </c>
      <c r="G68" s="96"/>
      <c r="H68" s="97">
        <f t="shared" si="1"/>
        <v>0</v>
      </c>
      <c r="I68" s="97">
        <f t="shared" si="2"/>
        <v>0</v>
      </c>
      <c r="J68" s="97">
        <f t="shared" si="3"/>
        <v>0</v>
      </c>
      <c r="K68" s="96"/>
      <c r="L68" s="97">
        <f t="shared" si="4"/>
        <v>0</v>
      </c>
      <c r="M68" s="97">
        <f t="shared" si="5"/>
        <v>0</v>
      </c>
      <c r="N68" s="97">
        <f t="shared" si="6"/>
        <v>0</v>
      </c>
      <c r="O68" s="96"/>
      <c r="P68" s="97">
        <f t="shared" si="7"/>
        <v>0</v>
      </c>
      <c r="Q68" s="97">
        <f t="shared" si="8"/>
        <v>0</v>
      </c>
      <c r="R68" s="97">
        <f t="shared" si="9"/>
        <v>0</v>
      </c>
      <c r="S68" s="96"/>
      <c r="T68" s="97">
        <f t="shared" si="10"/>
        <v>0</v>
      </c>
      <c r="U68" s="97">
        <f t="shared" si="11"/>
        <v>0</v>
      </c>
      <c r="V68" s="97">
        <f t="shared" si="12"/>
        <v>0</v>
      </c>
      <c r="W68" s="96"/>
      <c r="X68" s="97">
        <f t="shared" si="13"/>
        <v>0</v>
      </c>
      <c r="Y68" s="97">
        <f t="shared" si="14"/>
        <v>0</v>
      </c>
      <c r="Z68" s="97">
        <f t="shared" si="15"/>
        <v>0</v>
      </c>
      <c r="AA68" s="96"/>
      <c r="AB68" s="97">
        <f t="shared" si="16"/>
        <v>0</v>
      </c>
      <c r="AC68" s="97">
        <f t="shared" si="17"/>
        <v>0</v>
      </c>
      <c r="AD68" s="97">
        <f t="shared" si="18"/>
        <v>0</v>
      </c>
      <c r="AE68" s="96"/>
      <c r="AF68" s="97">
        <f t="shared" si="19"/>
        <v>0</v>
      </c>
      <c r="AG68" s="97">
        <f t="shared" si="20"/>
        <v>0</v>
      </c>
      <c r="AH68" s="97">
        <f t="shared" si="21"/>
        <v>0</v>
      </c>
      <c r="AI68" s="96"/>
      <c r="AJ68" s="97">
        <f t="shared" si="22"/>
        <v>0</v>
      </c>
      <c r="AK68" s="97">
        <f t="shared" si="23"/>
        <v>0</v>
      </c>
      <c r="AL68" s="97">
        <f t="shared" si="24"/>
        <v>0</v>
      </c>
      <c r="AM68" s="96"/>
      <c r="AN68" s="97">
        <f t="shared" si="25"/>
        <v>0</v>
      </c>
      <c r="AO68" s="97">
        <f t="shared" si="26"/>
        <v>0</v>
      </c>
      <c r="AP68" s="97">
        <f t="shared" si="27"/>
        <v>0</v>
      </c>
      <c r="AQ68" s="96"/>
      <c r="AR68" s="97">
        <f t="shared" si="28"/>
        <v>0</v>
      </c>
      <c r="AS68" s="97">
        <f t="shared" si="29"/>
        <v>0</v>
      </c>
      <c r="AT68" s="97">
        <f t="shared" si="30"/>
        <v>0</v>
      </c>
      <c r="AU68" s="96"/>
      <c r="AV68" s="97">
        <f t="shared" si="31"/>
        <v>0</v>
      </c>
      <c r="AW68" s="97">
        <f t="shared" si="32"/>
        <v>0</v>
      </c>
      <c r="AX68" s="97">
        <f t="shared" si="33"/>
        <v>0</v>
      </c>
      <c r="AY68" s="96"/>
      <c r="AZ68" s="65">
        <f t="shared" si="34"/>
        <v>0</v>
      </c>
      <c r="BA68" s="65">
        <f t="shared" si="35"/>
        <v>0</v>
      </c>
      <c r="BB68" s="65">
        <f t="shared" si="36"/>
        <v>0</v>
      </c>
    </row>
    <row r="69" spans="1:54" x14ac:dyDescent="0.2">
      <c r="A69" s="71"/>
      <c r="B69" s="96" t="s">
        <v>52</v>
      </c>
      <c r="C69" s="96"/>
      <c r="D69" s="97">
        <f t="shared" si="0"/>
        <v>0</v>
      </c>
      <c r="E69" s="97">
        <f t="shared" si="37"/>
        <v>0</v>
      </c>
      <c r="F69" s="97">
        <f t="shared" si="38"/>
        <v>0</v>
      </c>
      <c r="G69" s="96"/>
      <c r="H69" s="97">
        <f t="shared" si="1"/>
        <v>0</v>
      </c>
      <c r="I69" s="97">
        <f t="shared" si="2"/>
        <v>0</v>
      </c>
      <c r="J69" s="97">
        <f t="shared" si="3"/>
        <v>0</v>
      </c>
      <c r="K69" s="96"/>
      <c r="L69" s="97">
        <f t="shared" si="4"/>
        <v>0</v>
      </c>
      <c r="M69" s="97">
        <f t="shared" si="5"/>
        <v>0</v>
      </c>
      <c r="N69" s="97">
        <f t="shared" si="6"/>
        <v>0</v>
      </c>
      <c r="O69" s="96"/>
      <c r="P69" s="97">
        <f t="shared" si="7"/>
        <v>0</v>
      </c>
      <c r="Q69" s="97">
        <f t="shared" si="8"/>
        <v>0</v>
      </c>
      <c r="R69" s="97">
        <f t="shared" si="9"/>
        <v>0</v>
      </c>
      <c r="S69" s="96"/>
      <c r="T69" s="97">
        <f t="shared" si="10"/>
        <v>0</v>
      </c>
      <c r="U69" s="97">
        <f t="shared" si="11"/>
        <v>0</v>
      </c>
      <c r="V69" s="97">
        <f t="shared" si="12"/>
        <v>0</v>
      </c>
      <c r="W69" s="96"/>
      <c r="X69" s="97">
        <f t="shared" si="13"/>
        <v>0</v>
      </c>
      <c r="Y69" s="97">
        <f t="shared" si="14"/>
        <v>0</v>
      </c>
      <c r="Z69" s="97">
        <f t="shared" si="15"/>
        <v>0</v>
      </c>
      <c r="AA69" s="96"/>
      <c r="AB69" s="97">
        <f t="shared" si="16"/>
        <v>0</v>
      </c>
      <c r="AC69" s="97">
        <f t="shared" si="17"/>
        <v>0</v>
      </c>
      <c r="AD69" s="97">
        <f t="shared" si="18"/>
        <v>0</v>
      </c>
      <c r="AE69" s="96"/>
      <c r="AF69" s="97">
        <f t="shared" si="19"/>
        <v>0</v>
      </c>
      <c r="AG69" s="97">
        <f t="shared" si="20"/>
        <v>0</v>
      </c>
      <c r="AH69" s="97">
        <f t="shared" si="21"/>
        <v>0</v>
      </c>
      <c r="AI69" s="96"/>
      <c r="AJ69" s="97">
        <f t="shared" si="22"/>
        <v>0</v>
      </c>
      <c r="AK69" s="97">
        <f t="shared" si="23"/>
        <v>0</v>
      </c>
      <c r="AL69" s="97">
        <f t="shared" si="24"/>
        <v>0</v>
      </c>
      <c r="AM69" s="96"/>
      <c r="AN69" s="97">
        <f t="shared" si="25"/>
        <v>0</v>
      </c>
      <c r="AO69" s="97">
        <f t="shared" si="26"/>
        <v>0</v>
      </c>
      <c r="AP69" s="97">
        <f t="shared" si="27"/>
        <v>0</v>
      </c>
      <c r="AQ69" s="96"/>
      <c r="AR69" s="97">
        <f t="shared" si="28"/>
        <v>0</v>
      </c>
      <c r="AS69" s="97">
        <f t="shared" si="29"/>
        <v>0</v>
      </c>
      <c r="AT69" s="97">
        <f t="shared" si="30"/>
        <v>0</v>
      </c>
      <c r="AU69" s="96"/>
      <c r="AV69" s="97">
        <f t="shared" si="31"/>
        <v>0</v>
      </c>
      <c r="AW69" s="97">
        <f t="shared" si="32"/>
        <v>0</v>
      </c>
      <c r="AX69" s="97">
        <f t="shared" si="33"/>
        <v>0</v>
      </c>
      <c r="AY69" s="96"/>
      <c r="AZ69" s="65">
        <f t="shared" si="34"/>
        <v>0</v>
      </c>
      <c r="BA69" s="65">
        <f t="shared" si="35"/>
        <v>0</v>
      </c>
      <c r="BB69" s="65">
        <f t="shared" si="36"/>
        <v>0</v>
      </c>
    </row>
    <row r="70" spans="1:54" x14ac:dyDescent="0.2">
      <c r="A70" s="71"/>
      <c r="B70" s="96" t="s">
        <v>52</v>
      </c>
      <c r="C70" s="96"/>
      <c r="D70" s="97">
        <f t="shared" si="0"/>
        <v>0</v>
      </c>
      <c r="E70" s="97">
        <f t="shared" si="37"/>
        <v>0</v>
      </c>
      <c r="F70" s="97">
        <f t="shared" si="38"/>
        <v>0</v>
      </c>
      <c r="G70" s="96"/>
      <c r="H70" s="97">
        <f t="shared" si="1"/>
        <v>0</v>
      </c>
      <c r="I70" s="97">
        <f t="shared" si="2"/>
        <v>0</v>
      </c>
      <c r="J70" s="97">
        <f t="shared" si="3"/>
        <v>0</v>
      </c>
      <c r="K70" s="96"/>
      <c r="L70" s="97">
        <f t="shared" si="4"/>
        <v>0</v>
      </c>
      <c r="M70" s="97">
        <f t="shared" si="5"/>
        <v>0</v>
      </c>
      <c r="N70" s="97">
        <f t="shared" si="6"/>
        <v>0</v>
      </c>
      <c r="O70" s="96"/>
      <c r="P70" s="97">
        <f t="shared" si="7"/>
        <v>0</v>
      </c>
      <c r="Q70" s="97">
        <f t="shared" si="8"/>
        <v>0</v>
      </c>
      <c r="R70" s="97">
        <f t="shared" si="9"/>
        <v>0</v>
      </c>
      <c r="S70" s="96"/>
      <c r="T70" s="97">
        <f t="shared" si="10"/>
        <v>0</v>
      </c>
      <c r="U70" s="97">
        <f t="shared" si="11"/>
        <v>0</v>
      </c>
      <c r="V70" s="97">
        <f t="shared" si="12"/>
        <v>0</v>
      </c>
      <c r="W70" s="96"/>
      <c r="X70" s="97">
        <f t="shared" si="13"/>
        <v>0</v>
      </c>
      <c r="Y70" s="97">
        <f t="shared" si="14"/>
        <v>0</v>
      </c>
      <c r="Z70" s="97">
        <f t="shared" si="15"/>
        <v>0</v>
      </c>
      <c r="AA70" s="96"/>
      <c r="AB70" s="97">
        <f t="shared" si="16"/>
        <v>0</v>
      </c>
      <c r="AC70" s="97">
        <f t="shared" si="17"/>
        <v>0</v>
      </c>
      <c r="AD70" s="97">
        <f t="shared" si="18"/>
        <v>0</v>
      </c>
      <c r="AE70" s="96"/>
      <c r="AF70" s="97">
        <f t="shared" si="19"/>
        <v>0</v>
      </c>
      <c r="AG70" s="97">
        <f t="shared" si="20"/>
        <v>0</v>
      </c>
      <c r="AH70" s="97">
        <f t="shared" si="21"/>
        <v>0</v>
      </c>
      <c r="AI70" s="96"/>
      <c r="AJ70" s="97">
        <f t="shared" si="22"/>
        <v>0</v>
      </c>
      <c r="AK70" s="97">
        <f t="shared" si="23"/>
        <v>0</v>
      </c>
      <c r="AL70" s="97">
        <f t="shared" si="24"/>
        <v>0</v>
      </c>
      <c r="AM70" s="96"/>
      <c r="AN70" s="97">
        <f t="shared" si="25"/>
        <v>0</v>
      </c>
      <c r="AO70" s="97">
        <f t="shared" si="26"/>
        <v>0</v>
      </c>
      <c r="AP70" s="97">
        <f t="shared" si="27"/>
        <v>0</v>
      </c>
      <c r="AQ70" s="96"/>
      <c r="AR70" s="97">
        <f t="shared" si="28"/>
        <v>0</v>
      </c>
      <c r="AS70" s="97">
        <f t="shared" si="29"/>
        <v>0</v>
      </c>
      <c r="AT70" s="97">
        <f t="shared" si="30"/>
        <v>0</v>
      </c>
      <c r="AU70" s="96"/>
      <c r="AV70" s="97">
        <f t="shared" si="31"/>
        <v>0</v>
      </c>
      <c r="AW70" s="97">
        <f t="shared" si="32"/>
        <v>0</v>
      </c>
      <c r="AX70" s="97">
        <f t="shared" si="33"/>
        <v>0</v>
      </c>
      <c r="AY70" s="96"/>
      <c r="AZ70" s="65">
        <f t="shared" si="34"/>
        <v>0</v>
      </c>
      <c r="BA70" s="65">
        <f t="shared" si="35"/>
        <v>0</v>
      </c>
      <c r="BB70" s="65">
        <f t="shared" si="36"/>
        <v>0</v>
      </c>
    </row>
    <row r="71" spans="1:54" x14ac:dyDescent="0.2">
      <c r="A71" s="71"/>
      <c r="B71" s="96" t="s">
        <v>52</v>
      </c>
      <c r="C71" s="96"/>
      <c r="D71" s="97">
        <f t="shared" si="0"/>
        <v>0</v>
      </c>
      <c r="E71" s="97">
        <f t="shared" si="37"/>
        <v>0</v>
      </c>
      <c r="F71" s="97">
        <f t="shared" si="38"/>
        <v>0</v>
      </c>
      <c r="G71" s="96"/>
      <c r="H71" s="97">
        <f t="shared" si="1"/>
        <v>0</v>
      </c>
      <c r="I71" s="97">
        <f t="shared" si="2"/>
        <v>0</v>
      </c>
      <c r="J71" s="97">
        <f t="shared" si="3"/>
        <v>0</v>
      </c>
      <c r="K71" s="96"/>
      <c r="L71" s="97">
        <f t="shared" si="4"/>
        <v>0</v>
      </c>
      <c r="M71" s="97">
        <f t="shared" si="5"/>
        <v>0</v>
      </c>
      <c r="N71" s="97">
        <f t="shared" si="6"/>
        <v>0</v>
      </c>
      <c r="O71" s="96"/>
      <c r="P71" s="97">
        <f t="shared" si="7"/>
        <v>0</v>
      </c>
      <c r="Q71" s="97">
        <f t="shared" si="8"/>
        <v>0</v>
      </c>
      <c r="R71" s="97">
        <f t="shared" si="9"/>
        <v>0</v>
      </c>
      <c r="S71" s="96"/>
      <c r="T71" s="97">
        <f t="shared" si="10"/>
        <v>0</v>
      </c>
      <c r="U71" s="97">
        <f t="shared" si="11"/>
        <v>0</v>
      </c>
      <c r="V71" s="97">
        <f t="shared" si="12"/>
        <v>0</v>
      </c>
      <c r="W71" s="96"/>
      <c r="X71" s="97">
        <f t="shared" si="13"/>
        <v>0</v>
      </c>
      <c r="Y71" s="97">
        <f t="shared" si="14"/>
        <v>0</v>
      </c>
      <c r="Z71" s="97">
        <f t="shared" si="15"/>
        <v>0</v>
      </c>
      <c r="AA71" s="96"/>
      <c r="AB71" s="97">
        <f t="shared" si="16"/>
        <v>0</v>
      </c>
      <c r="AC71" s="97">
        <f t="shared" si="17"/>
        <v>0</v>
      </c>
      <c r="AD71" s="97">
        <f t="shared" si="18"/>
        <v>0</v>
      </c>
      <c r="AE71" s="96"/>
      <c r="AF71" s="97">
        <f t="shared" si="19"/>
        <v>0</v>
      </c>
      <c r="AG71" s="97">
        <f t="shared" si="20"/>
        <v>0</v>
      </c>
      <c r="AH71" s="97">
        <f t="shared" si="21"/>
        <v>0</v>
      </c>
      <c r="AI71" s="96"/>
      <c r="AJ71" s="97">
        <f t="shared" si="22"/>
        <v>0</v>
      </c>
      <c r="AK71" s="97">
        <f t="shared" si="23"/>
        <v>0</v>
      </c>
      <c r="AL71" s="97">
        <f t="shared" si="24"/>
        <v>0</v>
      </c>
      <c r="AM71" s="96"/>
      <c r="AN71" s="97">
        <f t="shared" si="25"/>
        <v>0</v>
      </c>
      <c r="AO71" s="97">
        <f t="shared" si="26"/>
        <v>0</v>
      </c>
      <c r="AP71" s="97">
        <f t="shared" si="27"/>
        <v>0</v>
      </c>
      <c r="AQ71" s="96"/>
      <c r="AR71" s="97">
        <f t="shared" si="28"/>
        <v>0</v>
      </c>
      <c r="AS71" s="97">
        <f t="shared" si="29"/>
        <v>0</v>
      </c>
      <c r="AT71" s="97">
        <f t="shared" si="30"/>
        <v>0</v>
      </c>
      <c r="AU71" s="96"/>
      <c r="AV71" s="97">
        <f t="shared" si="31"/>
        <v>0</v>
      </c>
      <c r="AW71" s="97">
        <f t="shared" si="32"/>
        <v>0</v>
      </c>
      <c r="AX71" s="97">
        <f t="shared" si="33"/>
        <v>0</v>
      </c>
      <c r="AY71" s="96"/>
      <c r="AZ71" s="65">
        <f t="shared" si="34"/>
        <v>0</v>
      </c>
      <c r="BA71" s="65">
        <f t="shared" si="35"/>
        <v>0</v>
      </c>
      <c r="BB71" s="65">
        <f t="shared" si="36"/>
        <v>0</v>
      </c>
    </row>
    <row r="72" spans="1:54" x14ac:dyDescent="0.2">
      <c r="A72" s="71"/>
      <c r="B72" s="96" t="s">
        <v>52</v>
      </c>
      <c r="C72" s="96"/>
      <c r="D72" s="97">
        <f t="shared" si="0"/>
        <v>0</v>
      </c>
      <c r="E72" s="97">
        <f t="shared" si="37"/>
        <v>0</v>
      </c>
      <c r="F72" s="97">
        <f t="shared" si="38"/>
        <v>0</v>
      </c>
      <c r="G72" s="96"/>
      <c r="H72" s="97">
        <f t="shared" si="1"/>
        <v>0</v>
      </c>
      <c r="I72" s="97">
        <f t="shared" si="2"/>
        <v>0</v>
      </c>
      <c r="J72" s="97">
        <f t="shared" si="3"/>
        <v>0</v>
      </c>
      <c r="K72" s="96"/>
      <c r="L72" s="97">
        <f t="shared" si="4"/>
        <v>0</v>
      </c>
      <c r="M72" s="97">
        <f t="shared" si="5"/>
        <v>0</v>
      </c>
      <c r="N72" s="97">
        <f t="shared" si="6"/>
        <v>0</v>
      </c>
      <c r="O72" s="96"/>
      <c r="P72" s="97">
        <f t="shared" si="7"/>
        <v>0</v>
      </c>
      <c r="Q72" s="97">
        <f t="shared" si="8"/>
        <v>0</v>
      </c>
      <c r="R72" s="97">
        <f t="shared" si="9"/>
        <v>0</v>
      </c>
      <c r="S72" s="96"/>
      <c r="T72" s="97">
        <f t="shared" si="10"/>
        <v>0</v>
      </c>
      <c r="U72" s="97">
        <f t="shared" si="11"/>
        <v>0</v>
      </c>
      <c r="V72" s="97">
        <f t="shared" si="12"/>
        <v>0</v>
      </c>
      <c r="W72" s="96"/>
      <c r="X72" s="97">
        <f t="shared" si="13"/>
        <v>0</v>
      </c>
      <c r="Y72" s="97">
        <f t="shared" si="14"/>
        <v>0</v>
      </c>
      <c r="Z72" s="97">
        <f t="shared" si="15"/>
        <v>0</v>
      </c>
      <c r="AA72" s="96"/>
      <c r="AB72" s="97">
        <f t="shared" si="16"/>
        <v>0</v>
      </c>
      <c r="AC72" s="97">
        <f t="shared" si="17"/>
        <v>0</v>
      </c>
      <c r="AD72" s="97">
        <f t="shared" si="18"/>
        <v>0</v>
      </c>
      <c r="AE72" s="96"/>
      <c r="AF72" s="97">
        <f t="shared" si="19"/>
        <v>0</v>
      </c>
      <c r="AG72" s="97">
        <f t="shared" si="20"/>
        <v>0</v>
      </c>
      <c r="AH72" s="97">
        <f t="shared" si="21"/>
        <v>0</v>
      </c>
      <c r="AI72" s="96"/>
      <c r="AJ72" s="97">
        <f t="shared" si="22"/>
        <v>0</v>
      </c>
      <c r="AK72" s="97">
        <f t="shared" si="23"/>
        <v>0</v>
      </c>
      <c r="AL72" s="97">
        <f t="shared" si="24"/>
        <v>0</v>
      </c>
      <c r="AM72" s="96"/>
      <c r="AN72" s="97">
        <f t="shared" si="25"/>
        <v>0</v>
      </c>
      <c r="AO72" s="97">
        <f t="shared" si="26"/>
        <v>0</v>
      </c>
      <c r="AP72" s="97">
        <f t="shared" si="27"/>
        <v>0</v>
      </c>
      <c r="AQ72" s="96"/>
      <c r="AR72" s="97">
        <f t="shared" si="28"/>
        <v>0</v>
      </c>
      <c r="AS72" s="97">
        <f t="shared" si="29"/>
        <v>0</v>
      </c>
      <c r="AT72" s="97">
        <f t="shared" si="30"/>
        <v>0</v>
      </c>
      <c r="AU72" s="96"/>
      <c r="AV72" s="97">
        <f t="shared" si="31"/>
        <v>0</v>
      </c>
      <c r="AW72" s="97">
        <f t="shared" si="32"/>
        <v>0</v>
      </c>
      <c r="AX72" s="97">
        <f t="shared" si="33"/>
        <v>0</v>
      </c>
      <c r="AY72" s="96"/>
      <c r="AZ72" s="65">
        <f t="shared" si="34"/>
        <v>0</v>
      </c>
      <c r="BA72" s="65">
        <f t="shared" si="35"/>
        <v>0</v>
      </c>
      <c r="BB72" s="65">
        <f t="shared" si="36"/>
        <v>0</v>
      </c>
    </row>
    <row r="73" spans="1:54" x14ac:dyDescent="0.2">
      <c r="A73" s="71"/>
      <c r="B73" s="96" t="s">
        <v>52</v>
      </c>
      <c r="C73" s="96"/>
      <c r="D73" s="97">
        <f t="shared" si="0"/>
        <v>0</v>
      </c>
      <c r="E73" s="97">
        <f t="shared" si="37"/>
        <v>0</v>
      </c>
      <c r="F73" s="97">
        <f t="shared" si="38"/>
        <v>0</v>
      </c>
      <c r="G73" s="96"/>
      <c r="H73" s="97">
        <f t="shared" si="1"/>
        <v>0</v>
      </c>
      <c r="I73" s="97">
        <f t="shared" si="2"/>
        <v>0</v>
      </c>
      <c r="J73" s="97">
        <f t="shared" si="3"/>
        <v>0</v>
      </c>
      <c r="K73" s="96"/>
      <c r="L73" s="97">
        <f t="shared" si="4"/>
        <v>0</v>
      </c>
      <c r="M73" s="97">
        <f t="shared" si="5"/>
        <v>0</v>
      </c>
      <c r="N73" s="97">
        <f t="shared" si="6"/>
        <v>0</v>
      </c>
      <c r="O73" s="96"/>
      <c r="P73" s="97">
        <f t="shared" si="7"/>
        <v>0</v>
      </c>
      <c r="Q73" s="97">
        <f t="shared" si="8"/>
        <v>0</v>
      </c>
      <c r="R73" s="97">
        <f t="shared" si="9"/>
        <v>0</v>
      </c>
      <c r="S73" s="96"/>
      <c r="T73" s="97">
        <f t="shared" si="10"/>
        <v>0</v>
      </c>
      <c r="U73" s="97">
        <f t="shared" si="11"/>
        <v>0</v>
      </c>
      <c r="V73" s="97">
        <f t="shared" si="12"/>
        <v>0</v>
      </c>
      <c r="W73" s="96"/>
      <c r="X73" s="97">
        <f t="shared" si="13"/>
        <v>0</v>
      </c>
      <c r="Y73" s="97">
        <f t="shared" si="14"/>
        <v>0</v>
      </c>
      <c r="Z73" s="97">
        <f t="shared" si="15"/>
        <v>0</v>
      </c>
      <c r="AA73" s="96"/>
      <c r="AB73" s="97">
        <f t="shared" si="16"/>
        <v>0</v>
      </c>
      <c r="AC73" s="97">
        <f t="shared" si="17"/>
        <v>0</v>
      </c>
      <c r="AD73" s="97">
        <f t="shared" si="18"/>
        <v>0</v>
      </c>
      <c r="AE73" s="96"/>
      <c r="AF73" s="97">
        <f t="shared" si="19"/>
        <v>0</v>
      </c>
      <c r="AG73" s="97">
        <f t="shared" si="20"/>
        <v>0</v>
      </c>
      <c r="AH73" s="97">
        <f t="shared" si="21"/>
        <v>0</v>
      </c>
      <c r="AI73" s="96"/>
      <c r="AJ73" s="97">
        <f t="shared" si="22"/>
        <v>0</v>
      </c>
      <c r="AK73" s="97">
        <f t="shared" si="23"/>
        <v>0</v>
      </c>
      <c r="AL73" s="97">
        <f t="shared" si="24"/>
        <v>0</v>
      </c>
      <c r="AM73" s="96"/>
      <c r="AN73" s="97">
        <f t="shared" si="25"/>
        <v>0</v>
      </c>
      <c r="AO73" s="97">
        <f t="shared" si="26"/>
        <v>0</v>
      </c>
      <c r="AP73" s="97">
        <f t="shared" si="27"/>
        <v>0</v>
      </c>
      <c r="AQ73" s="96"/>
      <c r="AR73" s="97">
        <f t="shared" si="28"/>
        <v>0</v>
      </c>
      <c r="AS73" s="97">
        <f t="shared" si="29"/>
        <v>0</v>
      </c>
      <c r="AT73" s="97">
        <f t="shared" si="30"/>
        <v>0</v>
      </c>
      <c r="AU73" s="96"/>
      <c r="AV73" s="97">
        <f t="shared" si="31"/>
        <v>0</v>
      </c>
      <c r="AW73" s="97">
        <f t="shared" si="32"/>
        <v>0</v>
      </c>
      <c r="AX73" s="97">
        <f t="shared" si="33"/>
        <v>0</v>
      </c>
      <c r="AY73" s="96"/>
      <c r="AZ73" s="65">
        <f t="shared" si="34"/>
        <v>0</v>
      </c>
      <c r="BA73" s="65">
        <f t="shared" si="35"/>
        <v>0</v>
      </c>
      <c r="BB73" s="65">
        <f t="shared" si="36"/>
        <v>0</v>
      </c>
    </row>
    <row r="74" spans="1:54" x14ac:dyDescent="0.2">
      <c r="A74" s="71"/>
      <c r="B74" s="96" t="s">
        <v>52</v>
      </c>
      <c r="C74" s="96"/>
      <c r="D74" s="97">
        <f t="shared" si="0"/>
        <v>0</v>
      </c>
      <c r="E74" s="97">
        <f t="shared" si="37"/>
        <v>0</v>
      </c>
      <c r="F74" s="97">
        <f t="shared" si="38"/>
        <v>0</v>
      </c>
      <c r="G74" s="96"/>
      <c r="H74" s="97">
        <f t="shared" si="1"/>
        <v>0</v>
      </c>
      <c r="I74" s="97">
        <f t="shared" si="2"/>
        <v>0</v>
      </c>
      <c r="J74" s="97">
        <f t="shared" si="3"/>
        <v>0</v>
      </c>
      <c r="K74" s="96"/>
      <c r="L74" s="97">
        <f t="shared" si="4"/>
        <v>0</v>
      </c>
      <c r="M74" s="97">
        <f t="shared" si="5"/>
        <v>0</v>
      </c>
      <c r="N74" s="97">
        <f t="shared" si="6"/>
        <v>0</v>
      </c>
      <c r="O74" s="96"/>
      <c r="P74" s="97">
        <f t="shared" si="7"/>
        <v>0</v>
      </c>
      <c r="Q74" s="97">
        <f t="shared" si="8"/>
        <v>0</v>
      </c>
      <c r="R74" s="97">
        <f t="shared" si="9"/>
        <v>0</v>
      </c>
      <c r="S74" s="96"/>
      <c r="T74" s="97">
        <f t="shared" si="10"/>
        <v>0</v>
      </c>
      <c r="U74" s="97">
        <f t="shared" si="11"/>
        <v>0</v>
      </c>
      <c r="V74" s="97">
        <f t="shared" si="12"/>
        <v>0</v>
      </c>
      <c r="W74" s="96"/>
      <c r="X74" s="97">
        <f t="shared" si="13"/>
        <v>0</v>
      </c>
      <c r="Y74" s="97">
        <f t="shared" si="14"/>
        <v>0</v>
      </c>
      <c r="Z74" s="97">
        <f t="shared" si="15"/>
        <v>0</v>
      </c>
      <c r="AA74" s="96"/>
      <c r="AB74" s="97">
        <f t="shared" si="16"/>
        <v>0</v>
      </c>
      <c r="AC74" s="97">
        <f t="shared" si="17"/>
        <v>0</v>
      </c>
      <c r="AD74" s="97">
        <f t="shared" si="18"/>
        <v>0</v>
      </c>
      <c r="AE74" s="96"/>
      <c r="AF74" s="97">
        <f t="shared" si="19"/>
        <v>0</v>
      </c>
      <c r="AG74" s="97">
        <f t="shared" si="20"/>
        <v>0</v>
      </c>
      <c r="AH74" s="97">
        <f t="shared" si="21"/>
        <v>0</v>
      </c>
      <c r="AI74" s="96"/>
      <c r="AJ74" s="97">
        <f t="shared" si="22"/>
        <v>0</v>
      </c>
      <c r="AK74" s="97">
        <f t="shared" si="23"/>
        <v>0</v>
      </c>
      <c r="AL74" s="97">
        <f t="shared" si="24"/>
        <v>0</v>
      </c>
      <c r="AM74" s="96"/>
      <c r="AN74" s="97">
        <f t="shared" si="25"/>
        <v>0</v>
      </c>
      <c r="AO74" s="97">
        <f t="shared" si="26"/>
        <v>0</v>
      </c>
      <c r="AP74" s="97">
        <f t="shared" si="27"/>
        <v>0</v>
      </c>
      <c r="AQ74" s="96"/>
      <c r="AR74" s="97">
        <f t="shared" si="28"/>
        <v>0</v>
      </c>
      <c r="AS74" s="97">
        <f t="shared" si="29"/>
        <v>0</v>
      </c>
      <c r="AT74" s="97">
        <f t="shared" si="30"/>
        <v>0</v>
      </c>
      <c r="AU74" s="96"/>
      <c r="AV74" s="97">
        <f t="shared" si="31"/>
        <v>0</v>
      </c>
      <c r="AW74" s="97">
        <f t="shared" si="32"/>
        <v>0</v>
      </c>
      <c r="AX74" s="97">
        <f t="shared" si="33"/>
        <v>0</v>
      </c>
      <c r="AY74" s="96"/>
      <c r="AZ74" s="65">
        <f t="shared" si="34"/>
        <v>0</v>
      </c>
      <c r="BA74" s="65">
        <f t="shared" si="35"/>
        <v>0</v>
      </c>
      <c r="BB74" s="65">
        <f t="shared" si="36"/>
        <v>0</v>
      </c>
    </row>
    <row r="75" spans="1:54" x14ac:dyDescent="0.2">
      <c r="A75" s="71"/>
      <c r="B75" s="96" t="s">
        <v>52</v>
      </c>
      <c r="C75" s="96"/>
      <c r="D75" s="97">
        <f t="shared" si="0"/>
        <v>0</v>
      </c>
      <c r="E75" s="97">
        <f t="shared" si="37"/>
        <v>0</v>
      </c>
      <c r="F75" s="97">
        <f t="shared" si="38"/>
        <v>0</v>
      </c>
      <c r="G75" s="96"/>
      <c r="H75" s="97">
        <f t="shared" si="1"/>
        <v>0</v>
      </c>
      <c r="I75" s="97">
        <f t="shared" si="2"/>
        <v>0</v>
      </c>
      <c r="J75" s="97">
        <f t="shared" si="3"/>
        <v>0</v>
      </c>
      <c r="K75" s="96"/>
      <c r="L75" s="97">
        <f t="shared" si="4"/>
        <v>0</v>
      </c>
      <c r="M75" s="97">
        <f t="shared" si="5"/>
        <v>0</v>
      </c>
      <c r="N75" s="97">
        <f t="shared" si="6"/>
        <v>0</v>
      </c>
      <c r="O75" s="96"/>
      <c r="P75" s="97">
        <f t="shared" si="7"/>
        <v>0</v>
      </c>
      <c r="Q75" s="97">
        <f t="shared" si="8"/>
        <v>0</v>
      </c>
      <c r="R75" s="97">
        <f t="shared" si="9"/>
        <v>0</v>
      </c>
      <c r="S75" s="96"/>
      <c r="T75" s="97">
        <f t="shared" si="10"/>
        <v>0</v>
      </c>
      <c r="U75" s="97">
        <f t="shared" si="11"/>
        <v>0</v>
      </c>
      <c r="V75" s="97">
        <f t="shared" si="12"/>
        <v>0</v>
      </c>
      <c r="W75" s="96"/>
      <c r="X75" s="97">
        <f t="shared" si="13"/>
        <v>0</v>
      </c>
      <c r="Y75" s="97">
        <f t="shared" si="14"/>
        <v>0</v>
      </c>
      <c r="Z75" s="97">
        <f t="shared" si="15"/>
        <v>0</v>
      </c>
      <c r="AA75" s="96"/>
      <c r="AB75" s="97">
        <f t="shared" si="16"/>
        <v>0</v>
      </c>
      <c r="AC75" s="97">
        <f t="shared" si="17"/>
        <v>0</v>
      </c>
      <c r="AD75" s="97">
        <f t="shared" si="18"/>
        <v>0</v>
      </c>
      <c r="AE75" s="96"/>
      <c r="AF75" s="97">
        <f t="shared" si="19"/>
        <v>0</v>
      </c>
      <c r="AG75" s="97">
        <f t="shared" si="20"/>
        <v>0</v>
      </c>
      <c r="AH75" s="97">
        <f t="shared" si="21"/>
        <v>0</v>
      </c>
      <c r="AI75" s="96"/>
      <c r="AJ75" s="97">
        <f t="shared" si="22"/>
        <v>0</v>
      </c>
      <c r="AK75" s="97">
        <f t="shared" si="23"/>
        <v>0</v>
      </c>
      <c r="AL75" s="97">
        <f t="shared" si="24"/>
        <v>0</v>
      </c>
      <c r="AM75" s="96"/>
      <c r="AN75" s="97">
        <f t="shared" si="25"/>
        <v>0</v>
      </c>
      <c r="AO75" s="97">
        <f t="shared" si="26"/>
        <v>0</v>
      </c>
      <c r="AP75" s="97">
        <f t="shared" si="27"/>
        <v>0</v>
      </c>
      <c r="AQ75" s="96"/>
      <c r="AR75" s="97">
        <f t="shared" si="28"/>
        <v>0</v>
      </c>
      <c r="AS75" s="97">
        <f t="shared" si="29"/>
        <v>0</v>
      </c>
      <c r="AT75" s="97">
        <f t="shared" si="30"/>
        <v>0</v>
      </c>
      <c r="AU75" s="96"/>
      <c r="AV75" s="97">
        <f t="shared" si="31"/>
        <v>0</v>
      </c>
      <c r="AW75" s="97">
        <f t="shared" si="32"/>
        <v>0</v>
      </c>
      <c r="AX75" s="97">
        <f t="shared" si="33"/>
        <v>0</v>
      </c>
      <c r="AY75" s="96"/>
      <c r="AZ75" s="65">
        <f t="shared" si="34"/>
        <v>0</v>
      </c>
      <c r="BA75" s="65">
        <f t="shared" si="35"/>
        <v>0</v>
      </c>
      <c r="BB75" s="65">
        <f t="shared" si="36"/>
        <v>0</v>
      </c>
    </row>
    <row r="76" spans="1:54" x14ac:dyDescent="0.2">
      <c r="A76" s="71"/>
      <c r="B76" s="96" t="s">
        <v>52</v>
      </c>
      <c r="C76" s="96"/>
      <c r="D76" s="97">
        <f t="shared" si="0"/>
        <v>0</v>
      </c>
      <c r="E76" s="97">
        <f t="shared" si="37"/>
        <v>0</v>
      </c>
      <c r="F76" s="97">
        <f t="shared" si="38"/>
        <v>0</v>
      </c>
      <c r="G76" s="96"/>
      <c r="H76" s="97">
        <f t="shared" si="1"/>
        <v>0</v>
      </c>
      <c r="I76" s="97">
        <f t="shared" si="2"/>
        <v>0</v>
      </c>
      <c r="J76" s="97">
        <f t="shared" si="3"/>
        <v>0</v>
      </c>
      <c r="K76" s="96"/>
      <c r="L76" s="97">
        <f t="shared" si="4"/>
        <v>0</v>
      </c>
      <c r="M76" s="97">
        <f t="shared" si="5"/>
        <v>0</v>
      </c>
      <c r="N76" s="97">
        <f t="shared" si="6"/>
        <v>0</v>
      </c>
      <c r="O76" s="96"/>
      <c r="P76" s="97">
        <f t="shared" si="7"/>
        <v>0</v>
      </c>
      <c r="Q76" s="97">
        <f t="shared" si="8"/>
        <v>0</v>
      </c>
      <c r="R76" s="97">
        <f t="shared" si="9"/>
        <v>0</v>
      </c>
      <c r="S76" s="96"/>
      <c r="T76" s="97">
        <f t="shared" si="10"/>
        <v>0</v>
      </c>
      <c r="U76" s="97">
        <f t="shared" si="11"/>
        <v>0</v>
      </c>
      <c r="V76" s="97">
        <f t="shared" si="12"/>
        <v>0</v>
      </c>
      <c r="W76" s="96"/>
      <c r="X76" s="97">
        <f t="shared" si="13"/>
        <v>0</v>
      </c>
      <c r="Y76" s="97">
        <f t="shared" si="14"/>
        <v>0</v>
      </c>
      <c r="Z76" s="97">
        <f t="shared" si="15"/>
        <v>0</v>
      </c>
      <c r="AA76" s="96"/>
      <c r="AB76" s="97">
        <f t="shared" si="16"/>
        <v>0</v>
      </c>
      <c r="AC76" s="97">
        <f t="shared" si="17"/>
        <v>0</v>
      </c>
      <c r="AD76" s="97">
        <f t="shared" si="18"/>
        <v>0</v>
      </c>
      <c r="AE76" s="96"/>
      <c r="AF76" s="97">
        <f t="shared" si="19"/>
        <v>0</v>
      </c>
      <c r="AG76" s="97">
        <f t="shared" si="20"/>
        <v>0</v>
      </c>
      <c r="AH76" s="97">
        <f t="shared" si="21"/>
        <v>0</v>
      </c>
      <c r="AI76" s="96"/>
      <c r="AJ76" s="97">
        <f t="shared" si="22"/>
        <v>0</v>
      </c>
      <c r="AK76" s="97">
        <f t="shared" si="23"/>
        <v>0</v>
      </c>
      <c r="AL76" s="97">
        <f t="shared" si="24"/>
        <v>0</v>
      </c>
      <c r="AM76" s="96"/>
      <c r="AN76" s="97">
        <f t="shared" si="25"/>
        <v>0</v>
      </c>
      <c r="AO76" s="97">
        <f t="shared" si="26"/>
        <v>0</v>
      </c>
      <c r="AP76" s="97">
        <f t="shared" si="27"/>
        <v>0</v>
      </c>
      <c r="AQ76" s="96"/>
      <c r="AR76" s="97">
        <f t="shared" si="28"/>
        <v>0</v>
      </c>
      <c r="AS76" s="97">
        <f t="shared" si="29"/>
        <v>0</v>
      </c>
      <c r="AT76" s="97">
        <f t="shared" si="30"/>
        <v>0</v>
      </c>
      <c r="AU76" s="96"/>
      <c r="AV76" s="97">
        <f t="shared" si="31"/>
        <v>0</v>
      </c>
      <c r="AW76" s="97">
        <f t="shared" si="32"/>
        <v>0</v>
      </c>
      <c r="AX76" s="97">
        <f t="shared" si="33"/>
        <v>0</v>
      </c>
      <c r="AY76" s="96"/>
      <c r="AZ76" s="65">
        <f t="shared" si="34"/>
        <v>0</v>
      </c>
      <c r="BA76" s="65">
        <f t="shared" si="35"/>
        <v>0</v>
      </c>
      <c r="BB76" s="65">
        <f t="shared" si="36"/>
        <v>0</v>
      </c>
    </row>
    <row r="77" spans="1:54" x14ac:dyDescent="0.2"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</row>
    <row r="78" spans="1:54" x14ac:dyDescent="0.2"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</row>
    <row r="79" spans="1:54" x14ac:dyDescent="0.2"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</row>
    <row r="80" spans="1:54" x14ac:dyDescent="0.2"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</row>
    <row r="81" spans="2:51" x14ac:dyDescent="0.2"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</row>
    <row r="82" spans="2:51" x14ac:dyDescent="0.2"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</row>
  </sheetData>
  <sheetProtection algorithmName="SHA-512" hashValue="CNzehzWBMi9s2MLFE3TclPoeQ4IPEdIqCDPHu2V3j5hzsmcqZ1KcuEgjv1gekAKDT7A+asr+KcKSSMht8IDKKg==" saltValue="HUgscSCeHoZEL4JP209l2Q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Complexidade!$A$1:$A$3</xm:f>
          </x14:formula1>
          <xm:sqref>B18:B76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 enableFormatConditionsCalculation="0">
    <tabColor rgb="FF0070C0"/>
  </sheetPr>
  <dimension ref="A1:BB76"/>
  <sheetViews>
    <sheetView zoomScale="113" zoomScaleNormal="113" zoomScalePageLayoutView="113" workbookViewId="0">
      <selection activeCell="B8" sqref="B8"/>
    </sheetView>
  </sheetViews>
  <sheetFormatPr baseColWidth="10" defaultColWidth="8.83203125" defaultRowHeight="15" x14ac:dyDescent="0.2"/>
  <cols>
    <col min="1" max="1" width="64.5" customWidth="1"/>
    <col min="2" max="2" width="34.5" bestFit="1" customWidth="1"/>
    <col min="3" max="3" width="22.5" customWidth="1"/>
    <col min="4" max="6" width="23.33203125" hidden="1" customWidth="1"/>
    <col min="7" max="7" width="22" customWidth="1"/>
    <col min="8" max="10" width="23.33203125" hidden="1" customWidth="1"/>
    <col min="11" max="11" width="30.5" customWidth="1"/>
    <col min="12" max="14" width="23.33203125" hidden="1" customWidth="1"/>
    <col min="15" max="15" width="26.5" customWidth="1"/>
    <col min="16" max="18" width="23.33203125" hidden="1" customWidth="1"/>
    <col min="19" max="19" width="28.5" customWidth="1"/>
    <col min="20" max="21" width="23.33203125" hidden="1" customWidth="1"/>
    <col min="22" max="22" width="1.83203125" hidden="1" customWidth="1"/>
    <col min="23" max="23" width="31.1640625" customWidth="1"/>
    <col min="24" max="26" width="23.33203125" hidden="1" customWidth="1"/>
    <col min="27" max="27" width="19.33203125" hidden="1" customWidth="1"/>
    <col min="28" max="30" width="23.33203125" hidden="1" customWidth="1"/>
    <col min="31" max="31" width="23.6640625" hidden="1" customWidth="1"/>
    <col min="32" max="34" width="23.33203125" hidden="1" customWidth="1"/>
    <col min="35" max="35" width="22.33203125" hidden="1" customWidth="1"/>
    <col min="36" max="38" width="23.33203125" hidden="1" customWidth="1"/>
    <col min="39" max="39" width="16.5" hidden="1" customWidth="1"/>
    <col min="40" max="42" width="23.33203125" hidden="1" customWidth="1"/>
    <col min="43" max="43" width="22.1640625" hidden="1" customWidth="1"/>
    <col min="44" max="46" width="23.33203125" hidden="1" customWidth="1"/>
    <col min="47" max="47" width="20.83203125" hidden="1" customWidth="1"/>
    <col min="48" max="50" width="23.33203125" hidden="1" customWidth="1"/>
    <col min="51" max="51" width="35.1640625" hidden="1" customWidth="1"/>
    <col min="52" max="54" width="23.33203125" hidden="1" customWidth="1"/>
    <col min="55" max="56" width="9.1640625" customWidth="1"/>
  </cols>
  <sheetData>
    <row r="1" spans="1:54" ht="16" thickBot="1" x14ac:dyDescent="0.25">
      <c r="O1" s="92"/>
      <c r="P1" s="93"/>
      <c r="Q1" s="93"/>
      <c r="R1" s="93"/>
      <c r="S1" s="93" t="s">
        <v>126</v>
      </c>
      <c r="T1" s="93"/>
      <c r="U1" s="93"/>
      <c r="V1" s="93"/>
      <c r="W1" s="94"/>
    </row>
    <row r="2" spans="1:54" ht="30" x14ac:dyDescent="0.2">
      <c r="A2" s="79" t="s">
        <v>100</v>
      </c>
      <c r="B2" s="80" t="s">
        <v>31</v>
      </c>
      <c r="C2" s="58" t="s">
        <v>59</v>
      </c>
      <c r="D2" s="58"/>
      <c r="E2" s="58"/>
      <c r="F2" s="58"/>
      <c r="G2" s="59" t="s">
        <v>60</v>
      </c>
      <c r="H2" s="58"/>
      <c r="I2" s="58"/>
      <c r="J2" s="58"/>
      <c r="K2" s="60" t="s">
        <v>61</v>
      </c>
      <c r="L2" s="58"/>
      <c r="M2" s="58"/>
      <c r="N2" s="58"/>
      <c r="O2" s="87" t="s">
        <v>123</v>
      </c>
      <c r="P2" s="87"/>
      <c r="Q2" s="87"/>
      <c r="R2" s="87"/>
      <c r="S2" s="87" t="s">
        <v>124</v>
      </c>
      <c r="T2" s="87"/>
      <c r="U2" s="87"/>
      <c r="V2" s="87"/>
      <c r="W2" s="88" t="s">
        <v>125</v>
      </c>
      <c r="X2" s="58"/>
      <c r="Y2" s="58"/>
      <c r="Z2" s="58"/>
      <c r="AB2" s="58"/>
      <c r="AC2" s="58"/>
      <c r="AD2" s="58"/>
      <c r="AF2" s="58"/>
      <c r="AG2" s="58"/>
      <c r="AH2" s="58"/>
      <c r="AJ2" s="58"/>
      <c r="AK2" s="58"/>
      <c r="AL2" s="58"/>
      <c r="AN2" s="58"/>
      <c r="AO2" s="58"/>
      <c r="AP2" s="58"/>
      <c r="AR2" s="58"/>
      <c r="AS2" s="58"/>
      <c r="AT2" s="58"/>
      <c r="AV2" s="58"/>
      <c r="AW2" s="58"/>
      <c r="AX2" s="58"/>
      <c r="AZ2" s="58"/>
      <c r="BA2" s="58"/>
      <c r="BB2" s="58"/>
    </row>
    <row r="3" spans="1:54" x14ac:dyDescent="0.2">
      <c r="A3" s="78" t="str">
        <f>'Catalogo de Item de Serviço'!C39</f>
        <v>ESB-Transformação XML</v>
      </c>
      <c r="B3" s="82" t="str">
        <f>'Catalogo de Item de Serviço'!D39</f>
        <v>Número Campos</v>
      </c>
      <c r="C3" s="65">
        <f>SUM($D$18:$D$76)</f>
        <v>0</v>
      </c>
      <c r="D3" s="65"/>
      <c r="E3" s="65"/>
      <c r="F3" s="65"/>
      <c r="G3" s="65">
        <f>SUM($E$18:$E$76)</f>
        <v>0</v>
      </c>
      <c r="H3" s="65"/>
      <c r="I3" s="65"/>
      <c r="J3" s="65"/>
      <c r="K3" s="65">
        <f>SUM($F$18:$F$76)</f>
        <v>0</v>
      </c>
      <c r="L3" s="65"/>
      <c r="M3" s="65"/>
      <c r="N3" s="65"/>
      <c r="O3" s="89">
        <f>'Catalogo de Item de Serviço'!F39</f>
        <v>16</v>
      </c>
      <c r="P3" s="89"/>
      <c r="Q3" s="89"/>
      <c r="R3" s="89"/>
      <c r="S3" s="89">
        <f>'Catalogo de Item de Serviço'!G39</f>
        <v>40</v>
      </c>
      <c r="T3" s="89"/>
      <c r="U3" s="89"/>
      <c r="V3" s="89"/>
      <c r="W3" s="89">
        <f>'Catalogo de Item de Serviço'!H39</f>
        <v>80</v>
      </c>
      <c r="X3" s="65"/>
      <c r="Y3" s="65"/>
      <c r="Z3" s="65"/>
      <c r="AB3" s="65"/>
      <c r="AC3" s="65"/>
      <c r="AD3" s="65"/>
      <c r="AF3" s="65"/>
      <c r="AG3" s="65"/>
      <c r="AH3" s="65"/>
      <c r="AJ3" s="65"/>
      <c r="AK3" s="65"/>
      <c r="AL3" s="65"/>
      <c r="AN3" s="65"/>
      <c r="AO3" s="65"/>
      <c r="AP3" s="65"/>
      <c r="AR3" s="65"/>
      <c r="AS3" s="65"/>
      <c r="AT3" s="65"/>
      <c r="AV3" s="65"/>
      <c r="AW3" s="65"/>
      <c r="AX3" s="65"/>
      <c r="AZ3" s="65"/>
      <c r="BA3" s="65"/>
      <c r="BB3" s="65"/>
    </row>
    <row r="4" spans="1:54" x14ac:dyDescent="0.2">
      <c r="A4" s="78" t="str">
        <f>'Catalogo de Item de Serviço'!C40</f>
        <v>ESB-Transformação Arquivo</v>
      </c>
      <c r="B4" s="82" t="str">
        <f>'Catalogo de Item de Serviço'!D40</f>
        <v>Número Campos</v>
      </c>
      <c r="C4" s="65">
        <f>SUM($H$18:$H$76)</f>
        <v>0</v>
      </c>
      <c r="D4" s="65"/>
      <c r="E4" s="65"/>
      <c r="F4" s="65"/>
      <c r="G4" s="65">
        <f>SUM($I$18:$I$76)</f>
        <v>0</v>
      </c>
      <c r="H4" s="65"/>
      <c r="I4" s="65"/>
      <c r="J4" s="65"/>
      <c r="K4" s="65">
        <f>SUM($J$18:$J$76)</f>
        <v>0</v>
      </c>
      <c r="L4" s="65"/>
      <c r="M4" s="65"/>
      <c r="N4" s="65"/>
      <c r="O4" s="89">
        <f>'Catalogo de Item de Serviço'!F40</f>
        <v>16</v>
      </c>
      <c r="P4" s="89"/>
      <c r="Q4" s="89"/>
      <c r="R4" s="89"/>
      <c r="S4" s="89">
        <f>'Catalogo de Item de Serviço'!G40</f>
        <v>40</v>
      </c>
      <c r="T4" s="89"/>
      <c r="U4" s="89"/>
      <c r="V4" s="89"/>
      <c r="W4" s="89">
        <f>'Catalogo de Item de Serviço'!H40</f>
        <v>80</v>
      </c>
      <c r="X4" s="65"/>
      <c r="Y4" s="65"/>
      <c r="Z4" s="65"/>
      <c r="AB4" s="65"/>
      <c r="AC4" s="65"/>
      <c r="AD4" s="65"/>
      <c r="AF4" s="65"/>
      <c r="AG4" s="65"/>
      <c r="AH4" s="65"/>
      <c r="AJ4" s="65"/>
      <c r="AK4" s="65"/>
      <c r="AL4" s="65"/>
      <c r="AN4" s="65"/>
      <c r="AO4" s="65"/>
      <c r="AP4" s="65"/>
      <c r="AR4" s="65"/>
      <c r="AS4" s="65"/>
      <c r="AT4" s="65"/>
      <c r="AV4" s="65"/>
      <c r="AW4" s="65"/>
      <c r="AX4" s="65"/>
      <c r="AZ4" s="65"/>
      <c r="BA4" s="65"/>
      <c r="BB4" s="65"/>
    </row>
    <row r="5" spans="1:54" x14ac:dyDescent="0.2">
      <c r="A5" s="78" t="str">
        <f>'Catalogo de Item de Serviço'!C41</f>
        <v>ESB-Transformação Customizada Java</v>
      </c>
      <c r="B5" s="82" t="str">
        <f>'Catalogo de Item de Serviço'!D41</f>
        <v>Número de Conectores</v>
      </c>
      <c r="C5" s="65">
        <f>SUM($L$18:$L$76)</f>
        <v>0</v>
      </c>
      <c r="D5" s="65"/>
      <c r="E5" s="65"/>
      <c r="F5" s="65"/>
      <c r="G5" s="65">
        <f>SUM($M$18:$M$76)</f>
        <v>0</v>
      </c>
      <c r="H5" s="65"/>
      <c r="I5" s="65"/>
      <c r="J5" s="65"/>
      <c r="K5" s="65">
        <f>SUM($N$18:$N$76)</f>
        <v>0</v>
      </c>
      <c r="L5" s="65"/>
      <c r="M5" s="65"/>
      <c r="N5" s="65"/>
      <c r="O5" s="89">
        <f>'Catalogo de Item de Serviço'!F41</f>
        <v>16</v>
      </c>
      <c r="P5" s="89"/>
      <c r="Q5" s="89"/>
      <c r="R5" s="89"/>
      <c r="S5" s="89">
        <f>'Catalogo de Item de Serviço'!G41</f>
        <v>80</v>
      </c>
      <c r="T5" s="89"/>
      <c r="U5" s="89"/>
      <c r="V5" s="89"/>
      <c r="W5" s="89">
        <f>'Catalogo de Item de Serviço'!H41</f>
        <v>160</v>
      </c>
      <c r="X5" s="65"/>
      <c r="Y5" s="65"/>
      <c r="Z5" s="65"/>
      <c r="AB5" s="65"/>
      <c r="AC5" s="65"/>
      <c r="AD5" s="65"/>
      <c r="AF5" s="65"/>
      <c r="AG5" s="65"/>
      <c r="AH5" s="65"/>
      <c r="AJ5" s="65"/>
      <c r="AK5" s="65"/>
      <c r="AL5" s="65"/>
      <c r="AN5" s="65"/>
      <c r="AO5" s="65"/>
      <c r="AP5" s="65"/>
      <c r="AR5" s="65"/>
      <c r="AS5" s="65"/>
      <c r="AT5" s="65"/>
      <c r="AV5" s="65"/>
      <c r="AW5" s="65"/>
      <c r="AX5" s="65"/>
      <c r="AZ5" s="65"/>
      <c r="BA5" s="65"/>
      <c r="BB5" s="65"/>
    </row>
    <row r="6" spans="1:54" x14ac:dyDescent="0.2">
      <c r="A6" s="78" t="str">
        <f>'Catalogo de Item de Serviço'!C42</f>
        <v>ESB-Conectares Padrões</v>
      </c>
      <c r="B6" s="82" t="str">
        <f>'Catalogo de Item de Serviço'!D42</f>
        <v>Número de Conectores</v>
      </c>
      <c r="C6" s="65">
        <f>SUM($P$18:$P$76)</f>
        <v>0</v>
      </c>
      <c r="D6" s="65"/>
      <c r="E6" s="65"/>
      <c r="F6" s="65"/>
      <c r="G6" s="65">
        <f>SUM($Q$18:$Q$76)</f>
        <v>0</v>
      </c>
      <c r="H6" s="65"/>
      <c r="I6" s="65"/>
      <c r="J6" s="65"/>
      <c r="K6" s="65">
        <f>SUM($R$18:$R$76)</f>
        <v>0</v>
      </c>
      <c r="L6" s="65"/>
      <c r="M6" s="65"/>
      <c r="N6" s="65"/>
      <c r="O6" s="89">
        <f>'Catalogo de Item de Serviço'!F42</f>
        <v>8</v>
      </c>
      <c r="P6" s="89"/>
      <c r="Q6" s="89"/>
      <c r="R6" s="89"/>
      <c r="S6" s="89">
        <f>'Catalogo de Item de Serviço'!G42</f>
        <v>16</v>
      </c>
      <c r="T6" s="89"/>
      <c r="U6" s="89"/>
      <c r="V6" s="89"/>
      <c r="W6" s="89">
        <f>'Catalogo de Item de Serviço'!H42</f>
        <v>24</v>
      </c>
      <c r="X6" s="65"/>
      <c r="Y6" s="65"/>
      <c r="Z6" s="65"/>
      <c r="AB6" s="65"/>
      <c r="AC6" s="65"/>
      <c r="AD6" s="65"/>
      <c r="AF6" s="65"/>
      <c r="AG6" s="65"/>
      <c r="AH6" s="65"/>
      <c r="AJ6" s="65"/>
      <c r="AK6" s="65"/>
      <c r="AL6" s="65"/>
      <c r="AN6" s="65"/>
      <c r="AO6" s="65"/>
      <c r="AP6" s="65"/>
      <c r="AR6" s="65"/>
      <c r="AS6" s="65"/>
      <c r="AT6" s="65"/>
      <c r="AV6" s="65"/>
      <c r="AW6" s="65"/>
      <c r="AX6" s="65"/>
      <c r="AZ6" s="65"/>
      <c r="BA6" s="65"/>
      <c r="BB6" s="65"/>
    </row>
    <row r="7" spans="1:54" x14ac:dyDescent="0.2">
      <c r="A7" s="78" t="str">
        <f>'Catalogo de Item de Serviço'!C43</f>
        <v>ESB-Conectores Customizados</v>
      </c>
      <c r="B7" s="82" t="str">
        <f>'Catalogo de Item de Serviço'!D43</f>
        <v>Número de Conectores</v>
      </c>
      <c r="C7" s="65">
        <f>SUM($T$18:$T$76)</f>
        <v>0</v>
      </c>
      <c r="D7" s="65"/>
      <c r="E7" s="65"/>
      <c r="F7" s="65"/>
      <c r="G7" s="65">
        <f>SUM($U$18:$U$76)</f>
        <v>0</v>
      </c>
      <c r="H7" s="65"/>
      <c r="I7" s="65"/>
      <c r="J7" s="65"/>
      <c r="K7" s="65">
        <f>SUM($V$18:$V$76)</f>
        <v>0</v>
      </c>
      <c r="L7" s="65"/>
      <c r="M7" s="65"/>
      <c r="N7" s="65"/>
      <c r="O7" s="89">
        <f>'Catalogo de Item de Serviço'!F43</f>
        <v>16</v>
      </c>
      <c r="P7" s="89"/>
      <c r="Q7" s="89"/>
      <c r="R7" s="89"/>
      <c r="S7" s="89">
        <f>'Catalogo de Item de Serviço'!G43</f>
        <v>80</v>
      </c>
      <c r="T7" s="89"/>
      <c r="U7" s="89"/>
      <c r="V7" s="89"/>
      <c r="W7" s="89">
        <f>'Catalogo de Item de Serviço'!H43</f>
        <v>160</v>
      </c>
      <c r="X7" s="65"/>
      <c r="Y7" s="65"/>
      <c r="Z7" s="65"/>
      <c r="AB7" s="65"/>
      <c r="AC7" s="65"/>
      <c r="AD7" s="65"/>
      <c r="AF7" s="65"/>
      <c r="AG7" s="65"/>
      <c r="AH7" s="65"/>
      <c r="AJ7" s="65"/>
      <c r="AK7" s="65"/>
      <c r="AL7" s="65"/>
      <c r="AN7" s="65"/>
      <c r="AO7" s="65"/>
      <c r="AP7" s="65"/>
      <c r="AR7" s="65"/>
      <c r="AS7" s="65"/>
      <c r="AT7" s="65"/>
      <c r="AV7" s="65"/>
      <c r="AW7" s="65"/>
      <c r="AX7" s="65"/>
      <c r="AZ7" s="65"/>
      <c r="BA7" s="65"/>
      <c r="BB7" s="65"/>
    </row>
    <row r="8" spans="1:54" ht="15" customHeight="1" x14ac:dyDescent="0.2">
      <c r="A8" s="78" t="str">
        <f>'Catalogo de Item de Serviço'!C44</f>
        <v>ESB-E-mail Customizado de Alerta</v>
      </c>
      <c r="B8" s="82" t="str">
        <f>'Catalogo de Item de Serviço'!D44</f>
        <v>Número de Tipos Mensagens</v>
      </c>
      <c r="C8" s="65">
        <f>SUM($X$18:$X$76)</f>
        <v>0</v>
      </c>
      <c r="D8" s="65"/>
      <c r="E8" s="65"/>
      <c r="F8" s="65"/>
      <c r="G8" s="65">
        <f>SUM($Y$18:$Y$76)</f>
        <v>0</v>
      </c>
      <c r="H8" s="65"/>
      <c r="I8" s="65"/>
      <c r="J8" s="65"/>
      <c r="K8" s="65">
        <f>SUM($Z$18:$Z$76)</f>
        <v>0</v>
      </c>
      <c r="L8" s="65"/>
      <c r="M8" s="65"/>
      <c r="N8" s="65"/>
      <c r="O8" s="89">
        <f>'Catalogo de Item de Serviço'!F44</f>
        <v>4</v>
      </c>
      <c r="P8" s="89"/>
      <c r="Q8" s="89"/>
      <c r="R8" s="89"/>
      <c r="S8" s="89">
        <f>'Catalogo de Item de Serviço'!G44</f>
        <v>8</v>
      </c>
      <c r="T8" s="89"/>
      <c r="U8" s="89"/>
      <c r="V8" s="89"/>
      <c r="W8" s="89">
        <f>'Catalogo de Item de Serviço'!H44</f>
        <v>16</v>
      </c>
      <c r="X8" s="65"/>
      <c r="Y8" s="65"/>
      <c r="Z8" s="65"/>
      <c r="AB8" s="65"/>
      <c r="AC8" s="65"/>
      <c r="AD8" s="65"/>
      <c r="AF8" s="65"/>
      <c r="AG8" s="65"/>
      <c r="AH8" s="65"/>
      <c r="AJ8" s="65"/>
      <c r="AK8" s="65"/>
      <c r="AL8" s="65"/>
      <c r="AN8" s="65"/>
      <c r="AO8" s="65"/>
      <c r="AP8" s="65"/>
      <c r="AR8" s="65"/>
      <c r="AS8" s="65"/>
      <c r="AT8" s="65"/>
      <c r="AV8" s="65"/>
      <c r="AW8" s="65"/>
      <c r="AX8" s="65"/>
      <c r="AZ8" s="65"/>
      <c r="BA8" s="65"/>
      <c r="BB8" s="65"/>
    </row>
    <row r="9" spans="1:54" ht="15" hidden="1" customHeight="1" x14ac:dyDescent="0.2">
      <c r="A9" s="69" t="str">
        <f>'Catalogo de Item de Serviço'!C47</f>
        <v>IDM-Integração Identity Menus e Segurança (RAC)</v>
      </c>
      <c r="B9" s="70"/>
      <c r="C9" s="65">
        <f>SUM($AB$18:$AB$76)</f>
        <v>0</v>
      </c>
      <c r="D9" s="65"/>
      <c r="E9" s="65"/>
      <c r="F9" s="65"/>
      <c r="G9" s="65">
        <f>SUM($AC$18:$AC$76)</f>
        <v>0</v>
      </c>
      <c r="H9" s="65"/>
      <c r="I9" s="65"/>
      <c r="J9" s="65"/>
      <c r="K9" s="65">
        <f>SUM($AD$18:$AD$76)</f>
        <v>0</v>
      </c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B9" s="65"/>
      <c r="AC9" s="65"/>
      <c r="AD9" s="65"/>
      <c r="AF9" s="65"/>
      <c r="AG9" s="65"/>
      <c r="AH9" s="65"/>
      <c r="AJ9" s="65"/>
      <c r="AK9" s="65"/>
      <c r="AL9" s="65"/>
      <c r="AN9" s="65"/>
      <c r="AO9" s="65"/>
      <c r="AP9" s="65"/>
      <c r="AR9" s="65"/>
      <c r="AS9" s="65"/>
      <c r="AT9" s="65"/>
      <c r="AV9" s="65"/>
      <c r="AW9" s="65"/>
      <c r="AX9" s="65"/>
      <c r="AZ9" s="65"/>
      <c r="BA9" s="65"/>
      <c r="BB9" s="65"/>
    </row>
    <row r="10" spans="1:54" ht="15" hidden="1" customHeight="1" x14ac:dyDescent="0.2">
      <c r="A10" s="69" t="str">
        <f>'Catalogo de Item de Serviço'!C48</f>
        <v>IDM-Integração Pluging Browser</v>
      </c>
      <c r="B10" s="70"/>
      <c r="C10" s="65">
        <f>SUM($AF$18:$AF$76)</f>
        <v>0</v>
      </c>
      <c r="D10" s="65"/>
      <c r="E10" s="65"/>
      <c r="F10" s="65"/>
      <c r="G10" s="65">
        <f>SUM($AG$18:$AG$76)</f>
        <v>0</v>
      </c>
      <c r="H10" s="65"/>
      <c r="I10" s="65"/>
      <c r="J10" s="65"/>
      <c r="K10" s="65">
        <f>SUM($AH$18:$AH$76)</f>
        <v>0</v>
      </c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B10" s="65"/>
      <c r="AC10" s="65"/>
      <c r="AD10" s="65"/>
      <c r="AF10" s="65"/>
      <c r="AG10" s="65"/>
      <c r="AH10" s="65"/>
      <c r="AJ10" s="65"/>
      <c r="AK10" s="65"/>
      <c r="AL10" s="65"/>
      <c r="AN10" s="65"/>
      <c r="AO10" s="65"/>
      <c r="AP10" s="65"/>
      <c r="AR10" s="65"/>
      <c r="AS10" s="65"/>
      <c r="AT10" s="65"/>
      <c r="AV10" s="65"/>
      <c r="AW10" s="65"/>
      <c r="AX10" s="65"/>
      <c r="AZ10" s="65"/>
      <c r="BA10" s="65"/>
      <c r="BB10" s="65"/>
    </row>
    <row r="11" spans="1:54" ht="15" hidden="1" customHeight="1" x14ac:dyDescent="0.2">
      <c r="A11" s="69" t="str">
        <f>'Catalogo de Item de Serviço'!C49</f>
        <v>IDM-Integração Desktop Launcher</v>
      </c>
      <c r="B11" s="70"/>
      <c r="C11" s="65">
        <f>SUM($AJ$18:$AJ$76)</f>
        <v>0</v>
      </c>
      <c r="D11" s="65"/>
      <c r="E11" s="65"/>
      <c r="F11" s="65"/>
      <c r="G11" s="65">
        <f>SUM($AK$18:$AK$76)</f>
        <v>0</v>
      </c>
      <c r="H11" s="65"/>
      <c r="I11" s="65"/>
      <c r="J11" s="65"/>
      <c r="K11" s="65">
        <f>SUM($AL$18:$AL$76)</f>
        <v>0</v>
      </c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B11" s="65"/>
      <c r="AC11" s="65"/>
      <c r="AD11" s="65"/>
      <c r="AF11" s="65"/>
      <c r="AG11" s="65"/>
      <c r="AH11" s="65"/>
      <c r="AJ11" s="65"/>
      <c r="AK11" s="65"/>
      <c r="AL11" s="65"/>
      <c r="AN11" s="65"/>
      <c r="AO11" s="65"/>
      <c r="AP11" s="65"/>
      <c r="AR11" s="65"/>
      <c r="AS11" s="65"/>
      <c r="AT11" s="65"/>
      <c r="AV11" s="65"/>
      <c r="AW11" s="65"/>
      <c r="AX11" s="65"/>
      <c r="AZ11" s="65"/>
      <c r="BA11" s="65"/>
      <c r="BB11" s="65"/>
    </row>
    <row r="12" spans="1:54" ht="15" hidden="1" customHeight="1" x14ac:dyDescent="0.2">
      <c r="A12" s="69" t="str">
        <f>'Catalogo de Item de Serviço'!C50</f>
        <v>IDM-Relatórios Identity de Auditoria</v>
      </c>
      <c r="B12" s="70"/>
      <c r="C12" s="65">
        <f>SUM($AN$18:$AN$76)</f>
        <v>0</v>
      </c>
      <c r="D12" s="65"/>
      <c r="E12" s="65"/>
      <c r="F12" s="65"/>
      <c r="G12" s="65">
        <f>SUM($AO$18:$AO$76)</f>
        <v>0</v>
      </c>
      <c r="H12" s="65"/>
      <c r="I12" s="65"/>
      <c r="J12" s="65"/>
      <c r="K12" s="65">
        <f>SUM($AP$18:$AP$76)</f>
        <v>0</v>
      </c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B12" s="65"/>
      <c r="AC12" s="65"/>
      <c r="AD12" s="65"/>
      <c r="AF12" s="65"/>
      <c r="AG12" s="65"/>
      <c r="AH12" s="65"/>
      <c r="AJ12" s="65"/>
      <c r="AK12" s="65"/>
      <c r="AL12" s="65"/>
      <c r="AN12" s="65"/>
      <c r="AO12" s="65"/>
      <c r="AP12" s="65"/>
      <c r="AR12" s="65"/>
      <c r="AS12" s="65"/>
      <c r="AT12" s="65"/>
      <c r="AV12" s="65"/>
      <c r="AW12" s="65"/>
      <c r="AX12" s="65"/>
      <c r="AZ12" s="65"/>
      <c r="BA12" s="65"/>
      <c r="BB12" s="65"/>
    </row>
    <row r="13" spans="1:54" ht="15" hidden="1" customHeight="1" x14ac:dyDescent="0.2">
      <c r="A13" s="69" t="str">
        <f>'Catalogo de Item de Serviço'!C51</f>
        <v>Parametrização Inicial</v>
      </c>
      <c r="B13" s="70"/>
      <c r="C13" s="65">
        <f>SUM($AR$18:$AR$76)</f>
        <v>0</v>
      </c>
      <c r="D13" s="65"/>
      <c r="E13" s="65"/>
      <c r="F13" s="65"/>
      <c r="G13" s="65">
        <f>SUM($AS$18:$AS$76)</f>
        <v>0</v>
      </c>
      <c r="H13" s="65"/>
      <c r="I13" s="65"/>
      <c r="J13" s="65"/>
      <c r="K13" s="65">
        <f>SUM($AT$18:$AT$76)</f>
        <v>0</v>
      </c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B13" s="65"/>
      <c r="AC13" s="65"/>
      <c r="AD13" s="65"/>
      <c r="AF13" s="65"/>
      <c r="AG13" s="65"/>
      <c r="AH13" s="65"/>
      <c r="AJ13" s="65"/>
      <c r="AK13" s="65"/>
      <c r="AL13" s="65"/>
      <c r="AN13" s="65"/>
      <c r="AO13" s="65"/>
      <c r="AP13" s="65"/>
      <c r="AR13" s="65"/>
      <c r="AS13" s="65"/>
      <c r="AT13" s="65"/>
      <c r="AV13" s="65"/>
      <c r="AW13" s="65"/>
      <c r="AX13" s="65"/>
      <c r="AZ13" s="65"/>
      <c r="BA13" s="65"/>
      <c r="BB13" s="65"/>
    </row>
    <row r="14" spans="1:54" hidden="1" x14ac:dyDescent="0.2">
      <c r="A14" s="69" t="str">
        <f>'Catalogo de Item de Serviço'!C52</f>
        <v>Levantamento do projeto</v>
      </c>
      <c r="B14" s="70"/>
      <c r="C14" s="65">
        <f>SUM($AV$18:$AV$76)</f>
        <v>0</v>
      </c>
      <c r="D14" s="65"/>
      <c r="E14" s="65"/>
      <c r="F14" s="65"/>
      <c r="G14" s="65">
        <f>SUM($AW$18:$AW$76)</f>
        <v>0</v>
      </c>
      <c r="H14" s="65"/>
      <c r="I14" s="65"/>
      <c r="J14" s="65"/>
      <c r="K14" s="65">
        <f>SUM($AX$18:$AX$76)</f>
        <v>0</v>
      </c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B14" s="65"/>
      <c r="AC14" s="65"/>
      <c r="AD14" s="65"/>
      <c r="AF14" s="65"/>
      <c r="AG14" s="65"/>
      <c r="AH14" s="65"/>
      <c r="AJ14" s="65"/>
      <c r="AK14" s="65"/>
      <c r="AL14" s="65"/>
      <c r="AN14" s="65"/>
      <c r="AO14" s="65"/>
      <c r="AP14" s="65"/>
      <c r="AR14" s="65"/>
      <c r="AS14" s="65"/>
      <c r="AT14" s="65"/>
      <c r="AV14" s="65"/>
      <c r="AW14" s="65"/>
      <c r="AX14" s="65"/>
      <c r="AZ14" s="65"/>
      <c r="BA14" s="65"/>
      <c r="BB14" s="65"/>
    </row>
    <row r="15" spans="1:54" hidden="1" x14ac:dyDescent="0.2">
      <c r="A15" s="69" t="str">
        <f>'Catalogo de Item de Serviço'!C53</f>
        <v>Cadastrar Conteúdo</v>
      </c>
      <c r="B15" s="70"/>
      <c r="C15" s="65">
        <f>SUM($AZ$18:$AZ$76)</f>
        <v>0</v>
      </c>
      <c r="D15" s="65"/>
      <c r="E15" s="65"/>
      <c r="F15" s="65"/>
      <c r="G15" s="65">
        <f>SUM($BA$18:$BA$76)</f>
        <v>0</v>
      </c>
      <c r="H15" s="65"/>
      <c r="I15" s="65"/>
      <c r="J15" s="65"/>
      <c r="K15" s="65">
        <f>SUM($BB$18:$BB$76)</f>
        <v>0</v>
      </c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B15" s="65"/>
      <c r="AC15" s="65"/>
      <c r="AD15" s="65"/>
      <c r="AF15" s="65"/>
      <c r="AG15" s="65"/>
      <c r="AH15" s="65"/>
      <c r="AJ15" s="65"/>
      <c r="AK15" s="65"/>
      <c r="AL15" s="65"/>
      <c r="AN15" s="65"/>
      <c r="AO15" s="65"/>
      <c r="AP15" s="65"/>
      <c r="AR15" s="65"/>
      <c r="AS15" s="65"/>
      <c r="AT15" s="65"/>
      <c r="AV15" s="65"/>
      <c r="AW15" s="65"/>
      <c r="AX15" s="65"/>
      <c r="AZ15" s="65"/>
      <c r="BA15" s="65"/>
      <c r="BB15" s="65"/>
    </row>
    <row r="16" spans="1:54" x14ac:dyDescent="0.2">
      <c r="A16" s="66"/>
      <c r="B16" s="66"/>
    </row>
    <row r="17" spans="1:54" s="76" customFormat="1" ht="50.25" customHeight="1" x14ac:dyDescent="0.2">
      <c r="A17" s="64" t="s">
        <v>104</v>
      </c>
      <c r="B17" s="18" t="s">
        <v>101</v>
      </c>
      <c r="C17" s="18" t="str">
        <f>A3</f>
        <v>ESB-Transformação XML</v>
      </c>
      <c r="D17" s="18"/>
      <c r="E17" s="18"/>
      <c r="F17" s="18"/>
      <c r="G17" s="18" t="str">
        <f>A4</f>
        <v>ESB-Transformação Arquivo</v>
      </c>
      <c r="H17" s="18"/>
      <c r="I17" s="18"/>
      <c r="J17" s="18"/>
      <c r="K17" s="18" t="str">
        <f>A5</f>
        <v>ESB-Transformação Customizada Java</v>
      </c>
      <c r="L17" s="18"/>
      <c r="M17" s="18"/>
      <c r="N17" s="18"/>
      <c r="O17" s="18" t="str">
        <f>A6</f>
        <v>ESB-Conectares Padrões</v>
      </c>
      <c r="P17" s="18"/>
      <c r="Q17" s="18"/>
      <c r="R17" s="18"/>
      <c r="S17" s="18" t="str">
        <f>A7</f>
        <v>ESB-Conectores Customizados</v>
      </c>
      <c r="T17" s="18"/>
      <c r="U17" s="18"/>
      <c r="V17" s="18"/>
      <c r="W17" s="18" t="str">
        <f>A8</f>
        <v>ESB-E-mail Customizado de Alerta</v>
      </c>
      <c r="X17" s="18"/>
      <c r="Y17" s="18"/>
      <c r="Z17" s="18"/>
      <c r="AA17" s="18" t="s">
        <v>28</v>
      </c>
      <c r="AB17" s="18"/>
      <c r="AC17" s="18"/>
      <c r="AD17" s="18"/>
      <c r="AE17" s="18" t="s">
        <v>8</v>
      </c>
      <c r="AF17" s="18"/>
      <c r="AG17" s="18"/>
      <c r="AH17" s="18"/>
      <c r="AI17" s="18" t="s">
        <v>4</v>
      </c>
      <c r="AJ17" s="18"/>
      <c r="AK17" s="18"/>
      <c r="AL17" s="18"/>
      <c r="AM17" s="18" t="s">
        <v>5</v>
      </c>
      <c r="AN17" s="18"/>
      <c r="AO17" s="18"/>
      <c r="AP17" s="18"/>
      <c r="AQ17" s="18" t="s">
        <v>6</v>
      </c>
      <c r="AR17" s="18"/>
      <c r="AS17" s="18"/>
      <c r="AT17" s="18"/>
      <c r="AU17" s="18" t="s">
        <v>9</v>
      </c>
      <c r="AV17" s="18"/>
      <c r="AW17" s="18"/>
      <c r="AX17" s="18"/>
      <c r="AY17" s="18" t="s">
        <v>10</v>
      </c>
      <c r="AZ17" s="18"/>
      <c r="BA17" s="18"/>
      <c r="BB17" s="18"/>
    </row>
    <row r="18" spans="1:54" x14ac:dyDescent="0.2">
      <c r="A18" s="71"/>
      <c r="B18" s="96" t="s">
        <v>52</v>
      </c>
      <c r="C18" s="95"/>
      <c r="D18" s="67">
        <f t="shared" ref="D18:D76" si="0">IF($B18="1-Baixa",C18,0)</f>
        <v>0</v>
      </c>
      <c r="E18" s="67">
        <f t="shared" ref="E18:E76" si="1">IF($B18="2-Media",C18,0)</f>
        <v>0</v>
      </c>
      <c r="F18" s="67">
        <f t="shared" ref="F18:F76" si="2">IF($B18="3-Alta",C18,0)</f>
        <v>0</v>
      </c>
      <c r="G18" s="95"/>
      <c r="H18" s="67">
        <f t="shared" ref="H18:H76" si="3">IF($B18="1-Baixa",G18,0)</f>
        <v>0</v>
      </c>
      <c r="I18" s="67">
        <f t="shared" ref="I18:I76" si="4">IF($B18="2-Media",G18,0)</f>
        <v>0</v>
      </c>
      <c r="J18" s="67">
        <f t="shared" ref="J18:J76" si="5">IF($B18="3-Alta",G18,0)</f>
        <v>0</v>
      </c>
      <c r="K18" s="95"/>
      <c r="L18" s="67">
        <f t="shared" ref="L18:L76" si="6">IF($B18="1-Baixa",K18,0)</f>
        <v>0</v>
      </c>
      <c r="M18" s="67">
        <f t="shared" ref="M18:M76" si="7">IF($B18="2-Media",K18,0)</f>
        <v>0</v>
      </c>
      <c r="N18" s="67">
        <f t="shared" ref="N18:N76" si="8">IF($B18="3-Alta",K18,0)</f>
        <v>0</v>
      </c>
      <c r="O18" s="95"/>
      <c r="P18" s="67">
        <f t="shared" ref="P18:P76" si="9">IF($B18="1-Baixa",O18,0)</f>
        <v>0</v>
      </c>
      <c r="Q18" s="67">
        <f t="shared" ref="Q18:Q76" si="10">IF($B18="2-Media",O18,0)</f>
        <v>0</v>
      </c>
      <c r="R18" s="67">
        <f t="shared" ref="R18:R76" si="11">IF($B18="3-Alta",O18,0)</f>
        <v>0</v>
      </c>
      <c r="S18" s="95"/>
      <c r="T18" s="67">
        <f t="shared" ref="T18:T76" si="12">IF($B18="1-Baixa",S18,0)</f>
        <v>0</v>
      </c>
      <c r="U18" s="67">
        <f t="shared" ref="U18:U76" si="13">IF($B18="2-Media",S18,0)</f>
        <v>0</v>
      </c>
      <c r="V18" s="67">
        <f t="shared" ref="V18:V76" si="14">IF($B18="3-Alta",S18,0)</f>
        <v>0</v>
      </c>
      <c r="W18" s="95"/>
      <c r="X18" s="65">
        <f t="shared" ref="X18:X76" si="15">IF($B18="1-Baixa",W18,0)</f>
        <v>0</v>
      </c>
      <c r="Y18" s="65">
        <f t="shared" ref="Y18:Y76" si="16">IF($B18="2-Media",W18,0)</f>
        <v>0</v>
      </c>
      <c r="Z18" s="65">
        <f t="shared" ref="Z18:Z76" si="17">IF($B18="3-Alta",W18,0)</f>
        <v>0</v>
      </c>
      <c r="AA18" s="65"/>
      <c r="AB18" s="65">
        <f t="shared" ref="AB18:AB76" si="18">IF($B18="1-Baixa",AA18,0)</f>
        <v>0</v>
      </c>
      <c r="AC18" s="65">
        <f t="shared" ref="AC18:AC76" si="19">IF($B18="2-Media",AA18,0)</f>
        <v>0</v>
      </c>
      <c r="AD18" s="65">
        <f t="shared" ref="AD18:AD76" si="20">IF($B18="3-Alta",AA18,0)</f>
        <v>0</v>
      </c>
      <c r="AE18" s="65"/>
      <c r="AF18" s="65">
        <f t="shared" ref="AF18:AF76" si="21">IF($B18="1-Baixa",AE18,0)</f>
        <v>0</v>
      </c>
      <c r="AG18" s="65">
        <f t="shared" ref="AG18:AG76" si="22">IF($B18="2-Media",AE18,0)</f>
        <v>0</v>
      </c>
      <c r="AH18" s="65">
        <f t="shared" ref="AH18:AH76" si="23">IF($B18="3-Alta",AE18,0)</f>
        <v>0</v>
      </c>
      <c r="AI18" s="65"/>
      <c r="AJ18" s="65">
        <f t="shared" ref="AJ18:AJ76" si="24">IF($B18="1-Baixa",AI18,0)</f>
        <v>0</v>
      </c>
      <c r="AK18" s="65">
        <f t="shared" ref="AK18:AK76" si="25">IF($B18="2-Media",AI18,0)</f>
        <v>0</v>
      </c>
      <c r="AL18" s="65">
        <f t="shared" ref="AL18:AL76" si="26">IF($B18="3-Alta",AI18,0)</f>
        <v>0</v>
      </c>
      <c r="AM18" s="65"/>
      <c r="AN18" s="65">
        <f t="shared" ref="AN18:AN76" si="27">IF($B18="1-Baixa",AM18,0)</f>
        <v>0</v>
      </c>
      <c r="AO18" s="65">
        <f t="shared" ref="AO18:AO76" si="28">IF($B18="2-Media",AM18,0)</f>
        <v>0</v>
      </c>
      <c r="AP18" s="65">
        <f t="shared" ref="AP18:AP76" si="29">IF($B18="3-Alta",AM18,0)</f>
        <v>0</v>
      </c>
      <c r="AQ18" s="65"/>
      <c r="AR18" s="65">
        <f t="shared" ref="AR18:AR76" si="30">IF($B18="1-Baixa",AQ18,0)</f>
        <v>0</v>
      </c>
      <c r="AS18" s="65">
        <f t="shared" ref="AS18:AS76" si="31">IF($B18="2-Media",AQ18,0)</f>
        <v>0</v>
      </c>
      <c r="AT18" s="65">
        <f t="shared" ref="AT18:AT76" si="32">IF($B18="3-Alta",AQ18,0)</f>
        <v>0</v>
      </c>
      <c r="AU18" s="65"/>
      <c r="AV18" s="65">
        <f t="shared" ref="AV18:AV76" si="33">IF($B18="1-Baixa",AU18,0)</f>
        <v>0</v>
      </c>
      <c r="AW18" s="65">
        <f t="shared" ref="AW18:AW76" si="34">IF($B18="2-Media",AU18,0)</f>
        <v>0</v>
      </c>
      <c r="AX18" s="65">
        <f t="shared" ref="AX18:AX76" si="35">IF($B18="3-Alta",AU18,0)</f>
        <v>0</v>
      </c>
      <c r="AY18" s="65"/>
      <c r="AZ18" s="65">
        <f t="shared" ref="AZ18:AZ76" si="36">IF($B18="1-Baixa",AY18,0)</f>
        <v>0</v>
      </c>
      <c r="BA18" s="65">
        <f t="shared" ref="BA18:BA76" si="37">IF($B18="2-Media",AY18,0)</f>
        <v>0</v>
      </c>
      <c r="BB18" s="65">
        <f t="shared" ref="BB18:BB76" si="38">IF($B18="3-Alta",AY18,0)</f>
        <v>0</v>
      </c>
    </row>
    <row r="19" spans="1:54" x14ac:dyDescent="0.2">
      <c r="A19" s="71"/>
      <c r="B19" s="96" t="s">
        <v>52</v>
      </c>
      <c r="C19" s="95"/>
      <c r="D19" s="67">
        <f t="shared" si="0"/>
        <v>0</v>
      </c>
      <c r="E19" s="67">
        <f t="shared" si="1"/>
        <v>0</v>
      </c>
      <c r="F19" s="67">
        <f t="shared" si="2"/>
        <v>0</v>
      </c>
      <c r="G19" s="95"/>
      <c r="H19" s="67">
        <f t="shared" si="3"/>
        <v>0</v>
      </c>
      <c r="I19" s="67">
        <f t="shared" si="4"/>
        <v>0</v>
      </c>
      <c r="J19" s="67">
        <f t="shared" si="5"/>
        <v>0</v>
      </c>
      <c r="K19" s="95"/>
      <c r="L19" s="67">
        <f t="shared" si="6"/>
        <v>0</v>
      </c>
      <c r="M19" s="67">
        <f t="shared" si="7"/>
        <v>0</v>
      </c>
      <c r="N19" s="67">
        <f t="shared" si="8"/>
        <v>0</v>
      </c>
      <c r="O19" s="95"/>
      <c r="P19" s="67">
        <f t="shared" si="9"/>
        <v>0</v>
      </c>
      <c r="Q19" s="67">
        <f t="shared" si="10"/>
        <v>0</v>
      </c>
      <c r="R19" s="67">
        <f t="shared" si="11"/>
        <v>0</v>
      </c>
      <c r="S19" s="95"/>
      <c r="T19" s="67">
        <f t="shared" si="12"/>
        <v>0</v>
      </c>
      <c r="U19" s="67">
        <f t="shared" si="13"/>
        <v>0</v>
      </c>
      <c r="V19" s="67">
        <f t="shared" si="14"/>
        <v>0</v>
      </c>
      <c r="W19" s="95"/>
      <c r="X19" s="65">
        <f t="shared" si="15"/>
        <v>0</v>
      </c>
      <c r="Y19" s="65">
        <f t="shared" si="16"/>
        <v>0</v>
      </c>
      <c r="Z19" s="65">
        <f t="shared" si="17"/>
        <v>0</v>
      </c>
      <c r="AA19" s="65"/>
      <c r="AB19" s="65">
        <f t="shared" si="18"/>
        <v>0</v>
      </c>
      <c r="AC19" s="65">
        <f t="shared" si="19"/>
        <v>0</v>
      </c>
      <c r="AD19" s="65">
        <f t="shared" si="20"/>
        <v>0</v>
      </c>
      <c r="AE19" s="65"/>
      <c r="AF19" s="65">
        <f t="shared" si="21"/>
        <v>0</v>
      </c>
      <c r="AG19" s="65">
        <f t="shared" si="22"/>
        <v>0</v>
      </c>
      <c r="AH19" s="65">
        <f t="shared" si="23"/>
        <v>0</v>
      </c>
      <c r="AI19" s="65"/>
      <c r="AJ19" s="65">
        <f t="shared" si="24"/>
        <v>0</v>
      </c>
      <c r="AK19" s="65">
        <f t="shared" si="25"/>
        <v>0</v>
      </c>
      <c r="AL19" s="65">
        <f t="shared" si="26"/>
        <v>0</v>
      </c>
      <c r="AM19" s="65"/>
      <c r="AN19" s="65">
        <f t="shared" si="27"/>
        <v>0</v>
      </c>
      <c r="AO19" s="65">
        <f t="shared" si="28"/>
        <v>0</v>
      </c>
      <c r="AP19" s="65">
        <f t="shared" si="29"/>
        <v>0</v>
      </c>
      <c r="AQ19" s="65"/>
      <c r="AR19" s="65">
        <f t="shared" si="30"/>
        <v>0</v>
      </c>
      <c r="AS19" s="65">
        <f t="shared" si="31"/>
        <v>0</v>
      </c>
      <c r="AT19" s="65">
        <f t="shared" si="32"/>
        <v>0</v>
      </c>
      <c r="AU19" s="65"/>
      <c r="AV19" s="65">
        <f t="shared" si="33"/>
        <v>0</v>
      </c>
      <c r="AW19" s="65">
        <f t="shared" si="34"/>
        <v>0</v>
      </c>
      <c r="AX19" s="65">
        <f t="shared" si="35"/>
        <v>0</v>
      </c>
      <c r="AY19" s="65"/>
      <c r="AZ19" s="65">
        <f t="shared" si="36"/>
        <v>0</v>
      </c>
      <c r="BA19" s="65">
        <f t="shared" si="37"/>
        <v>0</v>
      </c>
      <c r="BB19" s="65">
        <f t="shared" si="38"/>
        <v>0</v>
      </c>
    </row>
    <row r="20" spans="1:54" x14ac:dyDescent="0.2">
      <c r="A20" s="71"/>
      <c r="B20" s="96" t="s">
        <v>52</v>
      </c>
      <c r="C20" s="95"/>
      <c r="D20" s="67">
        <f t="shared" si="0"/>
        <v>0</v>
      </c>
      <c r="E20" s="67">
        <f t="shared" si="1"/>
        <v>0</v>
      </c>
      <c r="F20" s="67">
        <f t="shared" si="2"/>
        <v>0</v>
      </c>
      <c r="G20" s="95"/>
      <c r="H20" s="67">
        <f t="shared" si="3"/>
        <v>0</v>
      </c>
      <c r="I20" s="67">
        <f t="shared" si="4"/>
        <v>0</v>
      </c>
      <c r="J20" s="67">
        <f t="shared" si="5"/>
        <v>0</v>
      </c>
      <c r="K20" s="95"/>
      <c r="L20" s="67">
        <f t="shared" si="6"/>
        <v>0</v>
      </c>
      <c r="M20" s="67">
        <f t="shared" si="7"/>
        <v>0</v>
      </c>
      <c r="N20" s="67">
        <f t="shared" si="8"/>
        <v>0</v>
      </c>
      <c r="O20" s="95"/>
      <c r="P20" s="67">
        <f t="shared" si="9"/>
        <v>0</v>
      </c>
      <c r="Q20" s="67">
        <f t="shared" si="10"/>
        <v>0</v>
      </c>
      <c r="R20" s="67">
        <f t="shared" si="11"/>
        <v>0</v>
      </c>
      <c r="S20" s="95"/>
      <c r="T20" s="67">
        <f t="shared" si="12"/>
        <v>0</v>
      </c>
      <c r="U20" s="67">
        <f t="shared" si="13"/>
        <v>0</v>
      </c>
      <c r="V20" s="67">
        <f t="shared" si="14"/>
        <v>0</v>
      </c>
      <c r="W20" s="95"/>
      <c r="X20" s="65">
        <f t="shared" si="15"/>
        <v>0</v>
      </c>
      <c r="Y20" s="65">
        <f t="shared" si="16"/>
        <v>0</v>
      </c>
      <c r="Z20" s="65">
        <f t="shared" si="17"/>
        <v>0</v>
      </c>
      <c r="AA20" s="65"/>
      <c r="AB20" s="65">
        <f t="shared" si="18"/>
        <v>0</v>
      </c>
      <c r="AC20" s="65">
        <f t="shared" si="19"/>
        <v>0</v>
      </c>
      <c r="AD20" s="65">
        <f t="shared" si="20"/>
        <v>0</v>
      </c>
      <c r="AE20" s="65"/>
      <c r="AF20" s="65">
        <f t="shared" si="21"/>
        <v>0</v>
      </c>
      <c r="AG20" s="65">
        <f t="shared" si="22"/>
        <v>0</v>
      </c>
      <c r="AH20" s="65">
        <f t="shared" si="23"/>
        <v>0</v>
      </c>
      <c r="AI20" s="65"/>
      <c r="AJ20" s="65">
        <f t="shared" si="24"/>
        <v>0</v>
      </c>
      <c r="AK20" s="65">
        <f t="shared" si="25"/>
        <v>0</v>
      </c>
      <c r="AL20" s="65">
        <f t="shared" si="26"/>
        <v>0</v>
      </c>
      <c r="AM20" s="65"/>
      <c r="AN20" s="65">
        <f t="shared" si="27"/>
        <v>0</v>
      </c>
      <c r="AO20" s="65">
        <f t="shared" si="28"/>
        <v>0</v>
      </c>
      <c r="AP20" s="65">
        <f t="shared" si="29"/>
        <v>0</v>
      </c>
      <c r="AQ20" s="65"/>
      <c r="AR20" s="65">
        <f t="shared" si="30"/>
        <v>0</v>
      </c>
      <c r="AS20" s="65">
        <f t="shared" si="31"/>
        <v>0</v>
      </c>
      <c r="AT20" s="65">
        <f t="shared" si="32"/>
        <v>0</v>
      </c>
      <c r="AU20" s="65"/>
      <c r="AV20" s="65">
        <f t="shared" si="33"/>
        <v>0</v>
      </c>
      <c r="AW20" s="65">
        <f t="shared" si="34"/>
        <v>0</v>
      </c>
      <c r="AX20" s="65">
        <f t="shared" si="35"/>
        <v>0</v>
      </c>
      <c r="AY20" s="65"/>
      <c r="AZ20" s="65">
        <f t="shared" si="36"/>
        <v>0</v>
      </c>
      <c r="BA20" s="65">
        <f t="shared" si="37"/>
        <v>0</v>
      </c>
      <c r="BB20" s="65">
        <f t="shared" si="38"/>
        <v>0</v>
      </c>
    </row>
    <row r="21" spans="1:54" x14ac:dyDescent="0.2">
      <c r="A21" s="71"/>
      <c r="B21" s="96" t="s">
        <v>52</v>
      </c>
      <c r="C21" s="95"/>
      <c r="D21" s="67">
        <f t="shared" si="0"/>
        <v>0</v>
      </c>
      <c r="E21" s="67">
        <f t="shared" si="1"/>
        <v>0</v>
      </c>
      <c r="F21" s="67">
        <f t="shared" si="2"/>
        <v>0</v>
      </c>
      <c r="G21" s="95"/>
      <c r="H21" s="67">
        <f t="shared" si="3"/>
        <v>0</v>
      </c>
      <c r="I21" s="67">
        <f t="shared" si="4"/>
        <v>0</v>
      </c>
      <c r="J21" s="67">
        <f t="shared" si="5"/>
        <v>0</v>
      </c>
      <c r="K21" s="95"/>
      <c r="L21" s="67">
        <f t="shared" si="6"/>
        <v>0</v>
      </c>
      <c r="M21" s="67">
        <f t="shared" si="7"/>
        <v>0</v>
      </c>
      <c r="N21" s="67">
        <f t="shared" si="8"/>
        <v>0</v>
      </c>
      <c r="O21" s="95"/>
      <c r="P21" s="67">
        <f t="shared" si="9"/>
        <v>0</v>
      </c>
      <c r="Q21" s="67">
        <f t="shared" si="10"/>
        <v>0</v>
      </c>
      <c r="R21" s="67">
        <f t="shared" si="11"/>
        <v>0</v>
      </c>
      <c r="S21" s="95"/>
      <c r="T21" s="67">
        <f t="shared" si="12"/>
        <v>0</v>
      </c>
      <c r="U21" s="67">
        <f t="shared" si="13"/>
        <v>0</v>
      </c>
      <c r="V21" s="67">
        <f t="shared" si="14"/>
        <v>0</v>
      </c>
      <c r="W21" s="95"/>
      <c r="X21" s="65">
        <f t="shared" si="15"/>
        <v>0</v>
      </c>
      <c r="Y21" s="65">
        <f t="shared" si="16"/>
        <v>0</v>
      </c>
      <c r="Z21" s="65">
        <f t="shared" si="17"/>
        <v>0</v>
      </c>
      <c r="AA21" s="65"/>
      <c r="AB21" s="65">
        <f t="shared" si="18"/>
        <v>0</v>
      </c>
      <c r="AC21" s="65">
        <f t="shared" si="19"/>
        <v>0</v>
      </c>
      <c r="AD21" s="65">
        <f t="shared" si="20"/>
        <v>0</v>
      </c>
      <c r="AE21" s="65"/>
      <c r="AF21" s="65">
        <f t="shared" si="21"/>
        <v>0</v>
      </c>
      <c r="AG21" s="65">
        <f t="shared" si="22"/>
        <v>0</v>
      </c>
      <c r="AH21" s="65">
        <f t="shared" si="23"/>
        <v>0</v>
      </c>
      <c r="AI21" s="65"/>
      <c r="AJ21" s="65">
        <f t="shared" si="24"/>
        <v>0</v>
      </c>
      <c r="AK21" s="65">
        <f t="shared" si="25"/>
        <v>0</v>
      </c>
      <c r="AL21" s="65">
        <f t="shared" si="26"/>
        <v>0</v>
      </c>
      <c r="AM21" s="65"/>
      <c r="AN21" s="65">
        <f t="shared" si="27"/>
        <v>0</v>
      </c>
      <c r="AO21" s="65">
        <f t="shared" si="28"/>
        <v>0</v>
      </c>
      <c r="AP21" s="65">
        <f t="shared" si="29"/>
        <v>0</v>
      </c>
      <c r="AQ21" s="65"/>
      <c r="AR21" s="65">
        <f t="shared" si="30"/>
        <v>0</v>
      </c>
      <c r="AS21" s="65">
        <f t="shared" si="31"/>
        <v>0</v>
      </c>
      <c r="AT21" s="65">
        <f t="shared" si="32"/>
        <v>0</v>
      </c>
      <c r="AU21" s="65"/>
      <c r="AV21" s="65">
        <f t="shared" si="33"/>
        <v>0</v>
      </c>
      <c r="AW21" s="65">
        <f t="shared" si="34"/>
        <v>0</v>
      </c>
      <c r="AX21" s="65">
        <f t="shared" si="35"/>
        <v>0</v>
      </c>
      <c r="AY21" s="65"/>
      <c r="AZ21" s="65">
        <f t="shared" si="36"/>
        <v>0</v>
      </c>
      <c r="BA21" s="65">
        <f t="shared" si="37"/>
        <v>0</v>
      </c>
      <c r="BB21" s="65">
        <f t="shared" si="38"/>
        <v>0</v>
      </c>
    </row>
    <row r="22" spans="1:54" x14ac:dyDescent="0.2">
      <c r="A22" s="71"/>
      <c r="B22" s="96" t="s">
        <v>52</v>
      </c>
      <c r="C22" s="95"/>
      <c r="D22" s="67">
        <f t="shared" si="0"/>
        <v>0</v>
      </c>
      <c r="E22" s="67">
        <f t="shared" si="1"/>
        <v>0</v>
      </c>
      <c r="F22" s="67">
        <f t="shared" si="2"/>
        <v>0</v>
      </c>
      <c r="G22" s="95"/>
      <c r="H22" s="67">
        <f t="shared" si="3"/>
        <v>0</v>
      </c>
      <c r="I22" s="67">
        <f t="shared" si="4"/>
        <v>0</v>
      </c>
      <c r="J22" s="67">
        <f t="shared" si="5"/>
        <v>0</v>
      </c>
      <c r="K22" s="95"/>
      <c r="L22" s="67">
        <f t="shared" si="6"/>
        <v>0</v>
      </c>
      <c r="M22" s="67">
        <f t="shared" si="7"/>
        <v>0</v>
      </c>
      <c r="N22" s="67">
        <f t="shared" si="8"/>
        <v>0</v>
      </c>
      <c r="O22" s="95"/>
      <c r="P22" s="67">
        <f t="shared" si="9"/>
        <v>0</v>
      </c>
      <c r="Q22" s="67">
        <f t="shared" si="10"/>
        <v>0</v>
      </c>
      <c r="R22" s="67">
        <f t="shared" si="11"/>
        <v>0</v>
      </c>
      <c r="S22" s="95"/>
      <c r="T22" s="67">
        <f t="shared" si="12"/>
        <v>0</v>
      </c>
      <c r="U22" s="67">
        <f t="shared" si="13"/>
        <v>0</v>
      </c>
      <c r="V22" s="67">
        <f t="shared" si="14"/>
        <v>0</v>
      </c>
      <c r="W22" s="95"/>
      <c r="X22" s="65">
        <f t="shared" si="15"/>
        <v>0</v>
      </c>
      <c r="Y22" s="65">
        <f t="shared" si="16"/>
        <v>0</v>
      </c>
      <c r="Z22" s="65">
        <f t="shared" si="17"/>
        <v>0</v>
      </c>
      <c r="AA22" s="65"/>
      <c r="AB22" s="65">
        <f t="shared" si="18"/>
        <v>0</v>
      </c>
      <c r="AC22" s="65">
        <f t="shared" si="19"/>
        <v>0</v>
      </c>
      <c r="AD22" s="65">
        <f t="shared" si="20"/>
        <v>0</v>
      </c>
      <c r="AE22" s="65"/>
      <c r="AF22" s="65">
        <f t="shared" si="21"/>
        <v>0</v>
      </c>
      <c r="AG22" s="65">
        <f t="shared" si="22"/>
        <v>0</v>
      </c>
      <c r="AH22" s="65">
        <f t="shared" si="23"/>
        <v>0</v>
      </c>
      <c r="AI22" s="65"/>
      <c r="AJ22" s="65">
        <f t="shared" si="24"/>
        <v>0</v>
      </c>
      <c r="AK22" s="65">
        <f t="shared" si="25"/>
        <v>0</v>
      </c>
      <c r="AL22" s="65">
        <f t="shared" si="26"/>
        <v>0</v>
      </c>
      <c r="AM22" s="65"/>
      <c r="AN22" s="65">
        <f t="shared" si="27"/>
        <v>0</v>
      </c>
      <c r="AO22" s="65">
        <f t="shared" si="28"/>
        <v>0</v>
      </c>
      <c r="AP22" s="65">
        <f t="shared" si="29"/>
        <v>0</v>
      </c>
      <c r="AQ22" s="65"/>
      <c r="AR22" s="65">
        <f t="shared" si="30"/>
        <v>0</v>
      </c>
      <c r="AS22" s="65">
        <f t="shared" si="31"/>
        <v>0</v>
      </c>
      <c r="AT22" s="65">
        <f t="shared" si="32"/>
        <v>0</v>
      </c>
      <c r="AU22" s="65"/>
      <c r="AV22" s="65">
        <f t="shared" si="33"/>
        <v>0</v>
      </c>
      <c r="AW22" s="65">
        <f t="shared" si="34"/>
        <v>0</v>
      </c>
      <c r="AX22" s="65">
        <f t="shared" si="35"/>
        <v>0</v>
      </c>
      <c r="AY22" s="65"/>
      <c r="AZ22" s="65">
        <f t="shared" si="36"/>
        <v>0</v>
      </c>
      <c r="BA22" s="65">
        <f t="shared" si="37"/>
        <v>0</v>
      </c>
      <c r="BB22" s="65">
        <f t="shared" si="38"/>
        <v>0</v>
      </c>
    </row>
    <row r="23" spans="1:54" x14ac:dyDescent="0.2">
      <c r="A23" s="71"/>
      <c r="B23" s="96" t="s">
        <v>52</v>
      </c>
      <c r="C23" s="95"/>
      <c r="D23" s="67">
        <f t="shared" si="0"/>
        <v>0</v>
      </c>
      <c r="E23" s="67">
        <f t="shared" si="1"/>
        <v>0</v>
      </c>
      <c r="F23" s="67">
        <f t="shared" si="2"/>
        <v>0</v>
      </c>
      <c r="G23" s="95"/>
      <c r="H23" s="67">
        <f t="shared" si="3"/>
        <v>0</v>
      </c>
      <c r="I23" s="67">
        <f t="shared" si="4"/>
        <v>0</v>
      </c>
      <c r="J23" s="67">
        <f t="shared" si="5"/>
        <v>0</v>
      </c>
      <c r="K23" s="95"/>
      <c r="L23" s="67">
        <f t="shared" si="6"/>
        <v>0</v>
      </c>
      <c r="M23" s="67">
        <f t="shared" si="7"/>
        <v>0</v>
      </c>
      <c r="N23" s="67">
        <f t="shared" si="8"/>
        <v>0</v>
      </c>
      <c r="O23" s="95"/>
      <c r="P23" s="67">
        <f t="shared" si="9"/>
        <v>0</v>
      </c>
      <c r="Q23" s="67">
        <f t="shared" si="10"/>
        <v>0</v>
      </c>
      <c r="R23" s="67">
        <f t="shared" si="11"/>
        <v>0</v>
      </c>
      <c r="S23" s="95"/>
      <c r="T23" s="67">
        <f t="shared" si="12"/>
        <v>0</v>
      </c>
      <c r="U23" s="67">
        <f t="shared" si="13"/>
        <v>0</v>
      </c>
      <c r="V23" s="67">
        <f t="shared" si="14"/>
        <v>0</v>
      </c>
      <c r="W23" s="95"/>
      <c r="X23" s="65">
        <f t="shared" si="15"/>
        <v>0</v>
      </c>
      <c r="Y23" s="65">
        <f t="shared" si="16"/>
        <v>0</v>
      </c>
      <c r="Z23" s="65">
        <f t="shared" si="17"/>
        <v>0</v>
      </c>
      <c r="AA23" s="65"/>
      <c r="AB23" s="65">
        <f t="shared" si="18"/>
        <v>0</v>
      </c>
      <c r="AC23" s="65">
        <f t="shared" si="19"/>
        <v>0</v>
      </c>
      <c r="AD23" s="65">
        <f t="shared" si="20"/>
        <v>0</v>
      </c>
      <c r="AE23" s="65"/>
      <c r="AF23" s="65">
        <f t="shared" si="21"/>
        <v>0</v>
      </c>
      <c r="AG23" s="65">
        <f t="shared" si="22"/>
        <v>0</v>
      </c>
      <c r="AH23" s="65">
        <f t="shared" si="23"/>
        <v>0</v>
      </c>
      <c r="AI23" s="65"/>
      <c r="AJ23" s="65">
        <f t="shared" si="24"/>
        <v>0</v>
      </c>
      <c r="AK23" s="65">
        <f t="shared" si="25"/>
        <v>0</v>
      </c>
      <c r="AL23" s="65">
        <f t="shared" si="26"/>
        <v>0</v>
      </c>
      <c r="AM23" s="65"/>
      <c r="AN23" s="65">
        <f t="shared" si="27"/>
        <v>0</v>
      </c>
      <c r="AO23" s="65">
        <f t="shared" si="28"/>
        <v>0</v>
      </c>
      <c r="AP23" s="65">
        <f t="shared" si="29"/>
        <v>0</v>
      </c>
      <c r="AQ23" s="65"/>
      <c r="AR23" s="65">
        <f t="shared" si="30"/>
        <v>0</v>
      </c>
      <c r="AS23" s="65">
        <f t="shared" si="31"/>
        <v>0</v>
      </c>
      <c r="AT23" s="65">
        <f t="shared" si="32"/>
        <v>0</v>
      </c>
      <c r="AU23" s="65"/>
      <c r="AV23" s="65">
        <f t="shared" si="33"/>
        <v>0</v>
      </c>
      <c r="AW23" s="65">
        <f t="shared" si="34"/>
        <v>0</v>
      </c>
      <c r="AX23" s="65">
        <f t="shared" si="35"/>
        <v>0</v>
      </c>
      <c r="AY23" s="65"/>
      <c r="AZ23" s="65">
        <f t="shared" si="36"/>
        <v>0</v>
      </c>
      <c r="BA23" s="65">
        <f t="shared" si="37"/>
        <v>0</v>
      </c>
      <c r="BB23" s="65">
        <f t="shared" si="38"/>
        <v>0</v>
      </c>
    </row>
    <row r="24" spans="1:54" x14ac:dyDescent="0.2">
      <c r="A24" s="71"/>
      <c r="B24" s="96" t="s">
        <v>52</v>
      </c>
      <c r="C24" s="95"/>
      <c r="D24" s="67">
        <f t="shared" si="0"/>
        <v>0</v>
      </c>
      <c r="E24" s="67">
        <f t="shared" si="1"/>
        <v>0</v>
      </c>
      <c r="F24" s="67">
        <f t="shared" si="2"/>
        <v>0</v>
      </c>
      <c r="G24" s="95"/>
      <c r="H24" s="67">
        <f t="shared" si="3"/>
        <v>0</v>
      </c>
      <c r="I24" s="67">
        <f t="shared" si="4"/>
        <v>0</v>
      </c>
      <c r="J24" s="67">
        <f t="shared" si="5"/>
        <v>0</v>
      </c>
      <c r="K24" s="95"/>
      <c r="L24" s="67">
        <f t="shared" si="6"/>
        <v>0</v>
      </c>
      <c r="M24" s="67">
        <f t="shared" si="7"/>
        <v>0</v>
      </c>
      <c r="N24" s="67">
        <f t="shared" si="8"/>
        <v>0</v>
      </c>
      <c r="O24" s="95"/>
      <c r="P24" s="67">
        <f t="shared" si="9"/>
        <v>0</v>
      </c>
      <c r="Q24" s="67">
        <f t="shared" si="10"/>
        <v>0</v>
      </c>
      <c r="R24" s="67">
        <f t="shared" si="11"/>
        <v>0</v>
      </c>
      <c r="S24" s="95"/>
      <c r="T24" s="67">
        <f t="shared" si="12"/>
        <v>0</v>
      </c>
      <c r="U24" s="67">
        <f t="shared" si="13"/>
        <v>0</v>
      </c>
      <c r="V24" s="67">
        <f t="shared" si="14"/>
        <v>0</v>
      </c>
      <c r="W24" s="95"/>
      <c r="X24" s="65">
        <f t="shared" si="15"/>
        <v>0</v>
      </c>
      <c r="Y24" s="65">
        <f t="shared" si="16"/>
        <v>0</v>
      </c>
      <c r="Z24" s="65">
        <f t="shared" si="17"/>
        <v>0</v>
      </c>
      <c r="AA24" s="65"/>
      <c r="AB24" s="65">
        <f t="shared" si="18"/>
        <v>0</v>
      </c>
      <c r="AC24" s="65">
        <f t="shared" si="19"/>
        <v>0</v>
      </c>
      <c r="AD24" s="65">
        <f t="shared" si="20"/>
        <v>0</v>
      </c>
      <c r="AE24" s="65"/>
      <c r="AF24" s="65">
        <f t="shared" si="21"/>
        <v>0</v>
      </c>
      <c r="AG24" s="65">
        <f t="shared" si="22"/>
        <v>0</v>
      </c>
      <c r="AH24" s="65">
        <f t="shared" si="23"/>
        <v>0</v>
      </c>
      <c r="AI24" s="65"/>
      <c r="AJ24" s="65">
        <f t="shared" si="24"/>
        <v>0</v>
      </c>
      <c r="AK24" s="65">
        <f t="shared" si="25"/>
        <v>0</v>
      </c>
      <c r="AL24" s="65">
        <f t="shared" si="26"/>
        <v>0</v>
      </c>
      <c r="AM24" s="65"/>
      <c r="AN24" s="65">
        <f t="shared" si="27"/>
        <v>0</v>
      </c>
      <c r="AO24" s="65">
        <f t="shared" si="28"/>
        <v>0</v>
      </c>
      <c r="AP24" s="65">
        <f t="shared" si="29"/>
        <v>0</v>
      </c>
      <c r="AQ24" s="65"/>
      <c r="AR24" s="65">
        <f t="shared" si="30"/>
        <v>0</v>
      </c>
      <c r="AS24" s="65">
        <f t="shared" si="31"/>
        <v>0</v>
      </c>
      <c r="AT24" s="65">
        <f t="shared" si="32"/>
        <v>0</v>
      </c>
      <c r="AU24" s="65"/>
      <c r="AV24" s="65">
        <f t="shared" si="33"/>
        <v>0</v>
      </c>
      <c r="AW24" s="65">
        <f t="shared" si="34"/>
        <v>0</v>
      </c>
      <c r="AX24" s="65">
        <f t="shared" si="35"/>
        <v>0</v>
      </c>
      <c r="AY24" s="65"/>
      <c r="AZ24" s="65">
        <f t="shared" si="36"/>
        <v>0</v>
      </c>
      <c r="BA24" s="65">
        <f t="shared" si="37"/>
        <v>0</v>
      </c>
      <c r="BB24" s="65">
        <f t="shared" si="38"/>
        <v>0</v>
      </c>
    </row>
    <row r="25" spans="1:54" x14ac:dyDescent="0.2">
      <c r="A25" s="71"/>
      <c r="B25" s="96" t="s">
        <v>52</v>
      </c>
      <c r="C25" s="95"/>
      <c r="D25" s="67">
        <f t="shared" si="0"/>
        <v>0</v>
      </c>
      <c r="E25" s="67">
        <f t="shared" si="1"/>
        <v>0</v>
      </c>
      <c r="F25" s="67">
        <f t="shared" si="2"/>
        <v>0</v>
      </c>
      <c r="G25" s="95"/>
      <c r="H25" s="67">
        <f t="shared" si="3"/>
        <v>0</v>
      </c>
      <c r="I25" s="67">
        <f t="shared" si="4"/>
        <v>0</v>
      </c>
      <c r="J25" s="67">
        <f t="shared" si="5"/>
        <v>0</v>
      </c>
      <c r="K25" s="95"/>
      <c r="L25" s="67">
        <f t="shared" si="6"/>
        <v>0</v>
      </c>
      <c r="M25" s="67">
        <f t="shared" si="7"/>
        <v>0</v>
      </c>
      <c r="N25" s="67">
        <f t="shared" si="8"/>
        <v>0</v>
      </c>
      <c r="O25" s="95"/>
      <c r="P25" s="67">
        <f t="shared" si="9"/>
        <v>0</v>
      </c>
      <c r="Q25" s="67">
        <f t="shared" si="10"/>
        <v>0</v>
      </c>
      <c r="R25" s="67">
        <f t="shared" si="11"/>
        <v>0</v>
      </c>
      <c r="S25" s="95"/>
      <c r="T25" s="67">
        <f t="shared" si="12"/>
        <v>0</v>
      </c>
      <c r="U25" s="67">
        <f t="shared" si="13"/>
        <v>0</v>
      </c>
      <c r="V25" s="67">
        <f t="shared" si="14"/>
        <v>0</v>
      </c>
      <c r="W25" s="95"/>
      <c r="X25" s="65">
        <f t="shared" si="15"/>
        <v>0</v>
      </c>
      <c r="Y25" s="65">
        <f t="shared" si="16"/>
        <v>0</v>
      </c>
      <c r="Z25" s="65">
        <f t="shared" si="17"/>
        <v>0</v>
      </c>
      <c r="AA25" s="65"/>
      <c r="AB25" s="65">
        <f t="shared" si="18"/>
        <v>0</v>
      </c>
      <c r="AC25" s="65">
        <f t="shared" si="19"/>
        <v>0</v>
      </c>
      <c r="AD25" s="65">
        <f t="shared" si="20"/>
        <v>0</v>
      </c>
      <c r="AE25" s="65"/>
      <c r="AF25" s="65">
        <f t="shared" si="21"/>
        <v>0</v>
      </c>
      <c r="AG25" s="65">
        <f t="shared" si="22"/>
        <v>0</v>
      </c>
      <c r="AH25" s="65">
        <f t="shared" si="23"/>
        <v>0</v>
      </c>
      <c r="AI25" s="65"/>
      <c r="AJ25" s="65">
        <f t="shared" si="24"/>
        <v>0</v>
      </c>
      <c r="AK25" s="65">
        <f t="shared" si="25"/>
        <v>0</v>
      </c>
      <c r="AL25" s="65">
        <f t="shared" si="26"/>
        <v>0</v>
      </c>
      <c r="AM25" s="65"/>
      <c r="AN25" s="65">
        <f t="shared" si="27"/>
        <v>0</v>
      </c>
      <c r="AO25" s="65">
        <f t="shared" si="28"/>
        <v>0</v>
      </c>
      <c r="AP25" s="65">
        <f t="shared" si="29"/>
        <v>0</v>
      </c>
      <c r="AQ25" s="65"/>
      <c r="AR25" s="65">
        <f t="shared" si="30"/>
        <v>0</v>
      </c>
      <c r="AS25" s="65">
        <f t="shared" si="31"/>
        <v>0</v>
      </c>
      <c r="AT25" s="65">
        <f t="shared" si="32"/>
        <v>0</v>
      </c>
      <c r="AU25" s="65"/>
      <c r="AV25" s="65">
        <f t="shared" si="33"/>
        <v>0</v>
      </c>
      <c r="AW25" s="65">
        <f t="shared" si="34"/>
        <v>0</v>
      </c>
      <c r="AX25" s="65">
        <f t="shared" si="35"/>
        <v>0</v>
      </c>
      <c r="AY25" s="65"/>
      <c r="AZ25" s="65">
        <f t="shared" si="36"/>
        <v>0</v>
      </c>
      <c r="BA25" s="65">
        <f t="shared" si="37"/>
        <v>0</v>
      </c>
      <c r="BB25" s="65">
        <f t="shared" si="38"/>
        <v>0</v>
      </c>
    </row>
    <row r="26" spans="1:54" x14ac:dyDescent="0.2">
      <c r="A26" s="71"/>
      <c r="B26" s="96" t="s">
        <v>52</v>
      </c>
      <c r="C26" s="95"/>
      <c r="D26" s="67">
        <f t="shared" si="0"/>
        <v>0</v>
      </c>
      <c r="E26" s="67">
        <f t="shared" si="1"/>
        <v>0</v>
      </c>
      <c r="F26" s="67">
        <f t="shared" si="2"/>
        <v>0</v>
      </c>
      <c r="G26" s="95"/>
      <c r="H26" s="67">
        <f t="shared" si="3"/>
        <v>0</v>
      </c>
      <c r="I26" s="67">
        <f t="shared" si="4"/>
        <v>0</v>
      </c>
      <c r="J26" s="67">
        <f t="shared" si="5"/>
        <v>0</v>
      </c>
      <c r="K26" s="95"/>
      <c r="L26" s="67">
        <f t="shared" si="6"/>
        <v>0</v>
      </c>
      <c r="M26" s="67">
        <f t="shared" si="7"/>
        <v>0</v>
      </c>
      <c r="N26" s="67">
        <f t="shared" si="8"/>
        <v>0</v>
      </c>
      <c r="O26" s="95"/>
      <c r="P26" s="67">
        <f t="shared" si="9"/>
        <v>0</v>
      </c>
      <c r="Q26" s="67">
        <f t="shared" si="10"/>
        <v>0</v>
      </c>
      <c r="R26" s="67">
        <f t="shared" si="11"/>
        <v>0</v>
      </c>
      <c r="S26" s="95"/>
      <c r="T26" s="67">
        <f t="shared" si="12"/>
        <v>0</v>
      </c>
      <c r="U26" s="67">
        <f t="shared" si="13"/>
        <v>0</v>
      </c>
      <c r="V26" s="67">
        <f t="shared" si="14"/>
        <v>0</v>
      </c>
      <c r="W26" s="95"/>
      <c r="X26" s="65">
        <f t="shared" si="15"/>
        <v>0</v>
      </c>
      <c r="Y26" s="65">
        <f t="shared" si="16"/>
        <v>0</v>
      </c>
      <c r="Z26" s="65">
        <f t="shared" si="17"/>
        <v>0</v>
      </c>
      <c r="AA26" s="65"/>
      <c r="AB26" s="65">
        <f t="shared" si="18"/>
        <v>0</v>
      </c>
      <c r="AC26" s="65">
        <f t="shared" si="19"/>
        <v>0</v>
      </c>
      <c r="AD26" s="65">
        <f t="shared" si="20"/>
        <v>0</v>
      </c>
      <c r="AE26" s="65"/>
      <c r="AF26" s="65">
        <f t="shared" si="21"/>
        <v>0</v>
      </c>
      <c r="AG26" s="65">
        <f t="shared" si="22"/>
        <v>0</v>
      </c>
      <c r="AH26" s="65">
        <f t="shared" si="23"/>
        <v>0</v>
      </c>
      <c r="AI26" s="65"/>
      <c r="AJ26" s="65">
        <f t="shared" si="24"/>
        <v>0</v>
      </c>
      <c r="AK26" s="65">
        <f t="shared" si="25"/>
        <v>0</v>
      </c>
      <c r="AL26" s="65">
        <f t="shared" si="26"/>
        <v>0</v>
      </c>
      <c r="AM26" s="65"/>
      <c r="AN26" s="65">
        <f t="shared" si="27"/>
        <v>0</v>
      </c>
      <c r="AO26" s="65">
        <f t="shared" si="28"/>
        <v>0</v>
      </c>
      <c r="AP26" s="65">
        <f t="shared" si="29"/>
        <v>0</v>
      </c>
      <c r="AQ26" s="65"/>
      <c r="AR26" s="65">
        <f t="shared" si="30"/>
        <v>0</v>
      </c>
      <c r="AS26" s="65">
        <f t="shared" si="31"/>
        <v>0</v>
      </c>
      <c r="AT26" s="65">
        <f t="shared" si="32"/>
        <v>0</v>
      </c>
      <c r="AU26" s="65"/>
      <c r="AV26" s="65">
        <f t="shared" si="33"/>
        <v>0</v>
      </c>
      <c r="AW26" s="65">
        <f t="shared" si="34"/>
        <v>0</v>
      </c>
      <c r="AX26" s="65">
        <f t="shared" si="35"/>
        <v>0</v>
      </c>
      <c r="AY26" s="65"/>
      <c r="AZ26" s="65">
        <f t="shared" si="36"/>
        <v>0</v>
      </c>
      <c r="BA26" s="65">
        <f t="shared" si="37"/>
        <v>0</v>
      </c>
      <c r="BB26" s="65">
        <f t="shared" si="38"/>
        <v>0</v>
      </c>
    </row>
    <row r="27" spans="1:54" x14ac:dyDescent="0.2">
      <c r="A27" s="71"/>
      <c r="B27" s="96" t="s">
        <v>52</v>
      </c>
      <c r="C27" s="95"/>
      <c r="D27" s="67">
        <f t="shared" si="0"/>
        <v>0</v>
      </c>
      <c r="E27" s="67">
        <f t="shared" si="1"/>
        <v>0</v>
      </c>
      <c r="F27" s="67">
        <f t="shared" si="2"/>
        <v>0</v>
      </c>
      <c r="G27" s="95"/>
      <c r="H27" s="67">
        <f t="shared" si="3"/>
        <v>0</v>
      </c>
      <c r="I27" s="67">
        <f t="shared" si="4"/>
        <v>0</v>
      </c>
      <c r="J27" s="67">
        <f t="shared" si="5"/>
        <v>0</v>
      </c>
      <c r="K27" s="95"/>
      <c r="L27" s="67">
        <f t="shared" si="6"/>
        <v>0</v>
      </c>
      <c r="M27" s="67">
        <f t="shared" si="7"/>
        <v>0</v>
      </c>
      <c r="N27" s="67">
        <f t="shared" si="8"/>
        <v>0</v>
      </c>
      <c r="O27" s="95"/>
      <c r="P27" s="67">
        <f t="shared" si="9"/>
        <v>0</v>
      </c>
      <c r="Q27" s="67">
        <f t="shared" si="10"/>
        <v>0</v>
      </c>
      <c r="R27" s="67">
        <f t="shared" si="11"/>
        <v>0</v>
      </c>
      <c r="S27" s="95"/>
      <c r="T27" s="67">
        <f t="shared" si="12"/>
        <v>0</v>
      </c>
      <c r="U27" s="67">
        <f t="shared" si="13"/>
        <v>0</v>
      </c>
      <c r="V27" s="67">
        <f t="shared" si="14"/>
        <v>0</v>
      </c>
      <c r="W27" s="95"/>
      <c r="X27" s="65">
        <f t="shared" si="15"/>
        <v>0</v>
      </c>
      <c r="Y27" s="65">
        <f t="shared" si="16"/>
        <v>0</v>
      </c>
      <c r="Z27" s="65">
        <f t="shared" si="17"/>
        <v>0</v>
      </c>
      <c r="AA27" s="65"/>
      <c r="AB27" s="65">
        <f t="shared" si="18"/>
        <v>0</v>
      </c>
      <c r="AC27" s="65">
        <f t="shared" si="19"/>
        <v>0</v>
      </c>
      <c r="AD27" s="65">
        <f t="shared" si="20"/>
        <v>0</v>
      </c>
      <c r="AE27" s="65"/>
      <c r="AF27" s="65">
        <f t="shared" si="21"/>
        <v>0</v>
      </c>
      <c r="AG27" s="65">
        <f t="shared" si="22"/>
        <v>0</v>
      </c>
      <c r="AH27" s="65">
        <f t="shared" si="23"/>
        <v>0</v>
      </c>
      <c r="AI27" s="65"/>
      <c r="AJ27" s="65">
        <f t="shared" si="24"/>
        <v>0</v>
      </c>
      <c r="AK27" s="65">
        <f t="shared" si="25"/>
        <v>0</v>
      </c>
      <c r="AL27" s="65">
        <f t="shared" si="26"/>
        <v>0</v>
      </c>
      <c r="AM27" s="65"/>
      <c r="AN27" s="65">
        <f t="shared" si="27"/>
        <v>0</v>
      </c>
      <c r="AO27" s="65">
        <f t="shared" si="28"/>
        <v>0</v>
      </c>
      <c r="AP27" s="65">
        <f t="shared" si="29"/>
        <v>0</v>
      </c>
      <c r="AQ27" s="65"/>
      <c r="AR27" s="65">
        <f t="shared" si="30"/>
        <v>0</v>
      </c>
      <c r="AS27" s="65">
        <f t="shared" si="31"/>
        <v>0</v>
      </c>
      <c r="AT27" s="65">
        <f t="shared" si="32"/>
        <v>0</v>
      </c>
      <c r="AU27" s="65"/>
      <c r="AV27" s="65">
        <f t="shared" si="33"/>
        <v>0</v>
      </c>
      <c r="AW27" s="65">
        <f t="shared" si="34"/>
        <v>0</v>
      </c>
      <c r="AX27" s="65">
        <f t="shared" si="35"/>
        <v>0</v>
      </c>
      <c r="AY27" s="65"/>
      <c r="AZ27" s="65">
        <f t="shared" si="36"/>
        <v>0</v>
      </c>
      <c r="BA27" s="65">
        <f t="shared" si="37"/>
        <v>0</v>
      </c>
      <c r="BB27" s="65">
        <f t="shared" si="38"/>
        <v>0</v>
      </c>
    </row>
    <row r="28" spans="1:54" x14ac:dyDescent="0.2">
      <c r="A28" s="71"/>
      <c r="B28" s="96" t="s">
        <v>52</v>
      </c>
      <c r="C28" s="95"/>
      <c r="D28" s="67">
        <f t="shared" si="0"/>
        <v>0</v>
      </c>
      <c r="E28" s="67">
        <f t="shared" si="1"/>
        <v>0</v>
      </c>
      <c r="F28" s="67">
        <f t="shared" si="2"/>
        <v>0</v>
      </c>
      <c r="G28" s="95"/>
      <c r="H28" s="67">
        <f t="shared" si="3"/>
        <v>0</v>
      </c>
      <c r="I28" s="67">
        <f t="shared" si="4"/>
        <v>0</v>
      </c>
      <c r="J28" s="67">
        <f t="shared" si="5"/>
        <v>0</v>
      </c>
      <c r="K28" s="95"/>
      <c r="L28" s="67">
        <f t="shared" si="6"/>
        <v>0</v>
      </c>
      <c r="M28" s="67">
        <f t="shared" si="7"/>
        <v>0</v>
      </c>
      <c r="N28" s="67">
        <f t="shared" si="8"/>
        <v>0</v>
      </c>
      <c r="O28" s="95"/>
      <c r="P28" s="67">
        <f t="shared" si="9"/>
        <v>0</v>
      </c>
      <c r="Q28" s="67">
        <f t="shared" si="10"/>
        <v>0</v>
      </c>
      <c r="R28" s="67">
        <f t="shared" si="11"/>
        <v>0</v>
      </c>
      <c r="S28" s="95"/>
      <c r="T28" s="67">
        <f t="shared" si="12"/>
        <v>0</v>
      </c>
      <c r="U28" s="67">
        <f t="shared" si="13"/>
        <v>0</v>
      </c>
      <c r="V28" s="67">
        <f t="shared" si="14"/>
        <v>0</v>
      </c>
      <c r="W28" s="95"/>
      <c r="X28" s="65">
        <f t="shared" si="15"/>
        <v>0</v>
      </c>
      <c r="Y28" s="65">
        <f t="shared" si="16"/>
        <v>0</v>
      </c>
      <c r="Z28" s="65">
        <f t="shared" si="17"/>
        <v>0</v>
      </c>
      <c r="AA28" s="65"/>
      <c r="AB28" s="65">
        <f t="shared" si="18"/>
        <v>0</v>
      </c>
      <c r="AC28" s="65">
        <f t="shared" si="19"/>
        <v>0</v>
      </c>
      <c r="AD28" s="65">
        <f t="shared" si="20"/>
        <v>0</v>
      </c>
      <c r="AE28" s="65"/>
      <c r="AF28" s="65">
        <f t="shared" si="21"/>
        <v>0</v>
      </c>
      <c r="AG28" s="65">
        <f t="shared" si="22"/>
        <v>0</v>
      </c>
      <c r="AH28" s="65">
        <f t="shared" si="23"/>
        <v>0</v>
      </c>
      <c r="AI28" s="65"/>
      <c r="AJ28" s="65">
        <f t="shared" si="24"/>
        <v>0</v>
      </c>
      <c r="AK28" s="65">
        <f t="shared" si="25"/>
        <v>0</v>
      </c>
      <c r="AL28" s="65">
        <f t="shared" si="26"/>
        <v>0</v>
      </c>
      <c r="AM28" s="65"/>
      <c r="AN28" s="65">
        <f t="shared" si="27"/>
        <v>0</v>
      </c>
      <c r="AO28" s="65">
        <f t="shared" si="28"/>
        <v>0</v>
      </c>
      <c r="AP28" s="65">
        <f t="shared" si="29"/>
        <v>0</v>
      </c>
      <c r="AQ28" s="65"/>
      <c r="AR28" s="65">
        <f t="shared" si="30"/>
        <v>0</v>
      </c>
      <c r="AS28" s="65">
        <f t="shared" si="31"/>
        <v>0</v>
      </c>
      <c r="AT28" s="65">
        <f t="shared" si="32"/>
        <v>0</v>
      </c>
      <c r="AU28" s="65"/>
      <c r="AV28" s="65">
        <f t="shared" si="33"/>
        <v>0</v>
      </c>
      <c r="AW28" s="65">
        <f t="shared" si="34"/>
        <v>0</v>
      </c>
      <c r="AX28" s="65">
        <f t="shared" si="35"/>
        <v>0</v>
      </c>
      <c r="AY28" s="65"/>
      <c r="AZ28" s="65">
        <f t="shared" si="36"/>
        <v>0</v>
      </c>
      <c r="BA28" s="65">
        <f t="shared" si="37"/>
        <v>0</v>
      </c>
      <c r="BB28" s="65">
        <f t="shared" si="38"/>
        <v>0</v>
      </c>
    </row>
    <row r="29" spans="1:54" x14ac:dyDescent="0.2">
      <c r="A29" s="71"/>
      <c r="B29" s="96" t="s">
        <v>52</v>
      </c>
      <c r="C29" s="95"/>
      <c r="D29" s="67">
        <f t="shared" si="0"/>
        <v>0</v>
      </c>
      <c r="E29" s="67">
        <f t="shared" si="1"/>
        <v>0</v>
      </c>
      <c r="F29" s="67">
        <f t="shared" si="2"/>
        <v>0</v>
      </c>
      <c r="G29" s="95"/>
      <c r="H29" s="67">
        <f t="shared" si="3"/>
        <v>0</v>
      </c>
      <c r="I29" s="67">
        <f t="shared" si="4"/>
        <v>0</v>
      </c>
      <c r="J29" s="67">
        <f t="shared" si="5"/>
        <v>0</v>
      </c>
      <c r="K29" s="95"/>
      <c r="L29" s="67">
        <f t="shared" si="6"/>
        <v>0</v>
      </c>
      <c r="M29" s="67">
        <f t="shared" si="7"/>
        <v>0</v>
      </c>
      <c r="N29" s="67">
        <f t="shared" si="8"/>
        <v>0</v>
      </c>
      <c r="O29" s="95"/>
      <c r="P29" s="67">
        <f t="shared" si="9"/>
        <v>0</v>
      </c>
      <c r="Q29" s="67">
        <f t="shared" si="10"/>
        <v>0</v>
      </c>
      <c r="R29" s="67">
        <f t="shared" si="11"/>
        <v>0</v>
      </c>
      <c r="S29" s="95"/>
      <c r="T29" s="67">
        <f t="shared" si="12"/>
        <v>0</v>
      </c>
      <c r="U29" s="67">
        <f t="shared" si="13"/>
        <v>0</v>
      </c>
      <c r="V29" s="67">
        <f t="shared" si="14"/>
        <v>0</v>
      </c>
      <c r="W29" s="95"/>
      <c r="X29" s="65">
        <f t="shared" si="15"/>
        <v>0</v>
      </c>
      <c r="Y29" s="65">
        <f t="shared" si="16"/>
        <v>0</v>
      </c>
      <c r="Z29" s="65">
        <f t="shared" si="17"/>
        <v>0</v>
      </c>
      <c r="AA29" s="65"/>
      <c r="AB29" s="65">
        <f t="shared" si="18"/>
        <v>0</v>
      </c>
      <c r="AC29" s="65">
        <f t="shared" si="19"/>
        <v>0</v>
      </c>
      <c r="AD29" s="65">
        <f t="shared" si="20"/>
        <v>0</v>
      </c>
      <c r="AE29" s="65"/>
      <c r="AF29" s="65">
        <f t="shared" si="21"/>
        <v>0</v>
      </c>
      <c r="AG29" s="65">
        <f t="shared" si="22"/>
        <v>0</v>
      </c>
      <c r="AH29" s="65">
        <f t="shared" si="23"/>
        <v>0</v>
      </c>
      <c r="AI29" s="65"/>
      <c r="AJ29" s="65">
        <f t="shared" si="24"/>
        <v>0</v>
      </c>
      <c r="AK29" s="65">
        <f t="shared" si="25"/>
        <v>0</v>
      </c>
      <c r="AL29" s="65">
        <f t="shared" si="26"/>
        <v>0</v>
      </c>
      <c r="AM29" s="65"/>
      <c r="AN29" s="65">
        <f t="shared" si="27"/>
        <v>0</v>
      </c>
      <c r="AO29" s="65">
        <f t="shared" si="28"/>
        <v>0</v>
      </c>
      <c r="AP29" s="65">
        <f t="shared" si="29"/>
        <v>0</v>
      </c>
      <c r="AQ29" s="65"/>
      <c r="AR29" s="65">
        <f t="shared" si="30"/>
        <v>0</v>
      </c>
      <c r="AS29" s="65">
        <f t="shared" si="31"/>
        <v>0</v>
      </c>
      <c r="AT29" s="65">
        <f t="shared" si="32"/>
        <v>0</v>
      </c>
      <c r="AU29" s="65"/>
      <c r="AV29" s="65">
        <f t="shared" si="33"/>
        <v>0</v>
      </c>
      <c r="AW29" s="65">
        <f t="shared" si="34"/>
        <v>0</v>
      </c>
      <c r="AX29" s="65">
        <f t="shared" si="35"/>
        <v>0</v>
      </c>
      <c r="AY29" s="65"/>
      <c r="AZ29" s="65">
        <f t="shared" si="36"/>
        <v>0</v>
      </c>
      <c r="BA29" s="65">
        <f t="shared" si="37"/>
        <v>0</v>
      </c>
      <c r="BB29" s="65">
        <f t="shared" si="38"/>
        <v>0</v>
      </c>
    </row>
    <row r="30" spans="1:54" x14ac:dyDescent="0.2">
      <c r="A30" s="71"/>
      <c r="B30" s="96" t="s">
        <v>52</v>
      </c>
      <c r="C30" s="95"/>
      <c r="D30" s="67">
        <f t="shared" si="0"/>
        <v>0</v>
      </c>
      <c r="E30" s="67">
        <f t="shared" si="1"/>
        <v>0</v>
      </c>
      <c r="F30" s="67">
        <f t="shared" si="2"/>
        <v>0</v>
      </c>
      <c r="G30" s="95"/>
      <c r="H30" s="67">
        <f t="shared" si="3"/>
        <v>0</v>
      </c>
      <c r="I30" s="67">
        <f t="shared" si="4"/>
        <v>0</v>
      </c>
      <c r="J30" s="67">
        <f t="shared" si="5"/>
        <v>0</v>
      </c>
      <c r="K30" s="95"/>
      <c r="L30" s="67">
        <f t="shared" si="6"/>
        <v>0</v>
      </c>
      <c r="M30" s="67">
        <f t="shared" si="7"/>
        <v>0</v>
      </c>
      <c r="N30" s="67">
        <f t="shared" si="8"/>
        <v>0</v>
      </c>
      <c r="O30" s="95"/>
      <c r="P30" s="67">
        <f t="shared" si="9"/>
        <v>0</v>
      </c>
      <c r="Q30" s="67">
        <f t="shared" si="10"/>
        <v>0</v>
      </c>
      <c r="R30" s="67">
        <f t="shared" si="11"/>
        <v>0</v>
      </c>
      <c r="S30" s="95"/>
      <c r="T30" s="67">
        <f t="shared" si="12"/>
        <v>0</v>
      </c>
      <c r="U30" s="67">
        <f t="shared" si="13"/>
        <v>0</v>
      </c>
      <c r="V30" s="67">
        <f t="shared" si="14"/>
        <v>0</v>
      </c>
      <c r="W30" s="95"/>
      <c r="X30" s="65">
        <f t="shared" si="15"/>
        <v>0</v>
      </c>
      <c r="Y30" s="65">
        <f t="shared" si="16"/>
        <v>0</v>
      </c>
      <c r="Z30" s="65">
        <f t="shared" si="17"/>
        <v>0</v>
      </c>
      <c r="AA30" s="65"/>
      <c r="AB30" s="65">
        <f t="shared" si="18"/>
        <v>0</v>
      </c>
      <c r="AC30" s="65">
        <f t="shared" si="19"/>
        <v>0</v>
      </c>
      <c r="AD30" s="65">
        <f t="shared" si="20"/>
        <v>0</v>
      </c>
      <c r="AE30" s="65"/>
      <c r="AF30" s="65">
        <f t="shared" si="21"/>
        <v>0</v>
      </c>
      <c r="AG30" s="65">
        <f t="shared" si="22"/>
        <v>0</v>
      </c>
      <c r="AH30" s="65">
        <f t="shared" si="23"/>
        <v>0</v>
      </c>
      <c r="AI30" s="65"/>
      <c r="AJ30" s="65">
        <f t="shared" si="24"/>
        <v>0</v>
      </c>
      <c r="AK30" s="65">
        <f t="shared" si="25"/>
        <v>0</v>
      </c>
      <c r="AL30" s="65">
        <f t="shared" si="26"/>
        <v>0</v>
      </c>
      <c r="AM30" s="65"/>
      <c r="AN30" s="65">
        <f t="shared" si="27"/>
        <v>0</v>
      </c>
      <c r="AO30" s="65">
        <f t="shared" si="28"/>
        <v>0</v>
      </c>
      <c r="AP30" s="65">
        <f t="shared" si="29"/>
        <v>0</v>
      </c>
      <c r="AQ30" s="65"/>
      <c r="AR30" s="65">
        <f t="shared" si="30"/>
        <v>0</v>
      </c>
      <c r="AS30" s="65">
        <f t="shared" si="31"/>
        <v>0</v>
      </c>
      <c r="AT30" s="65">
        <f t="shared" si="32"/>
        <v>0</v>
      </c>
      <c r="AU30" s="65"/>
      <c r="AV30" s="65">
        <f t="shared" si="33"/>
        <v>0</v>
      </c>
      <c r="AW30" s="65">
        <f t="shared" si="34"/>
        <v>0</v>
      </c>
      <c r="AX30" s="65">
        <f t="shared" si="35"/>
        <v>0</v>
      </c>
      <c r="AY30" s="65"/>
      <c r="AZ30" s="65">
        <f t="shared" si="36"/>
        <v>0</v>
      </c>
      <c r="BA30" s="65">
        <f t="shared" si="37"/>
        <v>0</v>
      </c>
      <c r="BB30" s="65">
        <f t="shared" si="38"/>
        <v>0</v>
      </c>
    </row>
    <row r="31" spans="1:54" x14ac:dyDescent="0.2">
      <c r="A31" s="71"/>
      <c r="B31" s="96" t="s">
        <v>52</v>
      </c>
      <c r="C31" s="95"/>
      <c r="D31" s="67">
        <f t="shared" si="0"/>
        <v>0</v>
      </c>
      <c r="E31" s="67">
        <f t="shared" si="1"/>
        <v>0</v>
      </c>
      <c r="F31" s="67">
        <f t="shared" si="2"/>
        <v>0</v>
      </c>
      <c r="G31" s="95"/>
      <c r="H31" s="67">
        <f t="shared" si="3"/>
        <v>0</v>
      </c>
      <c r="I31" s="67">
        <f t="shared" si="4"/>
        <v>0</v>
      </c>
      <c r="J31" s="67">
        <f t="shared" si="5"/>
        <v>0</v>
      </c>
      <c r="K31" s="95"/>
      <c r="L31" s="67">
        <f t="shared" si="6"/>
        <v>0</v>
      </c>
      <c r="M31" s="67">
        <f t="shared" si="7"/>
        <v>0</v>
      </c>
      <c r="N31" s="67">
        <f t="shared" si="8"/>
        <v>0</v>
      </c>
      <c r="O31" s="95"/>
      <c r="P31" s="67">
        <f t="shared" si="9"/>
        <v>0</v>
      </c>
      <c r="Q31" s="67">
        <f t="shared" si="10"/>
        <v>0</v>
      </c>
      <c r="R31" s="67">
        <f t="shared" si="11"/>
        <v>0</v>
      </c>
      <c r="S31" s="95"/>
      <c r="T31" s="67">
        <f t="shared" si="12"/>
        <v>0</v>
      </c>
      <c r="U31" s="67">
        <f t="shared" si="13"/>
        <v>0</v>
      </c>
      <c r="V31" s="67">
        <f t="shared" si="14"/>
        <v>0</v>
      </c>
      <c r="W31" s="95"/>
      <c r="X31" s="65">
        <f t="shared" si="15"/>
        <v>0</v>
      </c>
      <c r="Y31" s="65">
        <f t="shared" si="16"/>
        <v>0</v>
      </c>
      <c r="Z31" s="65">
        <f t="shared" si="17"/>
        <v>0</v>
      </c>
      <c r="AA31" s="65"/>
      <c r="AB31" s="65">
        <f t="shared" si="18"/>
        <v>0</v>
      </c>
      <c r="AC31" s="65">
        <f t="shared" si="19"/>
        <v>0</v>
      </c>
      <c r="AD31" s="65">
        <f t="shared" si="20"/>
        <v>0</v>
      </c>
      <c r="AE31" s="65"/>
      <c r="AF31" s="65">
        <f t="shared" si="21"/>
        <v>0</v>
      </c>
      <c r="AG31" s="65">
        <f t="shared" si="22"/>
        <v>0</v>
      </c>
      <c r="AH31" s="65">
        <f t="shared" si="23"/>
        <v>0</v>
      </c>
      <c r="AI31" s="65"/>
      <c r="AJ31" s="65">
        <f t="shared" si="24"/>
        <v>0</v>
      </c>
      <c r="AK31" s="65">
        <f t="shared" si="25"/>
        <v>0</v>
      </c>
      <c r="AL31" s="65">
        <f t="shared" si="26"/>
        <v>0</v>
      </c>
      <c r="AM31" s="65"/>
      <c r="AN31" s="65">
        <f t="shared" si="27"/>
        <v>0</v>
      </c>
      <c r="AO31" s="65">
        <f t="shared" si="28"/>
        <v>0</v>
      </c>
      <c r="AP31" s="65">
        <f t="shared" si="29"/>
        <v>0</v>
      </c>
      <c r="AQ31" s="65"/>
      <c r="AR31" s="65">
        <f t="shared" si="30"/>
        <v>0</v>
      </c>
      <c r="AS31" s="65">
        <f t="shared" si="31"/>
        <v>0</v>
      </c>
      <c r="AT31" s="65">
        <f t="shared" si="32"/>
        <v>0</v>
      </c>
      <c r="AU31" s="65"/>
      <c r="AV31" s="65">
        <f t="shared" si="33"/>
        <v>0</v>
      </c>
      <c r="AW31" s="65">
        <f t="shared" si="34"/>
        <v>0</v>
      </c>
      <c r="AX31" s="65">
        <f t="shared" si="35"/>
        <v>0</v>
      </c>
      <c r="AY31" s="65"/>
      <c r="AZ31" s="65">
        <f t="shared" si="36"/>
        <v>0</v>
      </c>
      <c r="BA31" s="65">
        <f t="shared" si="37"/>
        <v>0</v>
      </c>
      <c r="BB31" s="65">
        <f t="shared" si="38"/>
        <v>0</v>
      </c>
    </row>
    <row r="32" spans="1:54" x14ac:dyDescent="0.2">
      <c r="A32" s="71"/>
      <c r="B32" s="96" t="s">
        <v>52</v>
      </c>
      <c r="C32" s="95"/>
      <c r="D32" s="67">
        <f t="shared" si="0"/>
        <v>0</v>
      </c>
      <c r="E32" s="67">
        <f t="shared" si="1"/>
        <v>0</v>
      </c>
      <c r="F32" s="67">
        <f t="shared" si="2"/>
        <v>0</v>
      </c>
      <c r="G32" s="95"/>
      <c r="H32" s="67">
        <f t="shared" si="3"/>
        <v>0</v>
      </c>
      <c r="I32" s="67">
        <f t="shared" si="4"/>
        <v>0</v>
      </c>
      <c r="J32" s="67">
        <f t="shared" si="5"/>
        <v>0</v>
      </c>
      <c r="K32" s="95"/>
      <c r="L32" s="67">
        <f t="shared" si="6"/>
        <v>0</v>
      </c>
      <c r="M32" s="67">
        <f t="shared" si="7"/>
        <v>0</v>
      </c>
      <c r="N32" s="67">
        <f t="shared" si="8"/>
        <v>0</v>
      </c>
      <c r="O32" s="95"/>
      <c r="P32" s="67">
        <f t="shared" si="9"/>
        <v>0</v>
      </c>
      <c r="Q32" s="67">
        <f t="shared" si="10"/>
        <v>0</v>
      </c>
      <c r="R32" s="67">
        <f t="shared" si="11"/>
        <v>0</v>
      </c>
      <c r="S32" s="95"/>
      <c r="T32" s="67">
        <f t="shared" si="12"/>
        <v>0</v>
      </c>
      <c r="U32" s="67">
        <f t="shared" si="13"/>
        <v>0</v>
      </c>
      <c r="V32" s="67">
        <f t="shared" si="14"/>
        <v>0</v>
      </c>
      <c r="W32" s="95"/>
      <c r="X32" s="65">
        <f t="shared" si="15"/>
        <v>0</v>
      </c>
      <c r="Y32" s="65">
        <f t="shared" si="16"/>
        <v>0</v>
      </c>
      <c r="Z32" s="65">
        <f t="shared" si="17"/>
        <v>0</v>
      </c>
      <c r="AA32" s="65"/>
      <c r="AB32" s="65">
        <f t="shared" si="18"/>
        <v>0</v>
      </c>
      <c r="AC32" s="65">
        <f t="shared" si="19"/>
        <v>0</v>
      </c>
      <c r="AD32" s="65">
        <f t="shared" si="20"/>
        <v>0</v>
      </c>
      <c r="AE32" s="65"/>
      <c r="AF32" s="65">
        <f t="shared" si="21"/>
        <v>0</v>
      </c>
      <c r="AG32" s="65">
        <f t="shared" si="22"/>
        <v>0</v>
      </c>
      <c r="AH32" s="65">
        <f t="shared" si="23"/>
        <v>0</v>
      </c>
      <c r="AI32" s="65"/>
      <c r="AJ32" s="65">
        <f t="shared" si="24"/>
        <v>0</v>
      </c>
      <c r="AK32" s="65">
        <f t="shared" si="25"/>
        <v>0</v>
      </c>
      <c r="AL32" s="65">
        <f t="shared" si="26"/>
        <v>0</v>
      </c>
      <c r="AM32" s="65"/>
      <c r="AN32" s="65">
        <f t="shared" si="27"/>
        <v>0</v>
      </c>
      <c r="AO32" s="65">
        <f t="shared" si="28"/>
        <v>0</v>
      </c>
      <c r="AP32" s="65">
        <f t="shared" si="29"/>
        <v>0</v>
      </c>
      <c r="AQ32" s="65"/>
      <c r="AR32" s="65">
        <f t="shared" si="30"/>
        <v>0</v>
      </c>
      <c r="AS32" s="65">
        <f t="shared" si="31"/>
        <v>0</v>
      </c>
      <c r="AT32" s="65">
        <f t="shared" si="32"/>
        <v>0</v>
      </c>
      <c r="AU32" s="65"/>
      <c r="AV32" s="65">
        <f t="shared" si="33"/>
        <v>0</v>
      </c>
      <c r="AW32" s="65">
        <f t="shared" si="34"/>
        <v>0</v>
      </c>
      <c r="AX32" s="65">
        <f t="shared" si="35"/>
        <v>0</v>
      </c>
      <c r="AY32" s="65"/>
      <c r="AZ32" s="65">
        <f t="shared" si="36"/>
        <v>0</v>
      </c>
      <c r="BA32" s="65">
        <f t="shared" si="37"/>
        <v>0</v>
      </c>
      <c r="BB32" s="65">
        <f t="shared" si="38"/>
        <v>0</v>
      </c>
    </row>
    <row r="33" spans="1:54" x14ac:dyDescent="0.2">
      <c r="A33" s="71"/>
      <c r="B33" s="96" t="s">
        <v>52</v>
      </c>
      <c r="C33" s="95"/>
      <c r="D33" s="67">
        <f t="shared" si="0"/>
        <v>0</v>
      </c>
      <c r="E33" s="67">
        <f t="shared" si="1"/>
        <v>0</v>
      </c>
      <c r="F33" s="67">
        <f t="shared" si="2"/>
        <v>0</v>
      </c>
      <c r="G33" s="95"/>
      <c r="H33" s="67">
        <f t="shared" si="3"/>
        <v>0</v>
      </c>
      <c r="I33" s="67">
        <f t="shared" si="4"/>
        <v>0</v>
      </c>
      <c r="J33" s="67">
        <f t="shared" si="5"/>
        <v>0</v>
      </c>
      <c r="K33" s="95"/>
      <c r="L33" s="67">
        <f t="shared" si="6"/>
        <v>0</v>
      </c>
      <c r="M33" s="67">
        <f t="shared" si="7"/>
        <v>0</v>
      </c>
      <c r="N33" s="67">
        <f t="shared" si="8"/>
        <v>0</v>
      </c>
      <c r="O33" s="95"/>
      <c r="P33" s="67">
        <f t="shared" si="9"/>
        <v>0</v>
      </c>
      <c r="Q33" s="67">
        <f t="shared" si="10"/>
        <v>0</v>
      </c>
      <c r="R33" s="67">
        <f t="shared" si="11"/>
        <v>0</v>
      </c>
      <c r="S33" s="95"/>
      <c r="T33" s="67">
        <f t="shared" si="12"/>
        <v>0</v>
      </c>
      <c r="U33" s="67">
        <f t="shared" si="13"/>
        <v>0</v>
      </c>
      <c r="V33" s="67">
        <f t="shared" si="14"/>
        <v>0</v>
      </c>
      <c r="W33" s="95"/>
      <c r="X33" s="65">
        <f t="shared" si="15"/>
        <v>0</v>
      </c>
      <c r="Y33" s="65">
        <f t="shared" si="16"/>
        <v>0</v>
      </c>
      <c r="Z33" s="65">
        <f t="shared" si="17"/>
        <v>0</v>
      </c>
      <c r="AA33" s="65"/>
      <c r="AB33" s="65">
        <f t="shared" si="18"/>
        <v>0</v>
      </c>
      <c r="AC33" s="65">
        <f t="shared" si="19"/>
        <v>0</v>
      </c>
      <c r="AD33" s="65">
        <f t="shared" si="20"/>
        <v>0</v>
      </c>
      <c r="AE33" s="65"/>
      <c r="AF33" s="65">
        <f t="shared" si="21"/>
        <v>0</v>
      </c>
      <c r="AG33" s="65">
        <f t="shared" si="22"/>
        <v>0</v>
      </c>
      <c r="AH33" s="65">
        <f t="shared" si="23"/>
        <v>0</v>
      </c>
      <c r="AI33" s="65"/>
      <c r="AJ33" s="65">
        <f t="shared" si="24"/>
        <v>0</v>
      </c>
      <c r="AK33" s="65">
        <f t="shared" si="25"/>
        <v>0</v>
      </c>
      <c r="AL33" s="65">
        <f t="shared" si="26"/>
        <v>0</v>
      </c>
      <c r="AM33" s="65"/>
      <c r="AN33" s="65">
        <f t="shared" si="27"/>
        <v>0</v>
      </c>
      <c r="AO33" s="65">
        <f t="shared" si="28"/>
        <v>0</v>
      </c>
      <c r="AP33" s="65">
        <f t="shared" si="29"/>
        <v>0</v>
      </c>
      <c r="AQ33" s="65"/>
      <c r="AR33" s="65">
        <f t="shared" si="30"/>
        <v>0</v>
      </c>
      <c r="AS33" s="65">
        <f t="shared" si="31"/>
        <v>0</v>
      </c>
      <c r="AT33" s="65">
        <f t="shared" si="32"/>
        <v>0</v>
      </c>
      <c r="AU33" s="65"/>
      <c r="AV33" s="65">
        <f t="shared" si="33"/>
        <v>0</v>
      </c>
      <c r="AW33" s="65">
        <f t="shared" si="34"/>
        <v>0</v>
      </c>
      <c r="AX33" s="65">
        <f t="shared" si="35"/>
        <v>0</v>
      </c>
      <c r="AY33" s="65"/>
      <c r="AZ33" s="65">
        <f t="shared" si="36"/>
        <v>0</v>
      </c>
      <c r="BA33" s="65">
        <f t="shared" si="37"/>
        <v>0</v>
      </c>
      <c r="BB33" s="65">
        <f t="shared" si="38"/>
        <v>0</v>
      </c>
    </row>
    <row r="34" spans="1:54" x14ac:dyDescent="0.2">
      <c r="A34" s="71"/>
      <c r="B34" s="96" t="s">
        <v>52</v>
      </c>
      <c r="C34" s="95"/>
      <c r="D34" s="67">
        <f t="shared" si="0"/>
        <v>0</v>
      </c>
      <c r="E34" s="67">
        <f t="shared" si="1"/>
        <v>0</v>
      </c>
      <c r="F34" s="67">
        <f t="shared" si="2"/>
        <v>0</v>
      </c>
      <c r="G34" s="95"/>
      <c r="H34" s="67">
        <f t="shared" si="3"/>
        <v>0</v>
      </c>
      <c r="I34" s="67">
        <f t="shared" si="4"/>
        <v>0</v>
      </c>
      <c r="J34" s="67">
        <f t="shared" si="5"/>
        <v>0</v>
      </c>
      <c r="K34" s="95"/>
      <c r="L34" s="67">
        <f t="shared" si="6"/>
        <v>0</v>
      </c>
      <c r="M34" s="67">
        <f t="shared" si="7"/>
        <v>0</v>
      </c>
      <c r="N34" s="67">
        <f t="shared" si="8"/>
        <v>0</v>
      </c>
      <c r="O34" s="95"/>
      <c r="P34" s="67">
        <f t="shared" si="9"/>
        <v>0</v>
      </c>
      <c r="Q34" s="67">
        <f t="shared" si="10"/>
        <v>0</v>
      </c>
      <c r="R34" s="67">
        <f t="shared" si="11"/>
        <v>0</v>
      </c>
      <c r="S34" s="95"/>
      <c r="T34" s="67">
        <f t="shared" si="12"/>
        <v>0</v>
      </c>
      <c r="U34" s="67">
        <f t="shared" si="13"/>
        <v>0</v>
      </c>
      <c r="V34" s="67">
        <f t="shared" si="14"/>
        <v>0</v>
      </c>
      <c r="W34" s="95"/>
      <c r="X34" s="65">
        <f t="shared" si="15"/>
        <v>0</v>
      </c>
      <c r="Y34" s="65">
        <f t="shared" si="16"/>
        <v>0</v>
      </c>
      <c r="Z34" s="65">
        <f t="shared" si="17"/>
        <v>0</v>
      </c>
      <c r="AA34" s="65"/>
      <c r="AB34" s="65">
        <f t="shared" si="18"/>
        <v>0</v>
      </c>
      <c r="AC34" s="65">
        <f t="shared" si="19"/>
        <v>0</v>
      </c>
      <c r="AD34" s="65">
        <f t="shared" si="20"/>
        <v>0</v>
      </c>
      <c r="AE34" s="65"/>
      <c r="AF34" s="65">
        <f t="shared" si="21"/>
        <v>0</v>
      </c>
      <c r="AG34" s="65">
        <f t="shared" si="22"/>
        <v>0</v>
      </c>
      <c r="AH34" s="65">
        <f t="shared" si="23"/>
        <v>0</v>
      </c>
      <c r="AI34" s="65"/>
      <c r="AJ34" s="65">
        <f t="shared" si="24"/>
        <v>0</v>
      </c>
      <c r="AK34" s="65">
        <f t="shared" si="25"/>
        <v>0</v>
      </c>
      <c r="AL34" s="65">
        <f t="shared" si="26"/>
        <v>0</v>
      </c>
      <c r="AM34" s="65"/>
      <c r="AN34" s="65">
        <f t="shared" si="27"/>
        <v>0</v>
      </c>
      <c r="AO34" s="65">
        <f t="shared" si="28"/>
        <v>0</v>
      </c>
      <c r="AP34" s="65">
        <f t="shared" si="29"/>
        <v>0</v>
      </c>
      <c r="AQ34" s="65"/>
      <c r="AR34" s="65">
        <f t="shared" si="30"/>
        <v>0</v>
      </c>
      <c r="AS34" s="65">
        <f t="shared" si="31"/>
        <v>0</v>
      </c>
      <c r="AT34" s="65">
        <f t="shared" si="32"/>
        <v>0</v>
      </c>
      <c r="AU34" s="65"/>
      <c r="AV34" s="65">
        <f t="shared" si="33"/>
        <v>0</v>
      </c>
      <c r="AW34" s="65">
        <f t="shared" si="34"/>
        <v>0</v>
      </c>
      <c r="AX34" s="65">
        <f t="shared" si="35"/>
        <v>0</v>
      </c>
      <c r="AY34" s="65"/>
      <c r="AZ34" s="65">
        <f t="shared" si="36"/>
        <v>0</v>
      </c>
      <c r="BA34" s="65">
        <f t="shared" si="37"/>
        <v>0</v>
      </c>
      <c r="BB34" s="65">
        <f t="shared" si="38"/>
        <v>0</v>
      </c>
    </row>
    <row r="35" spans="1:54" x14ac:dyDescent="0.2">
      <c r="A35" s="71"/>
      <c r="B35" s="96" t="s">
        <v>52</v>
      </c>
      <c r="C35" s="95"/>
      <c r="D35" s="67">
        <f t="shared" si="0"/>
        <v>0</v>
      </c>
      <c r="E35" s="67">
        <f t="shared" si="1"/>
        <v>0</v>
      </c>
      <c r="F35" s="67">
        <f t="shared" si="2"/>
        <v>0</v>
      </c>
      <c r="G35" s="95"/>
      <c r="H35" s="67">
        <f t="shared" si="3"/>
        <v>0</v>
      </c>
      <c r="I35" s="67">
        <f t="shared" si="4"/>
        <v>0</v>
      </c>
      <c r="J35" s="67">
        <f t="shared" si="5"/>
        <v>0</v>
      </c>
      <c r="K35" s="95"/>
      <c r="L35" s="67">
        <f t="shared" si="6"/>
        <v>0</v>
      </c>
      <c r="M35" s="67">
        <f t="shared" si="7"/>
        <v>0</v>
      </c>
      <c r="N35" s="67">
        <f t="shared" si="8"/>
        <v>0</v>
      </c>
      <c r="O35" s="95"/>
      <c r="P35" s="67">
        <f t="shared" si="9"/>
        <v>0</v>
      </c>
      <c r="Q35" s="67">
        <f t="shared" si="10"/>
        <v>0</v>
      </c>
      <c r="R35" s="67">
        <f t="shared" si="11"/>
        <v>0</v>
      </c>
      <c r="S35" s="95"/>
      <c r="T35" s="67">
        <f t="shared" si="12"/>
        <v>0</v>
      </c>
      <c r="U35" s="67">
        <f t="shared" si="13"/>
        <v>0</v>
      </c>
      <c r="V35" s="67">
        <f t="shared" si="14"/>
        <v>0</v>
      </c>
      <c r="W35" s="95"/>
      <c r="X35" s="65">
        <f t="shared" si="15"/>
        <v>0</v>
      </c>
      <c r="Y35" s="65">
        <f t="shared" si="16"/>
        <v>0</v>
      </c>
      <c r="Z35" s="65">
        <f t="shared" si="17"/>
        <v>0</v>
      </c>
      <c r="AA35" s="65"/>
      <c r="AB35" s="65">
        <f t="shared" si="18"/>
        <v>0</v>
      </c>
      <c r="AC35" s="65">
        <f t="shared" si="19"/>
        <v>0</v>
      </c>
      <c r="AD35" s="65">
        <f t="shared" si="20"/>
        <v>0</v>
      </c>
      <c r="AE35" s="65"/>
      <c r="AF35" s="65">
        <f t="shared" si="21"/>
        <v>0</v>
      </c>
      <c r="AG35" s="65">
        <f t="shared" si="22"/>
        <v>0</v>
      </c>
      <c r="AH35" s="65">
        <f t="shared" si="23"/>
        <v>0</v>
      </c>
      <c r="AI35" s="65"/>
      <c r="AJ35" s="65">
        <f t="shared" si="24"/>
        <v>0</v>
      </c>
      <c r="AK35" s="65">
        <f t="shared" si="25"/>
        <v>0</v>
      </c>
      <c r="AL35" s="65">
        <f t="shared" si="26"/>
        <v>0</v>
      </c>
      <c r="AM35" s="65"/>
      <c r="AN35" s="65">
        <f t="shared" si="27"/>
        <v>0</v>
      </c>
      <c r="AO35" s="65">
        <f t="shared" si="28"/>
        <v>0</v>
      </c>
      <c r="AP35" s="65">
        <f t="shared" si="29"/>
        <v>0</v>
      </c>
      <c r="AQ35" s="65"/>
      <c r="AR35" s="65">
        <f t="shared" si="30"/>
        <v>0</v>
      </c>
      <c r="AS35" s="65">
        <f t="shared" si="31"/>
        <v>0</v>
      </c>
      <c r="AT35" s="65">
        <f t="shared" si="32"/>
        <v>0</v>
      </c>
      <c r="AU35" s="65"/>
      <c r="AV35" s="65">
        <f t="shared" si="33"/>
        <v>0</v>
      </c>
      <c r="AW35" s="65">
        <f t="shared" si="34"/>
        <v>0</v>
      </c>
      <c r="AX35" s="65">
        <f t="shared" si="35"/>
        <v>0</v>
      </c>
      <c r="AY35" s="65"/>
      <c r="AZ35" s="65">
        <f t="shared" si="36"/>
        <v>0</v>
      </c>
      <c r="BA35" s="65">
        <f t="shared" si="37"/>
        <v>0</v>
      </c>
      <c r="BB35" s="65">
        <f t="shared" si="38"/>
        <v>0</v>
      </c>
    </row>
    <row r="36" spans="1:54" x14ac:dyDescent="0.2">
      <c r="A36" s="71"/>
      <c r="B36" s="96" t="s">
        <v>52</v>
      </c>
      <c r="C36" s="95"/>
      <c r="D36" s="67">
        <f t="shared" si="0"/>
        <v>0</v>
      </c>
      <c r="E36" s="67">
        <f t="shared" si="1"/>
        <v>0</v>
      </c>
      <c r="F36" s="67">
        <f t="shared" si="2"/>
        <v>0</v>
      </c>
      <c r="G36" s="95"/>
      <c r="H36" s="67">
        <f t="shared" si="3"/>
        <v>0</v>
      </c>
      <c r="I36" s="67">
        <f t="shared" si="4"/>
        <v>0</v>
      </c>
      <c r="J36" s="67">
        <f t="shared" si="5"/>
        <v>0</v>
      </c>
      <c r="K36" s="95"/>
      <c r="L36" s="67">
        <f t="shared" si="6"/>
        <v>0</v>
      </c>
      <c r="M36" s="67">
        <f t="shared" si="7"/>
        <v>0</v>
      </c>
      <c r="N36" s="67">
        <f t="shared" si="8"/>
        <v>0</v>
      </c>
      <c r="O36" s="95"/>
      <c r="P36" s="67">
        <f t="shared" si="9"/>
        <v>0</v>
      </c>
      <c r="Q36" s="67">
        <f t="shared" si="10"/>
        <v>0</v>
      </c>
      <c r="R36" s="67">
        <f t="shared" si="11"/>
        <v>0</v>
      </c>
      <c r="S36" s="95"/>
      <c r="T36" s="67">
        <f t="shared" si="12"/>
        <v>0</v>
      </c>
      <c r="U36" s="67">
        <f t="shared" si="13"/>
        <v>0</v>
      </c>
      <c r="V36" s="67">
        <f t="shared" si="14"/>
        <v>0</v>
      </c>
      <c r="W36" s="95"/>
      <c r="X36" s="65">
        <f t="shared" si="15"/>
        <v>0</v>
      </c>
      <c r="Y36" s="65">
        <f t="shared" si="16"/>
        <v>0</v>
      </c>
      <c r="Z36" s="65">
        <f t="shared" si="17"/>
        <v>0</v>
      </c>
      <c r="AA36" s="65"/>
      <c r="AB36" s="65">
        <f t="shared" si="18"/>
        <v>0</v>
      </c>
      <c r="AC36" s="65">
        <f t="shared" si="19"/>
        <v>0</v>
      </c>
      <c r="AD36" s="65">
        <f t="shared" si="20"/>
        <v>0</v>
      </c>
      <c r="AE36" s="65"/>
      <c r="AF36" s="65">
        <f t="shared" si="21"/>
        <v>0</v>
      </c>
      <c r="AG36" s="65">
        <f t="shared" si="22"/>
        <v>0</v>
      </c>
      <c r="AH36" s="65">
        <f t="shared" si="23"/>
        <v>0</v>
      </c>
      <c r="AI36" s="65"/>
      <c r="AJ36" s="65">
        <f t="shared" si="24"/>
        <v>0</v>
      </c>
      <c r="AK36" s="65">
        <f t="shared" si="25"/>
        <v>0</v>
      </c>
      <c r="AL36" s="65">
        <f t="shared" si="26"/>
        <v>0</v>
      </c>
      <c r="AM36" s="65"/>
      <c r="AN36" s="65">
        <f t="shared" si="27"/>
        <v>0</v>
      </c>
      <c r="AO36" s="65">
        <f t="shared" si="28"/>
        <v>0</v>
      </c>
      <c r="AP36" s="65">
        <f t="shared" si="29"/>
        <v>0</v>
      </c>
      <c r="AQ36" s="65"/>
      <c r="AR36" s="65">
        <f t="shared" si="30"/>
        <v>0</v>
      </c>
      <c r="AS36" s="65">
        <f t="shared" si="31"/>
        <v>0</v>
      </c>
      <c r="AT36" s="65">
        <f t="shared" si="32"/>
        <v>0</v>
      </c>
      <c r="AU36" s="65"/>
      <c r="AV36" s="65">
        <f t="shared" si="33"/>
        <v>0</v>
      </c>
      <c r="AW36" s="65">
        <f t="shared" si="34"/>
        <v>0</v>
      </c>
      <c r="AX36" s="65">
        <f t="shared" si="35"/>
        <v>0</v>
      </c>
      <c r="AY36" s="65"/>
      <c r="AZ36" s="65">
        <f t="shared" si="36"/>
        <v>0</v>
      </c>
      <c r="BA36" s="65">
        <f t="shared" si="37"/>
        <v>0</v>
      </c>
      <c r="BB36" s="65">
        <f t="shared" si="38"/>
        <v>0</v>
      </c>
    </row>
    <row r="37" spans="1:54" x14ac:dyDescent="0.2">
      <c r="A37" s="71"/>
      <c r="B37" s="96" t="s">
        <v>52</v>
      </c>
      <c r="C37" s="95"/>
      <c r="D37" s="67">
        <f t="shared" si="0"/>
        <v>0</v>
      </c>
      <c r="E37" s="67">
        <f t="shared" si="1"/>
        <v>0</v>
      </c>
      <c r="F37" s="67">
        <f t="shared" si="2"/>
        <v>0</v>
      </c>
      <c r="G37" s="95"/>
      <c r="H37" s="67">
        <f t="shared" si="3"/>
        <v>0</v>
      </c>
      <c r="I37" s="67">
        <f t="shared" si="4"/>
        <v>0</v>
      </c>
      <c r="J37" s="67">
        <f t="shared" si="5"/>
        <v>0</v>
      </c>
      <c r="K37" s="95"/>
      <c r="L37" s="67">
        <f t="shared" si="6"/>
        <v>0</v>
      </c>
      <c r="M37" s="67">
        <f t="shared" si="7"/>
        <v>0</v>
      </c>
      <c r="N37" s="67">
        <f t="shared" si="8"/>
        <v>0</v>
      </c>
      <c r="O37" s="95"/>
      <c r="P37" s="67">
        <f t="shared" si="9"/>
        <v>0</v>
      </c>
      <c r="Q37" s="67">
        <f t="shared" si="10"/>
        <v>0</v>
      </c>
      <c r="R37" s="67">
        <f t="shared" si="11"/>
        <v>0</v>
      </c>
      <c r="S37" s="95"/>
      <c r="T37" s="67">
        <f t="shared" si="12"/>
        <v>0</v>
      </c>
      <c r="U37" s="67">
        <f t="shared" si="13"/>
        <v>0</v>
      </c>
      <c r="V37" s="67">
        <f t="shared" si="14"/>
        <v>0</v>
      </c>
      <c r="W37" s="95"/>
      <c r="X37" s="65">
        <f t="shared" si="15"/>
        <v>0</v>
      </c>
      <c r="Y37" s="65">
        <f t="shared" si="16"/>
        <v>0</v>
      </c>
      <c r="Z37" s="65">
        <f t="shared" si="17"/>
        <v>0</v>
      </c>
      <c r="AA37" s="65"/>
      <c r="AB37" s="65">
        <f t="shared" si="18"/>
        <v>0</v>
      </c>
      <c r="AC37" s="65">
        <f t="shared" si="19"/>
        <v>0</v>
      </c>
      <c r="AD37" s="65">
        <f t="shared" si="20"/>
        <v>0</v>
      </c>
      <c r="AE37" s="65"/>
      <c r="AF37" s="65">
        <f t="shared" si="21"/>
        <v>0</v>
      </c>
      <c r="AG37" s="65">
        <f t="shared" si="22"/>
        <v>0</v>
      </c>
      <c r="AH37" s="65">
        <f t="shared" si="23"/>
        <v>0</v>
      </c>
      <c r="AI37" s="65"/>
      <c r="AJ37" s="65">
        <f t="shared" si="24"/>
        <v>0</v>
      </c>
      <c r="AK37" s="65">
        <f t="shared" si="25"/>
        <v>0</v>
      </c>
      <c r="AL37" s="65">
        <f t="shared" si="26"/>
        <v>0</v>
      </c>
      <c r="AM37" s="65"/>
      <c r="AN37" s="65">
        <f t="shared" si="27"/>
        <v>0</v>
      </c>
      <c r="AO37" s="65">
        <f t="shared" si="28"/>
        <v>0</v>
      </c>
      <c r="AP37" s="65">
        <f t="shared" si="29"/>
        <v>0</v>
      </c>
      <c r="AQ37" s="65"/>
      <c r="AR37" s="65">
        <f t="shared" si="30"/>
        <v>0</v>
      </c>
      <c r="AS37" s="65">
        <f t="shared" si="31"/>
        <v>0</v>
      </c>
      <c r="AT37" s="65">
        <f t="shared" si="32"/>
        <v>0</v>
      </c>
      <c r="AU37" s="65"/>
      <c r="AV37" s="65">
        <f t="shared" si="33"/>
        <v>0</v>
      </c>
      <c r="AW37" s="65">
        <f t="shared" si="34"/>
        <v>0</v>
      </c>
      <c r="AX37" s="65">
        <f t="shared" si="35"/>
        <v>0</v>
      </c>
      <c r="AY37" s="65"/>
      <c r="AZ37" s="65">
        <f t="shared" si="36"/>
        <v>0</v>
      </c>
      <c r="BA37" s="65">
        <f t="shared" si="37"/>
        <v>0</v>
      </c>
      <c r="BB37" s="65">
        <f t="shared" si="38"/>
        <v>0</v>
      </c>
    </row>
    <row r="38" spans="1:54" x14ac:dyDescent="0.2">
      <c r="A38" s="71"/>
      <c r="B38" s="96" t="s">
        <v>52</v>
      </c>
      <c r="C38" s="95"/>
      <c r="D38" s="67">
        <f t="shared" si="0"/>
        <v>0</v>
      </c>
      <c r="E38" s="67">
        <f t="shared" si="1"/>
        <v>0</v>
      </c>
      <c r="F38" s="67">
        <f t="shared" si="2"/>
        <v>0</v>
      </c>
      <c r="G38" s="95"/>
      <c r="H38" s="67">
        <f t="shared" si="3"/>
        <v>0</v>
      </c>
      <c r="I38" s="67">
        <f t="shared" si="4"/>
        <v>0</v>
      </c>
      <c r="J38" s="67">
        <f t="shared" si="5"/>
        <v>0</v>
      </c>
      <c r="K38" s="95"/>
      <c r="L38" s="67">
        <f t="shared" si="6"/>
        <v>0</v>
      </c>
      <c r="M38" s="67">
        <f t="shared" si="7"/>
        <v>0</v>
      </c>
      <c r="N38" s="67">
        <f t="shared" si="8"/>
        <v>0</v>
      </c>
      <c r="O38" s="95"/>
      <c r="P38" s="67">
        <f t="shared" si="9"/>
        <v>0</v>
      </c>
      <c r="Q38" s="67">
        <f t="shared" si="10"/>
        <v>0</v>
      </c>
      <c r="R38" s="67">
        <f t="shared" si="11"/>
        <v>0</v>
      </c>
      <c r="S38" s="95"/>
      <c r="T38" s="67">
        <f t="shared" si="12"/>
        <v>0</v>
      </c>
      <c r="U38" s="67">
        <f t="shared" si="13"/>
        <v>0</v>
      </c>
      <c r="V38" s="67">
        <f t="shared" si="14"/>
        <v>0</v>
      </c>
      <c r="W38" s="95"/>
      <c r="X38" s="65">
        <f t="shared" si="15"/>
        <v>0</v>
      </c>
      <c r="Y38" s="65">
        <f t="shared" si="16"/>
        <v>0</v>
      </c>
      <c r="Z38" s="65">
        <f t="shared" si="17"/>
        <v>0</v>
      </c>
      <c r="AA38" s="65"/>
      <c r="AB38" s="65">
        <f t="shared" si="18"/>
        <v>0</v>
      </c>
      <c r="AC38" s="65">
        <f t="shared" si="19"/>
        <v>0</v>
      </c>
      <c r="AD38" s="65">
        <f t="shared" si="20"/>
        <v>0</v>
      </c>
      <c r="AE38" s="65"/>
      <c r="AF38" s="65">
        <f t="shared" si="21"/>
        <v>0</v>
      </c>
      <c r="AG38" s="65">
        <f t="shared" si="22"/>
        <v>0</v>
      </c>
      <c r="AH38" s="65">
        <f t="shared" si="23"/>
        <v>0</v>
      </c>
      <c r="AI38" s="65"/>
      <c r="AJ38" s="65">
        <f t="shared" si="24"/>
        <v>0</v>
      </c>
      <c r="AK38" s="65">
        <f t="shared" si="25"/>
        <v>0</v>
      </c>
      <c r="AL38" s="65">
        <f t="shared" si="26"/>
        <v>0</v>
      </c>
      <c r="AM38" s="65"/>
      <c r="AN38" s="65">
        <f t="shared" si="27"/>
        <v>0</v>
      </c>
      <c r="AO38" s="65">
        <f t="shared" si="28"/>
        <v>0</v>
      </c>
      <c r="AP38" s="65">
        <f t="shared" si="29"/>
        <v>0</v>
      </c>
      <c r="AQ38" s="65"/>
      <c r="AR38" s="65">
        <f t="shared" si="30"/>
        <v>0</v>
      </c>
      <c r="AS38" s="65">
        <f t="shared" si="31"/>
        <v>0</v>
      </c>
      <c r="AT38" s="65">
        <f t="shared" si="32"/>
        <v>0</v>
      </c>
      <c r="AU38" s="65"/>
      <c r="AV38" s="65">
        <f t="shared" si="33"/>
        <v>0</v>
      </c>
      <c r="AW38" s="65">
        <f t="shared" si="34"/>
        <v>0</v>
      </c>
      <c r="AX38" s="65">
        <f t="shared" si="35"/>
        <v>0</v>
      </c>
      <c r="AY38" s="65"/>
      <c r="AZ38" s="65">
        <f t="shared" si="36"/>
        <v>0</v>
      </c>
      <c r="BA38" s="65">
        <f t="shared" si="37"/>
        <v>0</v>
      </c>
      <c r="BB38" s="65">
        <f t="shared" si="38"/>
        <v>0</v>
      </c>
    </row>
    <row r="39" spans="1:54" x14ac:dyDescent="0.2">
      <c r="A39" s="71"/>
      <c r="B39" s="96" t="s">
        <v>52</v>
      </c>
      <c r="C39" s="95"/>
      <c r="D39" s="67">
        <f t="shared" si="0"/>
        <v>0</v>
      </c>
      <c r="E39" s="67">
        <f t="shared" si="1"/>
        <v>0</v>
      </c>
      <c r="F39" s="67">
        <f t="shared" si="2"/>
        <v>0</v>
      </c>
      <c r="G39" s="95"/>
      <c r="H39" s="67">
        <f t="shared" si="3"/>
        <v>0</v>
      </c>
      <c r="I39" s="67">
        <f t="shared" si="4"/>
        <v>0</v>
      </c>
      <c r="J39" s="67">
        <f t="shared" si="5"/>
        <v>0</v>
      </c>
      <c r="K39" s="95"/>
      <c r="L39" s="67">
        <f t="shared" si="6"/>
        <v>0</v>
      </c>
      <c r="M39" s="67">
        <f t="shared" si="7"/>
        <v>0</v>
      </c>
      <c r="N39" s="67">
        <f t="shared" si="8"/>
        <v>0</v>
      </c>
      <c r="O39" s="95"/>
      <c r="P39" s="67">
        <f t="shared" si="9"/>
        <v>0</v>
      </c>
      <c r="Q39" s="67">
        <f t="shared" si="10"/>
        <v>0</v>
      </c>
      <c r="R39" s="67">
        <f t="shared" si="11"/>
        <v>0</v>
      </c>
      <c r="S39" s="95"/>
      <c r="T39" s="67">
        <f t="shared" si="12"/>
        <v>0</v>
      </c>
      <c r="U39" s="67">
        <f t="shared" si="13"/>
        <v>0</v>
      </c>
      <c r="V39" s="67">
        <f t="shared" si="14"/>
        <v>0</v>
      </c>
      <c r="W39" s="95"/>
      <c r="X39" s="65">
        <f t="shared" si="15"/>
        <v>0</v>
      </c>
      <c r="Y39" s="65">
        <f t="shared" si="16"/>
        <v>0</v>
      </c>
      <c r="Z39" s="65">
        <f t="shared" si="17"/>
        <v>0</v>
      </c>
      <c r="AA39" s="65"/>
      <c r="AB39" s="65">
        <f t="shared" si="18"/>
        <v>0</v>
      </c>
      <c r="AC39" s="65">
        <f t="shared" si="19"/>
        <v>0</v>
      </c>
      <c r="AD39" s="65">
        <f t="shared" si="20"/>
        <v>0</v>
      </c>
      <c r="AE39" s="65"/>
      <c r="AF39" s="65">
        <f t="shared" si="21"/>
        <v>0</v>
      </c>
      <c r="AG39" s="65">
        <f t="shared" si="22"/>
        <v>0</v>
      </c>
      <c r="AH39" s="65">
        <f t="shared" si="23"/>
        <v>0</v>
      </c>
      <c r="AI39" s="65"/>
      <c r="AJ39" s="65">
        <f t="shared" si="24"/>
        <v>0</v>
      </c>
      <c r="AK39" s="65">
        <f t="shared" si="25"/>
        <v>0</v>
      </c>
      <c r="AL39" s="65">
        <f t="shared" si="26"/>
        <v>0</v>
      </c>
      <c r="AM39" s="65"/>
      <c r="AN39" s="65">
        <f t="shared" si="27"/>
        <v>0</v>
      </c>
      <c r="AO39" s="65">
        <f t="shared" si="28"/>
        <v>0</v>
      </c>
      <c r="AP39" s="65">
        <f t="shared" si="29"/>
        <v>0</v>
      </c>
      <c r="AQ39" s="65"/>
      <c r="AR39" s="65">
        <f t="shared" si="30"/>
        <v>0</v>
      </c>
      <c r="AS39" s="65">
        <f t="shared" si="31"/>
        <v>0</v>
      </c>
      <c r="AT39" s="65">
        <f t="shared" si="32"/>
        <v>0</v>
      </c>
      <c r="AU39" s="65"/>
      <c r="AV39" s="65">
        <f t="shared" si="33"/>
        <v>0</v>
      </c>
      <c r="AW39" s="65">
        <f t="shared" si="34"/>
        <v>0</v>
      </c>
      <c r="AX39" s="65">
        <f t="shared" si="35"/>
        <v>0</v>
      </c>
      <c r="AY39" s="65"/>
      <c r="AZ39" s="65">
        <f t="shared" si="36"/>
        <v>0</v>
      </c>
      <c r="BA39" s="65">
        <f t="shared" si="37"/>
        <v>0</v>
      </c>
      <c r="BB39" s="65">
        <f t="shared" si="38"/>
        <v>0</v>
      </c>
    </row>
    <row r="40" spans="1:54" x14ac:dyDescent="0.2">
      <c r="A40" s="71"/>
      <c r="B40" s="96" t="s">
        <v>52</v>
      </c>
      <c r="C40" s="95"/>
      <c r="D40" s="67">
        <f t="shared" si="0"/>
        <v>0</v>
      </c>
      <c r="E40" s="67">
        <f t="shared" si="1"/>
        <v>0</v>
      </c>
      <c r="F40" s="67">
        <f t="shared" si="2"/>
        <v>0</v>
      </c>
      <c r="G40" s="95"/>
      <c r="H40" s="67">
        <f t="shared" si="3"/>
        <v>0</v>
      </c>
      <c r="I40" s="67">
        <f t="shared" si="4"/>
        <v>0</v>
      </c>
      <c r="J40" s="67">
        <f t="shared" si="5"/>
        <v>0</v>
      </c>
      <c r="K40" s="95"/>
      <c r="L40" s="67">
        <f t="shared" si="6"/>
        <v>0</v>
      </c>
      <c r="M40" s="67">
        <f t="shared" si="7"/>
        <v>0</v>
      </c>
      <c r="N40" s="67">
        <f t="shared" si="8"/>
        <v>0</v>
      </c>
      <c r="O40" s="95"/>
      <c r="P40" s="67">
        <f t="shared" si="9"/>
        <v>0</v>
      </c>
      <c r="Q40" s="67">
        <f t="shared" si="10"/>
        <v>0</v>
      </c>
      <c r="R40" s="67">
        <f t="shared" si="11"/>
        <v>0</v>
      </c>
      <c r="S40" s="95"/>
      <c r="T40" s="67">
        <f t="shared" si="12"/>
        <v>0</v>
      </c>
      <c r="U40" s="67">
        <f t="shared" si="13"/>
        <v>0</v>
      </c>
      <c r="V40" s="67">
        <f t="shared" si="14"/>
        <v>0</v>
      </c>
      <c r="W40" s="95"/>
      <c r="X40" s="65">
        <f t="shared" si="15"/>
        <v>0</v>
      </c>
      <c r="Y40" s="65">
        <f t="shared" si="16"/>
        <v>0</v>
      </c>
      <c r="Z40" s="65">
        <f t="shared" si="17"/>
        <v>0</v>
      </c>
      <c r="AA40" s="65"/>
      <c r="AB40" s="65">
        <f t="shared" si="18"/>
        <v>0</v>
      </c>
      <c r="AC40" s="65">
        <f t="shared" si="19"/>
        <v>0</v>
      </c>
      <c r="AD40" s="65">
        <f t="shared" si="20"/>
        <v>0</v>
      </c>
      <c r="AE40" s="65"/>
      <c r="AF40" s="65">
        <f t="shared" si="21"/>
        <v>0</v>
      </c>
      <c r="AG40" s="65">
        <f t="shared" si="22"/>
        <v>0</v>
      </c>
      <c r="AH40" s="65">
        <f t="shared" si="23"/>
        <v>0</v>
      </c>
      <c r="AI40" s="65"/>
      <c r="AJ40" s="65">
        <f t="shared" si="24"/>
        <v>0</v>
      </c>
      <c r="AK40" s="65">
        <f t="shared" si="25"/>
        <v>0</v>
      </c>
      <c r="AL40" s="65">
        <f t="shared" si="26"/>
        <v>0</v>
      </c>
      <c r="AM40" s="65"/>
      <c r="AN40" s="65">
        <f t="shared" si="27"/>
        <v>0</v>
      </c>
      <c r="AO40" s="65">
        <f t="shared" si="28"/>
        <v>0</v>
      </c>
      <c r="AP40" s="65">
        <f t="shared" si="29"/>
        <v>0</v>
      </c>
      <c r="AQ40" s="65"/>
      <c r="AR40" s="65">
        <f t="shared" si="30"/>
        <v>0</v>
      </c>
      <c r="AS40" s="65">
        <f t="shared" si="31"/>
        <v>0</v>
      </c>
      <c r="AT40" s="65">
        <f t="shared" si="32"/>
        <v>0</v>
      </c>
      <c r="AU40" s="65"/>
      <c r="AV40" s="65">
        <f t="shared" si="33"/>
        <v>0</v>
      </c>
      <c r="AW40" s="65">
        <f t="shared" si="34"/>
        <v>0</v>
      </c>
      <c r="AX40" s="65">
        <f t="shared" si="35"/>
        <v>0</v>
      </c>
      <c r="AY40" s="65"/>
      <c r="AZ40" s="65">
        <f t="shared" si="36"/>
        <v>0</v>
      </c>
      <c r="BA40" s="65">
        <f t="shared" si="37"/>
        <v>0</v>
      </c>
      <c r="BB40" s="65">
        <f t="shared" si="38"/>
        <v>0</v>
      </c>
    </row>
    <row r="41" spans="1:54" x14ac:dyDescent="0.2">
      <c r="A41" s="71"/>
      <c r="B41" s="96" t="s">
        <v>52</v>
      </c>
      <c r="C41" s="95"/>
      <c r="D41" s="67">
        <f t="shared" si="0"/>
        <v>0</v>
      </c>
      <c r="E41" s="67">
        <f t="shared" si="1"/>
        <v>0</v>
      </c>
      <c r="F41" s="67">
        <f t="shared" si="2"/>
        <v>0</v>
      </c>
      <c r="G41" s="95"/>
      <c r="H41" s="67">
        <f t="shared" si="3"/>
        <v>0</v>
      </c>
      <c r="I41" s="67">
        <f t="shared" si="4"/>
        <v>0</v>
      </c>
      <c r="J41" s="67">
        <f t="shared" si="5"/>
        <v>0</v>
      </c>
      <c r="K41" s="95"/>
      <c r="L41" s="67">
        <f t="shared" si="6"/>
        <v>0</v>
      </c>
      <c r="M41" s="67">
        <f t="shared" si="7"/>
        <v>0</v>
      </c>
      <c r="N41" s="67">
        <f t="shared" si="8"/>
        <v>0</v>
      </c>
      <c r="O41" s="95"/>
      <c r="P41" s="67">
        <f t="shared" si="9"/>
        <v>0</v>
      </c>
      <c r="Q41" s="67">
        <f t="shared" si="10"/>
        <v>0</v>
      </c>
      <c r="R41" s="67">
        <f t="shared" si="11"/>
        <v>0</v>
      </c>
      <c r="S41" s="95"/>
      <c r="T41" s="67">
        <f t="shared" si="12"/>
        <v>0</v>
      </c>
      <c r="U41" s="67">
        <f t="shared" si="13"/>
        <v>0</v>
      </c>
      <c r="V41" s="67">
        <f t="shared" si="14"/>
        <v>0</v>
      </c>
      <c r="W41" s="95"/>
      <c r="X41" s="65">
        <f t="shared" si="15"/>
        <v>0</v>
      </c>
      <c r="Y41" s="65">
        <f t="shared" si="16"/>
        <v>0</v>
      </c>
      <c r="Z41" s="65">
        <f t="shared" si="17"/>
        <v>0</v>
      </c>
      <c r="AA41" s="65"/>
      <c r="AB41" s="65">
        <f t="shared" si="18"/>
        <v>0</v>
      </c>
      <c r="AC41" s="65">
        <f t="shared" si="19"/>
        <v>0</v>
      </c>
      <c r="AD41" s="65">
        <f t="shared" si="20"/>
        <v>0</v>
      </c>
      <c r="AE41" s="65"/>
      <c r="AF41" s="65">
        <f t="shared" si="21"/>
        <v>0</v>
      </c>
      <c r="AG41" s="65">
        <f t="shared" si="22"/>
        <v>0</v>
      </c>
      <c r="AH41" s="65">
        <f t="shared" si="23"/>
        <v>0</v>
      </c>
      <c r="AI41" s="65"/>
      <c r="AJ41" s="65">
        <f t="shared" si="24"/>
        <v>0</v>
      </c>
      <c r="AK41" s="65">
        <f t="shared" si="25"/>
        <v>0</v>
      </c>
      <c r="AL41" s="65">
        <f t="shared" si="26"/>
        <v>0</v>
      </c>
      <c r="AM41" s="65"/>
      <c r="AN41" s="65">
        <f t="shared" si="27"/>
        <v>0</v>
      </c>
      <c r="AO41" s="65">
        <f t="shared" si="28"/>
        <v>0</v>
      </c>
      <c r="AP41" s="65">
        <f t="shared" si="29"/>
        <v>0</v>
      </c>
      <c r="AQ41" s="65"/>
      <c r="AR41" s="65">
        <f t="shared" si="30"/>
        <v>0</v>
      </c>
      <c r="AS41" s="65">
        <f t="shared" si="31"/>
        <v>0</v>
      </c>
      <c r="AT41" s="65">
        <f t="shared" si="32"/>
        <v>0</v>
      </c>
      <c r="AU41" s="65"/>
      <c r="AV41" s="65">
        <f t="shared" si="33"/>
        <v>0</v>
      </c>
      <c r="AW41" s="65">
        <f t="shared" si="34"/>
        <v>0</v>
      </c>
      <c r="AX41" s="65">
        <f t="shared" si="35"/>
        <v>0</v>
      </c>
      <c r="AY41" s="65"/>
      <c r="AZ41" s="65">
        <f t="shared" si="36"/>
        <v>0</v>
      </c>
      <c r="BA41" s="65">
        <f t="shared" si="37"/>
        <v>0</v>
      </c>
      <c r="BB41" s="65">
        <f t="shared" si="38"/>
        <v>0</v>
      </c>
    </row>
    <row r="42" spans="1:54" x14ac:dyDescent="0.2">
      <c r="A42" s="71"/>
      <c r="B42" s="96" t="s">
        <v>52</v>
      </c>
      <c r="C42" s="95"/>
      <c r="D42" s="67">
        <f t="shared" si="0"/>
        <v>0</v>
      </c>
      <c r="E42" s="67">
        <f t="shared" si="1"/>
        <v>0</v>
      </c>
      <c r="F42" s="67">
        <f t="shared" si="2"/>
        <v>0</v>
      </c>
      <c r="G42" s="95"/>
      <c r="H42" s="67">
        <f t="shared" si="3"/>
        <v>0</v>
      </c>
      <c r="I42" s="67">
        <f t="shared" si="4"/>
        <v>0</v>
      </c>
      <c r="J42" s="67">
        <f t="shared" si="5"/>
        <v>0</v>
      </c>
      <c r="K42" s="95"/>
      <c r="L42" s="67">
        <f t="shared" si="6"/>
        <v>0</v>
      </c>
      <c r="M42" s="67">
        <f t="shared" si="7"/>
        <v>0</v>
      </c>
      <c r="N42" s="67">
        <f t="shared" si="8"/>
        <v>0</v>
      </c>
      <c r="O42" s="95"/>
      <c r="P42" s="67">
        <f t="shared" si="9"/>
        <v>0</v>
      </c>
      <c r="Q42" s="67">
        <f t="shared" si="10"/>
        <v>0</v>
      </c>
      <c r="R42" s="67">
        <f t="shared" si="11"/>
        <v>0</v>
      </c>
      <c r="S42" s="95"/>
      <c r="T42" s="67">
        <f t="shared" si="12"/>
        <v>0</v>
      </c>
      <c r="U42" s="67">
        <f t="shared" si="13"/>
        <v>0</v>
      </c>
      <c r="V42" s="67">
        <f t="shared" si="14"/>
        <v>0</v>
      </c>
      <c r="W42" s="95"/>
      <c r="X42" s="65">
        <f t="shared" si="15"/>
        <v>0</v>
      </c>
      <c r="Y42" s="65">
        <f t="shared" si="16"/>
        <v>0</v>
      </c>
      <c r="Z42" s="65">
        <f t="shared" si="17"/>
        <v>0</v>
      </c>
      <c r="AA42" s="65"/>
      <c r="AB42" s="65">
        <f t="shared" si="18"/>
        <v>0</v>
      </c>
      <c r="AC42" s="65">
        <f t="shared" si="19"/>
        <v>0</v>
      </c>
      <c r="AD42" s="65">
        <f t="shared" si="20"/>
        <v>0</v>
      </c>
      <c r="AE42" s="65"/>
      <c r="AF42" s="65">
        <f t="shared" si="21"/>
        <v>0</v>
      </c>
      <c r="AG42" s="65">
        <f t="shared" si="22"/>
        <v>0</v>
      </c>
      <c r="AH42" s="65">
        <f t="shared" si="23"/>
        <v>0</v>
      </c>
      <c r="AI42" s="65"/>
      <c r="AJ42" s="65">
        <f t="shared" si="24"/>
        <v>0</v>
      </c>
      <c r="AK42" s="65">
        <f t="shared" si="25"/>
        <v>0</v>
      </c>
      <c r="AL42" s="65">
        <f t="shared" si="26"/>
        <v>0</v>
      </c>
      <c r="AM42" s="65"/>
      <c r="AN42" s="65">
        <f t="shared" si="27"/>
        <v>0</v>
      </c>
      <c r="AO42" s="65">
        <f t="shared" si="28"/>
        <v>0</v>
      </c>
      <c r="AP42" s="65">
        <f t="shared" si="29"/>
        <v>0</v>
      </c>
      <c r="AQ42" s="65"/>
      <c r="AR42" s="65">
        <f t="shared" si="30"/>
        <v>0</v>
      </c>
      <c r="AS42" s="65">
        <f t="shared" si="31"/>
        <v>0</v>
      </c>
      <c r="AT42" s="65">
        <f t="shared" si="32"/>
        <v>0</v>
      </c>
      <c r="AU42" s="65"/>
      <c r="AV42" s="65">
        <f t="shared" si="33"/>
        <v>0</v>
      </c>
      <c r="AW42" s="65">
        <f t="shared" si="34"/>
        <v>0</v>
      </c>
      <c r="AX42" s="65">
        <f t="shared" si="35"/>
        <v>0</v>
      </c>
      <c r="AY42" s="65"/>
      <c r="AZ42" s="65">
        <f t="shared" si="36"/>
        <v>0</v>
      </c>
      <c r="BA42" s="65">
        <f t="shared" si="37"/>
        <v>0</v>
      </c>
      <c r="BB42" s="65">
        <f t="shared" si="38"/>
        <v>0</v>
      </c>
    </row>
    <row r="43" spans="1:54" x14ac:dyDescent="0.2">
      <c r="A43" s="71"/>
      <c r="B43" s="96" t="s">
        <v>52</v>
      </c>
      <c r="C43" s="95"/>
      <c r="D43" s="67">
        <f t="shared" si="0"/>
        <v>0</v>
      </c>
      <c r="E43" s="67">
        <f t="shared" si="1"/>
        <v>0</v>
      </c>
      <c r="F43" s="67">
        <f t="shared" si="2"/>
        <v>0</v>
      </c>
      <c r="G43" s="95"/>
      <c r="H43" s="67">
        <f t="shared" si="3"/>
        <v>0</v>
      </c>
      <c r="I43" s="67">
        <f t="shared" si="4"/>
        <v>0</v>
      </c>
      <c r="J43" s="67">
        <f t="shared" si="5"/>
        <v>0</v>
      </c>
      <c r="K43" s="95"/>
      <c r="L43" s="67">
        <f t="shared" si="6"/>
        <v>0</v>
      </c>
      <c r="M43" s="67">
        <f t="shared" si="7"/>
        <v>0</v>
      </c>
      <c r="N43" s="67">
        <f t="shared" si="8"/>
        <v>0</v>
      </c>
      <c r="O43" s="95"/>
      <c r="P43" s="67">
        <f t="shared" si="9"/>
        <v>0</v>
      </c>
      <c r="Q43" s="67">
        <f t="shared" si="10"/>
        <v>0</v>
      </c>
      <c r="R43" s="67">
        <f t="shared" si="11"/>
        <v>0</v>
      </c>
      <c r="S43" s="95"/>
      <c r="T43" s="67">
        <f t="shared" si="12"/>
        <v>0</v>
      </c>
      <c r="U43" s="67">
        <f t="shared" si="13"/>
        <v>0</v>
      </c>
      <c r="V43" s="67">
        <f t="shared" si="14"/>
        <v>0</v>
      </c>
      <c r="W43" s="95"/>
      <c r="X43" s="65">
        <f t="shared" si="15"/>
        <v>0</v>
      </c>
      <c r="Y43" s="65">
        <f t="shared" si="16"/>
        <v>0</v>
      </c>
      <c r="Z43" s="65">
        <f t="shared" si="17"/>
        <v>0</v>
      </c>
      <c r="AA43" s="65"/>
      <c r="AB43" s="65">
        <f t="shared" si="18"/>
        <v>0</v>
      </c>
      <c r="AC43" s="65">
        <f t="shared" si="19"/>
        <v>0</v>
      </c>
      <c r="AD43" s="65">
        <f t="shared" si="20"/>
        <v>0</v>
      </c>
      <c r="AE43" s="65"/>
      <c r="AF43" s="65">
        <f t="shared" si="21"/>
        <v>0</v>
      </c>
      <c r="AG43" s="65">
        <f t="shared" si="22"/>
        <v>0</v>
      </c>
      <c r="AH43" s="65">
        <f t="shared" si="23"/>
        <v>0</v>
      </c>
      <c r="AI43" s="65"/>
      <c r="AJ43" s="65">
        <f t="shared" si="24"/>
        <v>0</v>
      </c>
      <c r="AK43" s="65">
        <f t="shared" si="25"/>
        <v>0</v>
      </c>
      <c r="AL43" s="65">
        <f t="shared" si="26"/>
        <v>0</v>
      </c>
      <c r="AM43" s="65"/>
      <c r="AN43" s="65">
        <f t="shared" si="27"/>
        <v>0</v>
      </c>
      <c r="AO43" s="65">
        <f t="shared" si="28"/>
        <v>0</v>
      </c>
      <c r="AP43" s="65">
        <f t="shared" si="29"/>
        <v>0</v>
      </c>
      <c r="AQ43" s="65"/>
      <c r="AR43" s="65">
        <f t="shared" si="30"/>
        <v>0</v>
      </c>
      <c r="AS43" s="65">
        <f t="shared" si="31"/>
        <v>0</v>
      </c>
      <c r="AT43" s="65">
        <f t="shared" si="32"/>
        <v>0</v>
      </c>
      <c r="AU43" s="65"/>
      <c r="AV43" s="65">
        <f t="shared" si="33"/>
        <v>0</v>
      </c>
      <c r="AW43" s="65">
        <f t="shared" si="34"/>
        <v>0</v>
      </c>
      <c r="AX43" s="65">
        <f t="shared" si="35"/>
        <v>0</v>
      </c>
      <c r="AY43" s="65"/>
      <c r="AZ43" s="65">
        <f t="shared" si="36"/>
        <v>0</v>
      </c>
      <c r="BA43" s="65">
        <f t="shared" si="37"/>
        <v>0</v>
      </c>
      <c r="BB43" s="65">
        <f t="shared" si="38"/>
        <v>0</v>
      </c>
    </row>
    <row r="44" spans="1:54" x14ac:dyDescent="0.2">
      <c r="A44" s="71"/>
      <c r="B44" s="96" t="s">
        <v>52</v>
      </c>
      <c r="C44" s="95"/>
      <c r="D44" s="67">
        <f t="shared" si="0"/>
        <v>0</v>
      </c>
      <c r="E44" s="67">
        <f t="shared" si="1"/>
        <v>0</v>
      </c>
      <c r="F44" s="67">
        <f t="shared" si="2"/>
        <v>0</v>
      </c>
      <c r="G44" s="95"/>
      <c r="H44" s="67">
        <f t="shared" si="3"/>
        <v>0</v>
      </c>
      <c r="I44" s="67">
        <f t="shared" si="4"/>
        <v>0</v>
      </c>
      <c r="J44" s="67">
        <f t="shared" si="5"/>
        <v>0</v>
      </c>
      <c r="K44" s="95"/>
      <c r="L44" s="67">
        <f t="shared" si="6"/>
        <v>0</v>
      </c>
      <c r="M44" s="67">
        <f t="shared" si="7"/>
        <v>0</v>
      </c>
      <c r="N44" s="67">
        <f t="shared" si="8"/>
        <v>0</v>
      </c>
      <c r="O44" s="95"/>
      <c r="P44" s="67">
        <f t="shared" si="9"/>
        <v>0</v>
      </c>
      <c r="Q44" s="67">
        <f t="shared" si="10"/>
        <v>0</v>
      </c>
      <c r="R44" s="67">
        <f t="shared" si="11"/>
        <v>0</v>
      </c>
      <c r="S44" s="95"/>
      <c r="T44" s="67">
        <f t="shared" si="12"/>
        <v>0</v>
      </c>
      <c r="U44" s="67">
        <f t="shared" si="13"/>
        <v>0</v>
      </c>
      <c r="V44" s="67">
        <f t="shared" si="14"/>
        <v>0</v>
      </c>
      <c r="W44" s="95"/>
      <c r="X44" s="65">
        <f t="shared" si="15"/>
        <v>0</v>
      </c>
      <c r="Y44" s="65">
        <f t="shared" si="16"/>
        <v>0</v>
      </c>
      <c r="Z44" s="65">
        <f t="shared" si="17"/>
        <v>0</v>
      </c>
      <c r="AA44" s="65"/>
      <c r="AB44" s="65">
        <f t="shared" si="18"/>
        <v>0</v>
      </c>
      <c r="AC44" s="65">
        <f t="shared" si="19"/>
        <v>0</v>
      </c>
      <c r="AD44" s="65">
        <f t="shared" si="20"/>
        <v>0</v>
      </c>
      <c r="AE44" s="65"/>
      <c r="AF44" s="65">
        <f t="shared" si="21"/>
        <v>0</v>
      </c>
      <c r="AG44" s="65">
        <f t="shared" si="22"/>
        <v>0</v>
      </c>
      <c r="AH44" s="65">
        <f t="shared" si="23"/>
        <v>0</v>
      </c>
      <c r="AI44" s="65"/>
      <c r="AJ44" s="65">
        <f t="shared" si="24"/>
        <v>0</v>
      </c>
      <c r="AK44" s="65">
        <f t="shared" si="25"/>
        <v>0</v>
      </c>
      <c r="AL44" s="65">
        <f t="shared" si="26"/>
        <v>0</v>
      </c>
      <c r="AM44" s="65"/>
      <c r="AN44" s="65">
        <f t="shared" si="27"/>
        <v>0</v>
      </c>
      <c r="AO44" s="65">
        <f t="shared" si="28"/>
        <v>0</v>
      </c>
      <c r="AP44" s="65">
        <f t="shared" si="29"/>
        <v>0</v>
      </c>
      <c r="AQ44" s="65"/>
      <c r="AR44" s="65">
        <f t="shared" si="30"/>
        <v>0</v>
      </c>
      <c r="AS44" s="65">
        <f t="shared" si="31"/>
        <v>0</v>
      </c>
      <c r="AT44" s="65">
        <f t="shared" si="32"/>
        <v>0</v>
      </c>
      <c r="AU44" s="65"/>
      <c r="AV44" s="65">
        <f t="shared" si="33"/>
        <v>0</v>
      </c>
      <c r="AW44" s="65">
        <f t="shared" si="34"/>
        <v>0</v>
      </c>
      <c r="AX44" s="65">
        <f t="shared" si="35"/>
        <v>0</v>
      </c>
      <c r="AY44" s="65"/>
      <c r="AZ44" s="65">
        <f t="shared" si="36"/>
        <v>0</v>
      </c>
      <c r="BA44" s="65">
        <f t="shared" si="37"/>
        <v>0</v>
      </c>
      <c r="BB44" s="65">
        <f t="shared" si="38"/>
        <v>0</v>
      </c>
    </row>
    <row r="45" spans="1:54" x14ac:dyDescent="0.2">
      <c r="A45" s="71"/>
      <c r="B45" s="96" t="s">
        <v>52</v>
      </c>
      <c r="C45" s="95"/>
      <c r="D45" s="67">
        <f t="shared" si="0"/>
        <v>0</v>
      </c>
      <c r="E45" s="67">
        <f t="shared" si="1"/>
        <v>0</v>
      </c>
      <c r="F45" s="67">
        <f t="shared" si="2"/>
        <v>0</v>
      </c>
      <c r="G45" s="95"/>
      <c r="H45" s="67">
        <f t="shared" si="3"/>
        <v>0</v>
      </c>
      <c r="I45" s="67">
        <f t="shared" si="4"/>
        <v>0</v>
      </c>
      <c r="J45" s="67">
        <f t="shared" si="5"/>
        <v>0</v>
      </c>
      <c r="K45" s="95"/>
      <c r="L45" s="67">
        <f t="shared" si="6"/>
        <v>0</v>
      </c>
      <c r="M45" s="67">
        <f t="shared" si="7"/>
        <v>0</v>
      </c>
      <c r="N45" s="67">
        <f t="shared" si="8"/>
        <v>0</v>
      </c>
      <c r="O45" s="95"/>
      <c r="P45" s="67">
        <f t="shared" si="9"/>
        <v>0</v>
      </c>
      <c r="Q45" s="67">
        <f t="shared" si="10"/>
        <v>0</v>
      </c>
      <c r="R45" s="67">
        <f t="shared" si="11"/>
        <v>0</v>
      </c>
      <c r="S45" s="95"/>
      <c r="T45" s="67">
        <f t="shared" si="12"/>
        <v>0</v>
      </c>
      <c r="U45" s="67">
        <f t="shared" si="13"/>
        <v>0</v>
      </c>
      <c r="V45" s="67">
        <f t="shared" si="14"/>
        <v>0</v>
      </c>
      <c r="W45" s="95"/>
      <c r="X45" s="65">
        <f t="shared" si="15"/>
        <v>0</v>
      </c>
      <c r="Y45" s="65">
        <f t="shared" si="16"/>
        <v>0</v>
      </c>
      <c r="Z45" s="65">
        <f t="shared" si="17"/>
        <v>0</v>
      </c>
      <c r="AA45" s="65"/>
      <c r="AB45" s="65">
        <f t="shared" si="18"/>
        <v>0</v>
      </c>
      <c r="AC45" s="65">
        <f t="shared" si="19"/>
        <v>0</v>
      </c>
      <c r="AD45" s="65">
        <f t="shared" si="20"/>
        <v>0</v>
      </c>
      <c r="AE45" s="65"/>
      <c r="AF45" s="65">
        <f t="shared" si="21"/>
        <v>0</v>
      </c>
      <c r="AG45" s="65">
        <f t="shared" si="22"/>
        <v>0</v>
      </c>
      <c r="AH45" s="65">
        <f t="shared" si="23"/>
        <v>0</v>
      </c>
      <c r="AI45" s="65"/>
      <c r="AJ45" s="65">
        <f t="shared" si="24"/>
        <v>0</v>
      </c>
      <c r="AK45" s="65">
        <f t="shared" si="25"/>
        <v>0</v>
      </c>
      <c r="AL45" s="65">
        <f t="shared" si="26"/>
        <v>0</v>
      </c>
      <c r="AM45" s="65"/>
      <c r="AN45" s="65">
        <f t="shared" si="27"/>
        <v>0</v>
      </c>
      <c r="AO45" s="65">
        <f t="shared" si="28"/>
        <v>0</v>
      </c>
      <c r="AP45" s="65">
        <f t="shared" si="29"/>
        <v>0</v>
      </c>
      <c r="AQ45" s="65"/>
      <c r="AR45" s="65">
        <f t="shared" si="30"/>
        <v>0</v>
      </c>
      <c r="AS45" s="65">
        <f t="shared" si="31"/>
        <v>0</v>
      </c>
      <c r="AT45" s="65">
        <f t="shared" si="32"/>
        <v>0</v>
      </c>
      <c r="AU45" s="65"/>
      <c r="AV45" s="65">
        <f t="shared" si="33"/>
        <v>0</v>
      </c>
      <c r="AW45" s="65">
        <f t="shared" si="34"/>
        <v>0</v>
      </c>
      <c r="AX45" s="65">
        <f t="shared" si="35"/>
        <v>0</v>
      </c>
      <c r="AY45" s="65"/>
      <c r="AZ45" s="65">
        <f t="shared" si="36"/>
        <v>0</v>
      </c>
      <c r="BA45" s="65">
        <f t="shared" si="37"/>
        <v>0</v>
      </c>
      <c r="BB45" s="65">
        <f t="shared" si="38"/>
        <v>0</v>
      </c>
    </row>
    <row r="46" spans="1:54" x14ac:dyDescent="0.2">
      <c r="A46" s="71"/>
      <c r="B46" s="96" t="s">
        <v>52</v>
      </c>
      <c r="C46" s="95"/>
      <c r="D46" s="67">
        <f t="shared" si="0"/>
        <v>0</v>
      </c>
      <c r="E46" s="67">
        <f t="shared" si="1"/>
        <v>0</v>
      </c>
      <c r="F46" s="67">
        <f t="shared" si="2"/>
        <v>0</v>
      </c>
      <c r="G46" s="95"/>
      <c r="H46" s="67">
        <f t="shared" si="3"/>
        <v>0</v>
      </c>
      <c r="I46" s="67">
        <f t="shared" si="4"/>
        <v>0</v>
      </c>
      <c r="J46" s="67">
        <f t="shared" si="5"/>
        <v>0</v>
      </c>
      <c r="K46" s="95"/>
      <c r="L46" s="67">
        <f t="shared" si="6"/>
        <v>0</v>
      </c>
      <c r="M46" s="67">
        <f t="shared" si="7"/>
        <v>0</v>
      </c>
      <c r="N46" s="67">
        <f t="shared" si="8"/>
        <v>0</v>
      </c>
      <c r="O46" s="95"/>
      <c r="P46" s="67">
        <f t="shared" si="9"/>
        <v>0</v>
      </c>
      <c r="Q46" s="67">
        <f t="shared" si="10"/>
        <v>0</v>
      </c>
      <c r="R46" s="67">
        <f t="shared" si="11"/>
        <v>0</v>
      </c>
      <c r="S46" s="95"/>
      <c r="T46" s="67">
        <f t="shared" si="12"/>
        <v>0</v>
      </c>
      <c r="U46" s="67">
        <f t="shared" si="13"/>
        <v>0</v>
      </c>
      <c r="V46" s="67">
        <f t="shared" si="14"/>
        <v>0</v>
      </c>
      <c r="W46" s="95"/>
      <c r="X46" s="65">
        <f t="shared" si="15"/>
        <v>0</v>
      </c>
      <c r="Y46" s="65">
        <f t="shared" si="16"/>
        <v>0</v>
      </c>
      <c r="Z46" s="65">
        <f t="shared" si="17"/>
        <v>0</v>
      </c>
      <c r="AA46" s="65"/>
      <c r="AB46" s="65">
        <f t="shared" si="18"/>
        <v>0</v>
      </c>
      <c r="AC46" s="65">
        <f t="shared" si="19"/>
        <v>0</v>
      </c>
      <c r="AD46" s="65">
        <f t="shared" si="20"/>
        <v>0</v>
      </c>
      <c r="AE46" s="65"/>
      <c r="AF46" s="65">
        <f t="shared" si="21"/>
        <v>0</v>
      </c>
      <c r="AG46" s="65">
        <f t="shared" si="22"/>
        <v>0</v>
      </c>
      <c r="AH46" s="65">
        <f t="shared" si="23"/>
        <v>0</v>
      </c>
      <c r="AI46" s="65"/>
      <c r="AJ46" s="65">
        <f t="shared" si="24"/>
        <v>0</v>
      </c>
      <c r="AK46" s="65">
        <f t="shared" si="25"/>
        <v>0</v>
      </c>
      <c r="AL46" s="65">
        <f t="shared" si="26"/>
        <v>0</v>
      </c>
      <c r="AM46" s="65"/>
      <c r="AN46" s="65">
        <f t="shared" si="27"/>
        <v>0</v>
      </c>
      <c r="AO46" s="65">
        <f t="shared" si="28"/>
        <v>0</v>
      </c>
      <c r="AP46" s="65">
        <f t="shared" si="29"/>
        <v>0</v>
      </c>
      <c r="AQ46" s="65"/>
      <c r="AR46" s="65">
        <f t="shared" si="30"/>
        <v>0</v>
      </c>
      <c r="AS46" s="65">
        <f t="shared" si="31"/>
        <v>0</v>
      </c>
      <c r="AT46" s="65">
        <f t="shared" si="32"/>
        <v>0</v>
      </c>
      <c r="AU46" s="65"/>
      <c r="AV46" s="65">
        <f t="shared" si="33"/>
        <v>0</v>
      </c>
      <c r="AW46" s="65">
        <f t="shared" si="34"/>
        <v>0</v>
      </c>
      <c r="AX46" s="65">
        <f t="shared" si="35"/>
        <v>0</v>
      </c>
      <c r="AY46" s="65"/>
      <c r="AZ46" s="65">
        <f t="shared" si="36"/>
        <v>0</v>
      </c>
      <c r="BA46" s="65">
        <f t="shared" si="37"/>
        <v>0</v>
      </c>
      <c r="BB46" s="65">
        <f t="shared" si="38"/>
        <v>0</v>
      </c>
    </row>
    <row r="47" spans="1:54" x14ac:dyDescent="0.2">
      <c r="A47" s="71"/>
      <c r="B47" s="96" t="s">
        <v>52</v>
      </c>
      <c r="C47" s="95"/>
      <c r="D47" s="67">
        <f t="shared" si="0"/>
        <v>0</v>
      </c>
      <c r="E47" s="67">
        <f t="shared" si="1"/>
        <v>0</v>
      </c>
      <c r="F47" s="67">
        <f t="shared" si="2"/>
        <v>0</v>
      </c>
      <c r="G47" s="95"/>
      <c r="H47" s="67">
        <f t="shared" si="3"/>
        <v>0</v>
      </c>
      <c r="I47" s="67">
        <f t="shared" si="4"/>
        <v>0</v>
      </c>
      <c r="J47" s="67">
        <f t="shared" si="5"/>
        <v>0</v>
      </c>
      <c r="K47" s="95"/>
      <c r="L47" s="67">
        <f t="shared" si="6"/>
        <v>0</v>
      </c>
      <c r="M47" s="67">
        <f t="shared" si="7"/>
        <v>0</v>
      </c>
      <c r="N47" s="67">
        <f t="shared" si="8"/>
        <v>0</v>
      </c>
      <c r="O47" s="95"/>
      <c r="P47" s="67">
        <f t="shared" si="9"/>
        <v>0</v>
      </c>
      <c r="Q47" s="67">
        <f t="shared" si="10"/>
        <v>0</v>
      </c>
      <c r="R47" s="67">
        <f t="shared" si="11"/>
        <v>0</v>
      </c>
      <c r="S47" s="95"/>
      <c r="T47" s="67">
        <f t="shared" si="12"/>
        <v>0</v>
      </c>
      <c r="U47" s="67">
        <f t="shared" si="13"/>
        <v>0</v>
      </c>
      <c r="V47" s="67">
        <f t="shared" si="14"/>
        <v>0</v>
      </c>
      <c r="W47" s="95"/>
      <c r="X47" s="65">
        <f t="shared" si="15"/>
        <v>0</v>
      </c>
      <c r="Y47" s="65">
        <f t="shared" si="16"/>
        <v>0</v>
      </c>
      <c r="Z47" s="65">
        <f t="shared" si="17"/>
        <v>0</v>
      </c>
      <c r="AA47" s="65"/>
      <c r="AB47" s="65">
        <f t="shared" si="18"/>
        <v>0</v>
      </c>
      <c r="AC47" s="65">
        <f t="shared" si="19"/>
        <v>0</v>
      </c>
      <c r="AD47" s="65">
        <f t="shared" si="20"/>
        <v>0</v>
      </c>
      <c r="AE47" s="65"/>
      <c r="AF47" s="65">
        <f t="shared" si="21"/>
        <v>0</v>
      </c>
      <c r="AG47" s="65">
        <f t="shared" si="22"/>
        <v>0</v>
      </c>
      <c r="AH47" s="65">
        <f t="shared" si="23"/>
        <v>0</v>
      </c>
      <c r="AI47" s="65"/>
      <c r="AJ47" s="65">
        <f t="shared" si="24"/>
        <v>0</v>
      </c>
      <c r="AK47" s="65">
        <f t="shared" si="25"/>
        <v>0</v>
      </c>
      <c r="AL47" s="65">
        <f t="shared" si="26"/>
        <v>0</v>
      </c>
      <c r="AM47" s="65"/>
      <c r="AN47" s="65">
        <f t="shared" si="27"/>
        <v>0</v>
      </c>
      <c r="AO47" s="65">
        <f t="shared" si="28"/>
        <v>0</v>
      </c>
      <c r="AP47" s="65">
        <f t="shared" si="29"/>
        <v>0</v>
      </c>
      <c r="AQ47" s="65"/>
      <c r="AR47" s="65">
        <f t="shared" si="30"/>
        <v>0</v>
      </c>
      <c r="AS47" s="65">
        <f t="shared" si="31"/>
        <v>0</v>
      </c>
      <c r="AT47" s="65">
        <f t="shared" si="32"/>
        <v>0</v>
      </c>
      <c r="AU47" s="65"/>
      <c r="AV47" s="65">
        <f t="shared" si="33"/>
        <v>0</v>
      </c>
      <c r="AW47" s="65">
        <f t="shared" si="34"/>
        <v>0</v>
      </c>
      <c r="AX47" s="65">
        <f t="shared" si="35"/>
        <v>0</v>
      </c>
      <c r="AY47" s="65"/>
      <c r="AZ47" s="65">
        <f t="shared" si="36"/>
        <v>0</v>
      </c>
      <c r="BA47" s="65">
        <f t="shared" si="37"/>
        <v>0</v>
      </c>
      <c r="BB47" s="65">
        <f t="shared" si="38"/>
        <v>0</v>
      </c>
    </row>
    <row r="48" spans="1:54" x14ac:dyDescent="0.2">
      <c r="A48" s="71"/>
      <c r="B48" s="96" t="s">
        <v>52</v>
      </c>
      <c r="C48" s="95"/>
      <c r="D48" s="67">
        <f t="shared" si="0"/>
        <v>0</v>
      </c>
      <c r="E48" s="67">
        <f t="shared" si="1"/>
        <v>0</v>
      </c>
      <c r="F48" s="67">
        <f t="shared" si="2"/>
        <v>0</v>
      </c>
      <c r="G48" s="95"/>
      <c r="H48" s="67">
        <f t="shared" si="3"/>
        <v>0</v>
      </c>
      <c r="I48" s="67">
        <f t="shared" si="4"/>
        <v>0</v>
      </c>
      <c r="J48" s="67">
        <f t="shared" si="5"/>
        <v>0</v>
      </c>
      <c r="K48" s="95"/>
      <c r="L48" s="67">
        <f t="shared" si="6"/>
        <v>0</v>
      </c>
      <c r="M48" s="67">
        <f t="shared" si="7"/>
        <v>0</v>
      </c>
      <c r="N48" s="67">
        <f t="shared" si="8"/>
        <v>0</v>
      </c>
      <c r="O48" s="95"/>
      <c r="P48" s="67">
        <f t="shared" si="9"/>
        <v>0</v>
      </c>
      <c r="Q48" s="67">
        <f t="shared" si="10"/>
        <v>0</v>
      </c>
      <c r="R48" s="67">
        <f t="shared" si="11"/>
        <v>0</v>
      </c>
      <c r="S48" s="95"/>
      <c r="T48" s="67">
        <f t="shared" si="12"/>
        <v>0</v>
      </c>
      <c r="U48" s="67">
        <f t="shared" si="13"/>
        <v>0</v>
      </c>
      <c r="V48" s="67">
        <f t="shared" si="14"/>
        <v>0</v>
      </c>
      <c r="W48" s="95"/>
      <c r="X48" s="65">
        <f t="shared" si="15"/>
        <v>0</v>
      </c>
      <c r="Y48" s="65">
        <f t="shared" si="16"/>
        <v>0</v>
      </c>
      <c r="Z48" s="65">
        <f t="shared" si="17"/>
        <v>0</v>
      </c>
      <c r="AA48" s="65"/>
      <c r="AB48" s="65">
        <f t="shared" si="18"/>
        <v>0</v>
      </c>
      <c r="AC48" s="65">
        <f t="shared" si="19"/>
        <v>0</v>
      </c>
      <c r="AD48" s="65">
        <f t="shared" si="20"/>
        <v>0</v>
      </c>
      <c r="AE48" s="65"/>
      <c r="AF48" s="65">
        <f t="shared" si="21"/>
        <v>0</v>
      </c>
      <c r="AG48" s="65">
        <f t="shared" si="22"/>
        <v>0</v>
      </c>
      <c r="AH48" s="65">
        <f t="shared" si="23"/>
        <v>0</v>
      </c>
      <c r="AI48" s="65"/>
      <c r="AJ48" s="65">
        <f t="shared" si="24"/>
        <v>0</v>
      </c>
      <c r="AK48" s="65">
        <f t="shared" si="25"/>
        <v>0</v>
      </c>
      <c r="AL48" s="65">
        <f t="shared" si="26"/>
        <v>0</v>
      </c>
      <c r="AM48" s="65"/>
      <c r="AN48" s="65">
        <f t="shared" si="27"/>
        <v>0</v>
      </c>
      <c r="AO48" s="65">
        <f t="shared" si="28"/>
        <v>0</v>
      </c>
      <c r="AP48" s="65">
        <f t="shared" si="29"/>
        <v>0</v>
      </c>
      <c r="AQ48" s="65"/>
      <c r="AR48" s="65">
        <f t="shared" si="30"/>
        <v>0</v>
      </c>
      <c r="AS48" s="65">
        <f t="shared" si="31"/>
        <v>0</v>
      </c>
      <c r="AT48" s="65">
        <f t="shared" si="32"/>
        <v>0</v>
      </c>
      <c r="AU48" s="65"/>
      <c r="AV48" s="65">
        <f t="shared" si="33"/>
        <v>0</v>
      </c>
      <c r="AW48" s="65">
        <f t="shared" si="34"/>
        <v>0</v>
      </c>
      <c r="AX48" s="65">
        <f t="shared" si="35"/>
        <v>0</v>
      </c>
      <c r="AY48" s="65"/>
      <c r="AZ48" s="65">
        <f t="shared" si="36"/>
        <v>0</v>
      </c>
      <c r="BA48" s="65">
        <f t="shared" si="37"/>
        <v>0</v>
      </c>
      <c r="BB48" s="65">
        <f t="shared" si="38"/>
        <v>0</v>
      </c>
    </row>
    <row r="49" spans="1:54" x14ac:dyDescent="0.2">
      <c r="A49" s="71"/>
      <c r="B49" s="96" t="s">
        <v>52</v>
      </c>
      <c r="C49" s="95"/>
      <c r="D49" s="67">
        <f t="shared" si="0"/>
        <v>0</v>
      </c>
      <c r="E49" s="67">
        <f t="shared" si="1"/>
        <v>0</v>
      </c>
      <c r="F49" s="67">
        <f t="shared" si="2"/>
        <v>0</v>
      </c>
      <c r="G49" s="95"/>
      <c r="H49" s="67">
        <f t="shared" si="3"/>
        <v>0</v>
      </c>
      <c r="I49" s="67">
        <f t="shared" si="4"/>
        <v>0</v>
      </c>
      <c r="J49" s="67">
        <f t="shared" si="5"/>
        <v>0</v>
      </c>
      <c r="K49" s="95"/>
      <c r="L49" s="67">
        <f t="shared" si="6"/>
        <v>0</v>
      </c>
      <c r="M49" s="67">
        <f t="shared" si="7"/>
        <v>0</v>
      </c>
      <c r="N49" s="67">
        <f t="shared" si="8"/>
        <v>0</v>
      </c>
      <c r="O49" s="95"/>
      <c r="P49" s="67">
        <f t="shared" si="9"/>
        <v>0</v>
      </c>
      <c r="Q49" s="67">
        <f t="shared" si="10"/>
        <v>0</v>
      </c>
      <c r="R49" s="67">
        <f t="shared" si="11"/>
        <v>0</v>
      </c>
      <c r="S49" s="95"/>
      <c r="T49" s="67">
        <f t="shared" si="12"/>
        <v>0</v>
      </c>
      <c r="U49" s="67">
        <f t="shared" si="13"/>
        <v>0</v>
      </c>
      <c r="V49" s="67">
        <f t="shared" si="14"/>
        <v>0</v>
      </c>
      <c r="W49" s="95"/>
      <c r="X49" s="65">
        <f t="shared" si="15"/>
        <v>0</v>
      </c>
      <c r="Y49" s="65">
        <f t="shared" si="16"/>
        <v>0</v>
      </c>
      <c r="Z49" s="65">
        <f t="shared" si="17"/>
        <v>0</v>
      </c>
      <c r="AA49" s="65"/>
      <c r="AB49" s="65">
        <f t="shared" si="18"/>
        <v>0</v>
      </c>
      <c r="AC49" s="65">
        <f t="shared" si="19"/>
        <v>0</v>
      </c>
      <c r="AD49" s="65">
        <f t="shared" si="20"/>
        <v>0</v>
      </c>
      <c r="AE49" s="65"/>
      <c r="AF49" s="65">
        <f t="shared" si="21"/>
        <v>0</v>
      </c>
      <c r="AG49" s="65">
        <f t="shared" si="22"/>
        <v>0</v>
      </c>
      <c r="AH49" s="65">
        <f t="shared" si="23"/>
        <v>0</v>
      </c>
      <c r="AI49" s="65"/>
      <c r="AJ49" s="65">
        <f t="shared" si="24"/>
        <v>0</v>
      </c>
      <c r="AK49" s="65">
        <f t="shared" si="25"/>
        <v>0</v>
      </c>
      <c r="AL49" s="65">
        <f t="shared" si="26"/>
        <v>0</v>
      </c>
      <c r="AM49" s="65"/>
      <c r="AN49" s="65">
        <f t="shared" si="27"/>
        <v>0</v>
      </c>
      <c r="AO49" s="65">
        <f t="shared" si="28"/>
        <v>0</v>
      </c>
      <c r="AP49" s="65">
        <f t="shared" si="29"/>
        <v>0</v>
      </c>
      <c r="AQ49" s="65"/>
      <c r="AR49" s="65">
        <f t="shared" si="30"/>
        <v>0</v>
      </c>
      <c r="AS49" s="65">
        <f t="shared" si="31"/>
        <v>0</v>
      </c>
      <c r="AT49" s="65">
        <f t="shared" si="32"/>
        <v>0</v>
      </c>
      <c r="AU49" s="65"/>
      <c r="AV49" s="65">
        <f t="shared" si="33"/>
        <v>0</v>
      </c>
      <c r="AW49" s="65">
        <f t="shared" si="34"/>
        <v>0</v>
      </c>
      <c r="AX49" s="65">
        <f t="shared" si="35"/>
        <v>0</v>
      </c>
      <c r="AY49" s="65"/>
      <c r="AZ49" s="65">
        <f t="shared" si="36"/>
        <v>0</v>
      </c>
      <c r="BA49" s="65">
        <f t="shared" si="37"/>
        <v>0</v>
      </c>
      <c r="BB49" s="65">
        <f t="shared" si="38"/>
        <v>0</v>
      </c>
    </row>
    <row r="50" spans="1:54" x14ac:dyDescent="0.2">
      <c r="A50" s="71"/>
      <c r="B50" s="96" t="s">
        <v>52</v>
      </c>
      <c r="C50" s="95"/>
      <c r="D50" s="67">
        <f t="shared" si="0"/>
        <v>0</v>
      </c>
      <c r="E50" s="67">
        <f t="shared" si="1"/>
        <v>0</v>
      </c>
      <c r="F50" s="67">
        <f t="shared" si="2"/>
        <v>0</v>
      </c>
      <c r="G50" s="95"/>
      <c r="H50" s="67">
        <f t="shared" si="3"/>
        <v>0</v>
      </c>
      <c r="I50" s="67">
        <f t="shared" si="4"/>
        <v>0</v>
      </c>
      <c r="J50" s="67">
        <f t="shared" si="5"/>
        <v>0</v>
      </c>
      <c r="K50" s="95"/>
      <c r="L50" s="67">
        <f t="shared" si="6"/>
        <v>0</v>
      </c>
      <c r="M50" s="67">
        <f t="shared" si="7"/>
        <v>0</v>
      </c>
      <c r="N50" s="67">
        <f t="shared" si="8"/>
        <v>0</v>
      </c>
      <c r="O50" s="95"/>
      <c r="P50" s="67">
        <f t="shared" si="9"/>
        <v>0</v>
      </c>
      <c r="Q50" s="67">
        <f t="shared" si="10"/>
        <v>0</v>
      </c>
      <c r="R50" s="67">
        <f t="shared" si="11"/>
        <v>0</v>
      </c>
      <c r="S50" s="95"/>
      <c r="T50" s="67">
        <f t="shared" si="12"/>
        <v>0</v>
      </c>
      <c r="U50" s="67">
        <f t="shared" si="13"/>
        <v>0</v>
      </c>
      <c r="V50" s="67">
        <f t="shared" si="14"/>
        <v>0</v>
      </c>
      <c r="W50" s="95"/>
      <c r="X50" s="65">
        <f t="shared" si="15"/>
        <v>0</v>
      </c>
      <c r="Y50" s="65">
        <f t="shared" si="16"/>
        <v>0</v>
      </c>
      <c r="Z50" s="65">
        <f t="shared" si="17"/>
        <v>0</v>
      </c>
      <c r="AA50" s="65"/>
      <c r="AB50" s="65">
        <f t="shared" si="18"/>
        <v>0</v>
      </c>
      <c r="AC50" s="65">
        <f t="shared" si="19"/>
        <v>0</v>
      </c>
      <c r="AD50" s="65">
        <f t="shared" si="20"/>
        <v>0</v>
      </c>
      <c r="AE50" s="65"/>
      <c r="AF50" s="65">
        <f t="shared" si="21"/>
        <v>0</v>
      </c>
      <c r="AG50" s="65">
        <f t="shared" si="22"/>
        <v>0</v>
      </c>
      <c r="AH50" s="65">
        <f t="shared" si="23"/>
        <v>0</v>
      </c>
      <c r="AI50" s="65"/>
      <c r="AJ50" s="65">
        <f t="shared" si="24"/>
        <v>0</v>
      </c>
      <c r="AK50" s="65">
        <f t="shared" si="25"/>
        <v>0</v>
      </c>
      <c r="AL50" s="65">
        <f t="shared" si="26"/>
        <v>0</v>
      </c>
      <c r="AM50" s="65"/>
      <c r="AN50" s="65">
        <f t="shared" si="27"/>
        <v>0</v>
      </c>
      <c r="AO50" s="65">
        <f t="shared" si="28"/>
        <v>0</v>
      </c>
      <c r="AP50" s="65">
        <f t="shared" si="29"/>
        <v>0</v>
      </c>
      <c r="AQ50" s="65"/>
      <c r="AR50" s="65">
        <f t="shared" si="30"/>
        <v>0</v>
      </c>
      <c r="AS50" s="65">
        <f t="shared" si="31"/>
        <v>0</v>
      </c>
      <c r="AT50" s="65">
        <f t="shared" si="32"/>
        <v>0</v>
      </c>
      <c r="AU50" s="65"/>
      <c r="AV50" s="65">
        <f t="shared" si="33"/>
        <v>0</v>
      </c>
      <c r="AW50" s="65">
        <f t="shared" si="34"/>
        <v>0</v>
      </c>
      <c r="AX50" s="65">
        <f t="shared" si="35"/>
        <v>0</v>
      </c>
      <c r="AY50" s="65"/>
      <c r="AZ50" s="65">
        <f t="shared" si="36"/>
        <v>0</v>
      </c>
      <c r="BA50" s="65">
        <f t="shared" si="37"/>
        <v>0</v>
      </c>
      <c r="BB50" s="65">
        <f t="shared" si="38"/>
        <v>0</v>
      </c>
    </row>
    <row r="51" spans="1:54" x14ac:dyDescent="0.2">
      <c r="A51" s="71"/>
      <c r="B51" s="96" t="s">
        <v>52</v>
      </c>
      <c r="C51" s="95"/>
      <c r="D51" s="67">
        <f t="shared" si="0"/>
        <v>0</v>
      </c>
      <c r="E51" s="67">
        <f t="shared" si="1"/>
        <v>0</v>
      </c>
      <c r="F51" s="67">
        <f t="shared" si="2"/>
        <v>0</v>
      </c>
      <c r="G51" s="95"/>
      <c r="H51" s="67">
        <f t="shared" si="3"/>
        <v>0</v>
      </c>
      <c r="I51" s="67">
        <f t="shared" si="4"/>
        <v>0</v>
      </c>
      <c r="J51" s="67">
        <f t="shared" si="5"/>
        <v>0</v>
      </c>
      <c r="K51" s="95"/>
      <c r="L51" s="67">
        <f t="shared" si="6"/>
        <v>0</v>
      </c>
      <c r="M51" s="67">
        <f t="shared" si="7"/>
        <v>0</v>
      </c>
      <c r="N51" s="67">
        <f t="shared" si="8"/>
        <v>0</v>
      </c>
      <c r="O51" s="95"/>
      <c r="P51" s="67">
        <f t="shared" si="9"/>
        <v>0</v>
      </c>
      <c r="Q51" s="67">
        <f t="shared" si="10"/>
        <v>0</v>
      </c>
      <c r="R51" s="67">
        <f t="shared" si="11"/>
        <v>0</v>
      </c>
      <c r="S51" s="95"/>
      <c r="T51" s="67">
        <f t="shared" si="12"/>
        <v>0</v>
      </c>
      <c r="U51" s="67">
        <f t="shared" si="13"/>
        <v>0</v>
      </c>
      <c r="V51" s="67">
        <f t="shared" si="14"/>
        <v>0</v>
      </c>
      <c r="W51" s="95"/>
      <c r="X51" s="65">
        <f t="shared" si="15"/>
        <v>0</v>
      </c>
      <c r="Y51" s="65">
        <f t="shared" si="16"/>
        <v>0</v>
      </c>
      <c r="Z51" s="65">
        <f t="shared" si="17"/>
        <v>0</v>
      </c>
      <c r="AA51" s="65"/>
      <c r="AB51" s="65">
        <f t="shared" si="18"/>
        <v>0</v>
      </c>
      <c r="AC51" s="65">
        <f t="shared" si="19"/>
        <v>0</v>
      </c>
      <c r="AD51" s="65">
        <f t="shared" si="20"/>
        <v>0</v>
      </c>
      <c r="AE51" s="65"/>
      <c r="AF51" s="65">
        <f t="shared" si="21"/>
        <v>0</v>
      </c>
      <c r="AG51" s="65">
        <f t="shared" si="22"/>
        <v>0</v>
      </c>
      <c r="AH51" s="65">
        <f t="shared" si="23"/>
        <v>0</v>
      </c>
      <c r="AI51" s="65"/>
      <c r="AJ51" s="65">
        <f t="shared" si="24"/>
        <v>0</v>
      </c>
      <c r="AK51" s="65">
        <f t="shared" si="25"/>
        <v>0</v>
      </c>
      <c r="AL51" s="65">
        <f t="shared" si="26"/>
        <v>0</v>
      </c>
      <c r="AM51" s="65"/>
      <c r="AN51" s="65">
        <f t="shared" si="27"/>
        <v>0</v>
      </c>
      <c r="AO51" s="65">
        <f t="shared" si="28"/>
        <v>0</v>
      </c>
      <c r="AP51" s="65">
        <f t="shared" si="29"/>
        <v>0</v>
      </c>
      <c r="AQ51" s="65"/>
      <c r="AR51" s="65">
        <f t="shared" si="30"/>
        <v>0</v>
      </c>
      <c r="AS51" s="65">
        <f t="shared" si="31"/>
        <v>0</v>
      </c>
      <c r="AT51" s="65">
        <f t="shared" si="32"/>
        <v>0</v>
      </c>
      <c r="AU51" s="65"/>
      <c r="AV51" s="65">
        <f t="shared" si="33"/>
        <v>0</v>
      </c>
      <c r="AW51" s="65">
        <f t="shared" si="34"/>
        <v>0</v>
      </c>
      <c r="AX51" s="65">
        <f t="shared" si="35"/>
        <v>0</v>
      </c>
      <c r="AY51" s="65"/>
      <c r="AZ51" s="65">
        <f t="shared" si="36"/>
        <v>0</v>
      </c>
      <c r="BA51" s="65">
        <f t="shared" si="37"/>
        <v>0</v>
      </c>
      <c r="BB51" s="65">
        <f t="shared" si="38"/>
        <v>0</v>
      </c>
    </row>
    <row r="52" spans="1:54" x14ac:dyDescent="0.2">
      <c r="A52" s="71"/>
      <c r="B52" s="96" t="s">
        <v>52</v>
      </c>
      <c r="C52" s="95"/>
      <c r="D52" s="67">
        <f t="shared" si="0"/>
        <v>0</v>
      </c>
      <c r="E52" s="67">
        <f t="shared" si="1"/>
        <v>0</v>
      </c>
      <c r="F52" s="67">
        <f t="shared" si="2"/>
        <v>0</v>
      </c>
      <c r="G52" s="95"/>
      <c r="H52" s="67">
        <f t="shared" si="3"/>
        <v>0</v>
      </c>
      <c r="I52" s="67">
        <f t="shared" si="4"/>
        <v>0</v>
      </c>
      <c r="J52" s="67">
        <f t="shared" si="5"/>
        <v>0</v>
      </c>
      <c r="K52" s="95"/>
      <c r="L52" s="67">
        <f t="shared" si="6"/>
        <v>0</v>
      </c>
      <c r="M52" s="67">
        <f t="shared" si="7"/>
        <v>0</v>
      </c>
      <c r="N52" s="67">
        <f t="shared" si="8"/>
        <v>0</v>
      </c>
      <c r="O52" s="95"/>
      <c r="P52" s="67">
        <f t="shared" si="9"/>
        <v>0</v>
      </c>
      <c r="Q52" s="67">
        <f t="shared" si="10"/>
        <v>0</v>
      </c>
      <c r="R52" s="67">
        <f t="shared" si="11"/>
        <v>0</v>
      </c>
      <c r="S52" s="95"/>
      <c r="T52" s="67">
        <f t="shared" si="12"/>
        <v>0</v>
      </c>
      <c r="U52" s="67">
        <f t="shared" si="13"/>
        <v>0</v>
      </c>
      <c r="V52" s="67">
        <f t="shared" si="14"/>
        <v>0</v>
      </c>
      <c r="W52" s="95"/>
      <c r="X52" s="65">
        <f t="shared" si="15"/>
        <v>0</v>
      </c>
      <c r="Y52" s="65">
        <f t="shared" si="16"/>
        <v>0</v>
      </c>
      <c r="Z52" s="65">
        <f t="shared" si="17"/>
        <v>0</v>
      </c>
      <c r="AA52" s="65"/>
      <c r="AB52" s="65">
        <f t="shared" si="18"/>
        <v>0</v>
      </c>
      <c r="AC52" s="65">
        <f t="shared" si="19"/>
        <v>0</v>
      </c>
      <c r="AD52" s="65">
        <f t="shared" si="20"/>
        <v>0</v>
      </c>
      <c r="AE52" s="65"/>
      <c r="AF52" s="65">
        <f t="shared" si="21"/>
        <v>0</v>
      </c>
      <c r="AG52" s="65">
        <f t="shared" si="22"/>
        <v>0</v>
      </c>
      <c r="AH52" s="65">
        <f t="shared" si="23"/>
        <v>0</v>
      </c>
      <c r="AI52" s="65"/>
      <c r="AJ52" s="65">
        <f t="shared" si="24"/>
        <v>0</v>
      </c>
      <c r="AK52" s="65">
        <f t="shared" si="25"/>
        <v>0</v>
      </c>
      <c r="AL52" s="65">
        <f t="shared" si="26"/>
        <v>0</v>
      </c>
      <c r="AM52" s="65"/>
      <c r="AN52" s="65">
        <f t="shared" si="27"/>
        <v>0</v>
      </c>
      <c r="AO52" s="65">
        <f t="shared" si="28"/>
        <v>0</v>
      </c>
      <c r="AP52" s="65">
        <f t="shared" si="29"/>
        <v>0</v>
      </c>
      <c r="AQ52" s="65"/>
      <c r="AR52" s="65">
        <f t="shared" si="30"/>
        <v>0</v>
      </c>
      <c r="AS52" s="65">
        <f t="shared" si="31"/>
        <v>0</v>
      </c>
      <c r="AT52" s="65">
        <f t="shared" si="32"/>
        <v>0</v>
      </c>
      <c r="AU52" s="65"/>
      <c r="AV52" s="65">
        <f t="shared" si="33"/>
        <v>0</v>
      </c>
      <c r="AW52" s="65">
        <f t="shared" si="34"/>
        <v>0</v>
      </c>
      <c r="AX52" s="65">
        <f t="shared" si="35"/>
        <v>0</v>
      </c>
      <c r="AY52" s="65"/>
      <c r="AZ52" s="65">
        <f t="shared" si="36"/>
        <v>0</v>
      </c>
      <c r="BA52" s="65">
        <f t="shared" si="37"/>
        <v>0</v>
      </c>
      <c r="BB52" s="65">
        <f t="shared" si="38"/>
        <v>0</v>
      </c>
    </row>
    <row r="53" spans="1:54" x14ac:dyDescent="0.2">
      <c r="A53" s="71"/>
      <c r="B53" s="96" t="s">
        <v>52</v>
      </c>
      <c r="C53" s="95"/>
      <c r="D53" s="67">
        <f t="shared" si="0"/>
        <v>0</v>
      </c>
      <c r="E53" s="67">
        <f t="shared" si="1"/>
        <v>0</v>
      </c>
      <c r="F53" s="67">
        <f t="shared" si="2"/>
        <v>0</v>
      </c>
      <c r="G53" s="95"/>
      <c r="H53" s="67">
        <f t="shared" si="3"/>
        <v>0</v>
      </c>
      <c r="I53" s="67">
        <f t="shared" si="4"/>
        <v>0</v>
      </c>
      <c r="J53" s="67">
        <f t="shared" si="5"/>
        <v>0</v>
      </c>
      <c r="K53" s="95"/>
      <c r="L53" s="67">
        <f t="shared" si="6"/>
        <v>0</v>
      </c>
      <c r="M53" s="67">
        <f t="shared" si="7"/>
        <v>0</v>
      </c>
      <c r="N53" s="67">
        <f t="shared" si="8"/>
        <v>0</v>
      </c>
      <c r="O53" s="95"/>
      <c r="P53" s="67">
        <f t="shared" si="9"/>
        <v>0</v>
      </c>
      <c r="Q53" s="67">
        <f t="shared" si="10"/>
        <v>0</v>
      </c>
      <c r="R53" s="67">
        <f t="shared" si="11"/>
        <v>0</v>
      </c>
      <c r="S53" s="95"/>
      <c r="T53" s="67">
        <f t="shared" si="12"/>
        <v>0</v>
      </c>
      <c r="U53" s="67">
        <f t="shared" si="13"/>
        <v>0</v>
      </c>
      <c r="V53" s="67">
        <f t="shared" si="14"/>
        <v>0</v>
      </c>
      <c r="W53" s="95"/>
      <c r="X53" s="65">
        <f t="shared" si="15"/>
        <v>0</v>
      </c>
      <c r="Y53" s="65">
        <f t="shared" si="16"/>
        <v>0</v>
      </c>
      <c r="Z53" s="65">
        <f t="shared" si="17"/>
        <v>0</v>
      </c>
      <c r="AA53" s="65"/>
      <c r="AB53" s="65">
        <f t="shared" si="18"/>
        <v>0</v>
      </c>
      <c r="AC53" s="65">
        <f t="shared" si="19"/>
        <v>0</v>
      </c>
      <c r="AD53" s="65">
        <f t="shared" si="20"/>
        <v>0</v>
      </c>
      <c r="AE53" s="65"/>
      <c r="AF53" s="65">
        <f t="shared" si="21"/>
        <v>0</v>
      </c>
      <c r="AG53" s="65">
        <f t="shared" si="22"/>
        <v>0</v>
      </c>
      <c r="AH53" s="65">
        <f t="shared" si="23"/>
        <v>0</v>
      </c>
      <c r="AI53" s="65"/>
      <c r="AJ53" s="65">
        <f t="shared" si="24"/>
        <v>0</v>
      </c>
      <c r="AK53" s="65">
        <f t="shared" si="25"/>
        <v>0</v>
      </c>
      <c r="AL53" s="65">
        <f t="shared" si="26"/>
        <v>0</v>
      </c>
      <c r="AM53" s="65"/>
      <c r="AN53" s="65">
        <f t="shared" si="27"/>
        <v>0</v>
      </c>
      <c r="AO53" s="65">
        <f t="shared" si="28"/>
        <v>0</v>
      </c>
      <c r="AP53" s="65">
        <f t="shared" si="29"/>
        <v>0</v>
      </c>
      <c r="AQ53" s="65"/>
      <c r="AR53" s="65">
        <f t="shared" si="30"/>
        <v>0</v>
      </c>
      <c r="AS53" s="65">
        <f t="shared" si="31"/>
        <v>0</v>
      </c>
      <c r="AT53" s="65">
        <f t="shared" si="32"/>
        <v>0</v>
      </c>
      <c r="AU53" s="65"/>
      <c r="AV53" s="65">
        <f t="shared" si="33"/>
        <v>0</v>
      </c>
      <c r="AW53" s="65">
        <f t="shared" si="34"/>
        <v>0</v>
      </c>
      <c r="AX53" s="65">
        <f t="shared" si="35"/>
        <v>0</v>
      </c>
      <c r="AY53" s="65"/>
      <c r="AZ53" s="65">
        <f t="shared" si="36"/>
        <v>0</v>
      </c>
      <c r="BA53" s="65">
        <f t="shared" si="37"/>
        <v>0</v>
      </c>
      <c r="BB53" s="65">
        <f t="shared" si="38"/>
        <v>0</v>
      </c>
    </row>
    <row r="54" spans="1:54" x14ac:dyDescent="0.2">
      <c r="A54" s="71"/>
      <c r="B54" s="96" t="s">
        <v>52</v>
      </c>
      <c r="C54" s="95"/>
      <c r="D54" s="67">
        <f t="shared" si="0"/>
        <v>0</v>
      </c>
      <c r="E54" s="67">
        <f t="shared" si="1"/>
        <v>0</v>
      </c>
      <c r="F54" s="67">
        <f t="shared" si="2"/>
        <v>0</v>
      </c>
      <c r="G54" s="95"/>
      <c r="H54" s="67">
        <f t="shared" si="3"/>
        <v>0</v>
      </c>
      <c r="I54" s="67">
        <f t="shared" si="4"/>
        <v>0</v>
      </c>
      <c r="J54" s="67">
        <f t="shared" si="5"/>
        <v>0</v>
      </c>
      <c r="K54" s="95"/>
      <c r="L54" s="67">
        <f t="shared" si="6"/>
        <v>0</v>
      </c>
      <c r="M54" s="67">
        <f t="shared" si="7"/>
        <v>0</v>
      </c>
      <c r="N54" s="67">
        <f t="shared" si="8"/>
        <v>0</v>
      </c>
      <c r="O54" s="95"/>
      <c r="P54" s="67">
        <f t="shared" si="9"/>
        <v>0</v>
      </c>
      <c r="Q54" s="67">
        <f t="shared" si="10"/>
        <v>0</v>
      </c>
      <c r="R54" s="67">
        <f t="shared" si="11"/>
        <v>0</v>
      </c>
      <c r="S54" s="95"/>
      <c r="T54" s="67">
        <f t="shared" si="12"/>
        <v>0</v>
      </c>
      <c r="U54" s="67">
        <f t="shared" si="13"/>
        <v>0</v>
      </c>
      <c r="V54" s="67">
        <f t="shared" si="14"/>
        <v>0</v>
      </c>
      <c r="W54" s="95"/>
      <c r="X54" s="65">
        <f t="shared" si="15"/>
        <v>0</v>
      </c>
      <c r="Y54" s="65">
        <f t="shared" si="16"/>
        <v>0</v>
      </c>
      <c r="Z54" s="65">
        <f t="shared" si="17"/>
        <v>0</v>
      </c>
      <c r="AA54" s="65"/>
      <c r="AB54" s="65">
        <f t="shared" si="18"/>
        <v>0</v>
      </c>
      <c r="AC54" s="65">
        <f t="shared" si="19"/>
        <v>0</v>
      </c>
      <c r="AD54" s="65">
        <f t="shared" si="20"/>
        <v>0</v>
      </c>
      <c r="AE54" s="65"/>
      <c r="AF54" s="65">
        <f t="shared" si="21"/>
        <v>0</v>
      </c>
      <c r="AG54" s="65">
        <f t="shared" si="22"/>
        <v>0</v>
      </c>
      <c r="AH54" s="65">
        <f t="shared" si="23"/>
        <v>0</v>
      </c>
      <c r="AI54" s="65"/>
      <c r="AJ54" s="65">
        <f t="shared" si="24"/>
        <v>0</v>
      </c>
      <c r="AK54" s="65">
        <f t="shared" si="25"/>
        <v>0</v>
      </c>
      <c r="AL54" s="65">
        <f t="shared" si="26"/>
        <v>0</v>
      </c>
      <c r="AM54" s="65"/>
      <c r="AN54" s="65">
        <f t="shared" si="27"/>
        <v>0</v>
      </c>
      <c r="AO54" s="65">
        <f t="shared" si="28"/>
        <v>0</v>
      </c>
      <c r="AP54" s="65">
        <f t="shared" si="29"/>
        <v>0</v>
      </c>
      <c r="AQ54" s="65"/>
      <c r="AR54" s="65">
        <f t="shared" si="30"/>
        <v>0</v>
      </c>
      <c r="AS54" s="65">
        <f t="shared" si="31"/>
        <v>0</v>
      </c>
      <c r="AT54" s="65">
        <f t="shared" si="32"/>
        <v>0</v>
      </c>
      <c r="AU54" s="65"/>
      <c r="AV54" s="65">
        <f t="shared" si="33"/>
        <v>0</v>
      </c>
      <c r="AW54" s="65">
        <f t="shared" si="34"/>
        <v>0</v>
      </c>
      <c r="AX54" s="65">
        <f t="shared" si="35"/>
        <v>0</v>
      </c>
      <c r="AY54" s="65"/>
      <c r="AZ54" s="65">
        <f t="shared" si="36"/>
        <v>0</v>
      </c>
      <c r="BA54" s="65">
        <f t="shared" si="37"/>
        <v>0</v>
      </c>
      <c r="BB54" s="65">
        <f t="shared" si="38"/>
        <v>0</v>
      </c>
    </row>
    <row r="55" spans="1:54" x14ac:dyDescent="0.2">
      <c r="A55" s="71"/>
      <c r="B55" s="96" t="s">
        <v>52</v>
      </c>
      <c r="C55" s="95"/>
      <c r="D55" s="67">
        <f t="shared" si="0"/>
        <v>0</v>
      </c>
      <c r="E55" s="67">
        <f t="shared" si="1"/>
        <v>0</v>
      </c>
      <c r="F55" s="67">
        <f t="shared" si="2"/>
        <v>0</v>
      </c>
      <c r="G55" s="95"/>
      <c r="H55" s="67">
        <f t="shared" si="3"/>
        <v>0</v>
      </c>
      <c r="I55" s="67">
        <f t="shared" si="4"/>
        <v>0</v>
      </c>
      <c r="J55" s="67">
        <f t="shared" si="5"/>
        <v>0</v>
      </c>
      <c r="K55" s="95"/>
      <c r="L55" s="67">
        <f t="shared" si="6"/>
        <v>0</v>
      </c>
      <c r="M55" s="67">
        <f t="shared" si="7"/>
        <v>0</v>
      </c>
      <c r="N55" s="67">
        <f t="shared" si="8"/>
        <v>0</v>
      </c>
      <c r="O55" s="95"/>
      <c r="P55" s="67">
        <f t="shared" si="9"/>
        <v>0</v>
      </c>
      <c r="Q55" s="67">
        <f t="shared" si="10"/>
        <v>0</v>
      </c>
      <c r="R55" s="67">
        <f t="shared" si="11"/>
        <v>0</v>
      </c>
      <c r="S55" s="95"/>
      <c r="T55" s="67">
        <f t="shared" si="12"/>
        <v>0</v>
      </c>
      <c r="U55" s="67">
        <f t="shared" si="13"/>
        <v>0</v>
      </c>
      <c r="V55" s="67">
        <f t="shared" si="14"/>
        <v>0</v>
      </c>
      <c r="W55" s="95"/>
      <c r="X55" s="65">
        <f t="shared" si="15"/>
        <v>0</v>
      </c>
      <c r="Y55" s="65">
        <f t="shared" si="16"/>
        <v>0</v>
      </c>
      <c r="Z55" s="65">
        <f t="shared" si="17"/>
        <v>0</v>
      </c>
      <c r="AA55" s="65"/>
      <c r="AB55" s="65">
        <f t="shared" si="18"/>
        <v>0</v>
      </c>
      <c r="AC55" s="65">
        <f t="shared" si="19"/>
        <v>0</v>
      </c>
      <c r="AD55" s="65">
        <f t="shared" si="20"/>
        <v>0</v>
      </c>
      <c r="AE55" s="65"/>
      <c r="AF55" s="65">
        <f t="shared" si="21"/>
        <v>0</v>
      </c>
      <c r="AG55" s="65">
        <f t="shared" si="22"/>
        <v>0</v>
      </c>
      <c r="AH55" s="65">
        <f t="shared" si="23"/>
        <v>0</v>
      </c>
      <c r="AI55" s="65"/>
      <c r="AJ55" s="65">
        <f t="shared" si="24"/>
        <v>0</v>
      </c>
      <c r="AK55" s="65">
        <f t="shared" si="25"/>
        <v>0</v>
      </c>
      <c r="AL55" s="65">
        <f t="shared" si="26"/>
        <v>0</v>
      </c>
      <c r="AM55" s="65"/>
      <c r="AN55" s="65">
        <f t="shared" si="27"/>
        <v>0</v>
      </c>
      <c r="AO55" s="65">
        <f t="shared" si="28"/>
        <v>0</v>
      </c>
      <c r="AP55" s="65">
        <f t="shared" si="29"/>
        <v>0</v>
      </c>
      <c r="AQ55" s="65"/>
      <c r="AR55" s="65">
        <f t="shared" si="30"/>
        <v>0</v>
      </c>
      <c r="AS55" s="65">
        <f t="shared" si="31"/>
        <v>0</v>
      </c>
      <c r="AT55" s="65">
        <f t="shared" si="32"/>
        <v>0</v>
      </c>
      <c r="AU55" s="65"/>
      <c r="AV55" s="65">
        <f t="shared" si="33"/>
        <v>0</v>
      </c>
      <c r="AW55" s="65">
        <f t="shared" si="34"/>
        <v>0</v>
      </c>
      <c r="AX55" s="65">
        <f t="shared" si="35"/>
        <v>0</v>
      </c>
      <c r="AY55" s="65"/>
      <c r="AZ55" s="65">
        <f t="shared" si="36"/>
        <v>0</v>
      </c>
      <c r="BA55" s="65">
        <f t="shared" si="37"/>
        <v>0</v>
      </c>
      <c r="BB55" s="65">
        <f t="shared" si="38"/>
        <v>0</v>
      </c>
    </row>
    <row r="56" spans="1:54" x14ac:dyDescent="0.2">
      <c r="A56" s="71"/>
      <c r="B56" s="96" t="s">
        <v>52</v>
      </c>
      <c r="C56" s="95"/>
      <c r="D56" s="67">
        <f t="shared" si="0"/>
        <v>0</v>
      </c>
      <c r="E56" s="67">
        <f t="shared" si="1"/>
        <v>0</v>
      </c>
      <c r="F56" s="67">
        <f t="shared" si="2"/>
        <v>0</v>
      </c>
      <c r="G56" s="95"/>
      <c r="H56" s="67">
        <f t="shared" si="3"/>
        <v>0</v>
      </c>
      <c r="I56" s="67">
        <f t="shared" si="4"/>
        <v>0</v>
      </c>
      <c r="J56" s="67">
        <f t="shared" si="5"/>
        <v>0</v>
      </c>
      <c r="K56" s="95"/>
      <c r="L56" s="67">
        <f t="shared" si="6"/>
        <v>0</v>
      </c>
      <c r="M56" s="67">
        <f t="shared" si="7"/>
        <v>0</v>
      </c>
      <c r="N56" s="67">
        <f t="shared" si="8"/>
        <v>0</v>
      </c>
      <c r="O56" s="95"/>
      <c r="P56" s="67">
        <f t="shared" si="9"/>
        <v>0</v>
      </c>
      <c r="Q56" s="67">
        <f t="shared" si="10"/>
        <v>0</v>
      </c>
      <c r="R56" s="67">
        <f t="shared" si="11"/>
        <v>0</v>
      </c>
      <c r="S56" s="95"/>
      <c r="T56" s="67">
        <f t="shared" si="12"/>
        <v>0</v>
      </c>
      <c r="U56" s="67">
        <f t="shared" si="13"/>
        <v>0</v>
      </c>
      <c r="V56" s="67">
        <f t="shared" si="14"/>
        <v>0</v>
      </c>
      <c r="W56" s="95"/>
      <c r="X56" s="65">
        <f t="shared" si="15"/>
        <v>0</v>
      </c>
      <c r="Y56" s="65">
        <f t="shared" si="16"/>
        <v>0</v>
      </c>
      <c r="Z56" s="65">
        <f t="shared" si="17"/>
        <v>0</v>
      </c>
      <c r="AA56" s="65"/>
      <c r="AB56" s="65">
        <f t="shared" si="18"/>
        <v>0</v>
      </c>
      <c r="AC56" s="65">
        <f t="shared" si="19"/>
        <v>0</v>
      </c>
      <c r="AD56" s="65">
        <f t="shared" si="20"/>
        <v>0</v>
      </c>
      <c r="AE56" s="65"/>
      <c r="AF56" s="65">
        <f t="shared" si="21"/>
        <v>0</v>
      </c>
      <c r="AG56" s="65">
        <f t="shared" si="22"/>
        <v>0</v>
      </c>
      <c r="AH56" s="65">
        <f t="shared" si="23"/>
        <v>0</v>
      </c>
      <c r="AI56" s="65"/>
      <c r="AJ56" s="65">
        <f t="shared" si="24"/>
        <v>0</v>
      </c>
      <c r="AK56" s="65">
        <f t="shared" si="25"/>
        <v>0</v>
      </c>
      <c r="AL56" s="65">
        <f t="shared" si="26"/>
        <v>0</v>
      </c>
      <c r="AM56" s="65"/>
      <c r="AN56" s="65">
        <f t="shared" si="27"/>
        <v>0</v>
      </c>
      <c r="AO56" s="65">
        <f t="shared" si="28"/>
        <v>0</v>
      </c>
      <c r="AP56" s="65">
        <f t="shared" si="29"/>
        <v>0</v>
      </c>
      <c r="AQ56" s="65"/>
      <c r="AR56" s="65">
        <f t="shared" si="30"/>
        <v>0</v>
      </c>
      <c r="AS56" s="65">
        <f t="shared" si="31"/>
        <v>0</v>
      </c>
      <c r="AT56" s="65">
        <f t="shared" si="32"/>
        <v>0</v>
      </c>
      <c r="AU56" s="65"/>
      <c r="AV56" s="65">
        <f t="shared" si="33"/>
        <v>0</v>
      </c>
      <c r="AW56" s="65">
        <f t="shared" si="34"/>
        <v>0</v>
      </c>
      <c r="AX56" s="65">
        <f t="shared" si="35"/>
        <v>0</v>
      </c>
      <c r="AY56" s="65"/>
      <c r="AZ56" s="65">
        <f t="shared" si="36"/>
        <v>0</v>
      </c>
      <c r="BA56" s="65">
        <f t="shared" si="37"/>
        <v>0</v>
      </c>
      <c r="BB56" s="65">
        <f t="shared" si="38"/>
        <v>0</v>
      </c>
    </row>
    <row r="57" spans="1:54" x14ac:dyDescent="0.2">
      <c r="A57" s="71"/>
      <c r="B57" s="96" t="s">
        <v>52</v>
      </c>
      <c r="C57" s="95"/>
      <c r="D57" s="67">
        <f t="shared" si="0"/>
        <v>0</v>
      </c>
      <c r="E57" s="67">
        <f t="shared" si="1"/>
        <v>0</v>
      </c>
      <c r="F57" s="67">
        <f t="shared" si="2"/>
        <v>0</v>
      </c>
      <c r="G57" s="95"/>
      <c r="H57" s="67">
        <f t="shared" si="3"/>
        <v>0</v>
      </c>
      <c r="I57" s="67">
        <f t="shared" si="4"/>
        <v>0</v>
      </c>
      <c r="J57" s="67">
        <f t="shared" si="5"/>
        <v>0</v>
      </c>
      <c r="K57" s="95"/>
      <c r="L57" s="67">
        <f t="shared" si="6"/>
        <v>0</v>
      </c>
      <c r="M57" s="67">
        <f t="shared" si="7"/>
        <v>0</v>
      </c>
      <c r="N57" s="67">
        <f t="shared" si="8"/>
        <v>0</v>
      </c>
      <c r="O57" s="95"/>
      <c r="P57" s="67">
        <f t="shared" si="9"/>
        <v>0</v>
      </c>
      <c r="Q57" s="67">
        <f t="shared" si="10"/>
        <v>0</v>
      </c>
      <c r="R57" s="67">
        <f t="shared" si="11"/>
        <v>0</v>
      </c>
      <c r="S57" s="95"/>
      <c r="T57" s="67">
        <f t="shared" si="12"/>
        <v>0</v>
      </c>
      <c r="U57" s="67">
        <f t="shared" si="13"/>
        <v>0</v>
      </c>
      <c r="V57" s="67">
        <f t="shared" si="14"/>
        <v>0</v>
      </c>
      <c r="W57" s="95"/>
      <c r="X57" s="65">
        <f t="shared" si="15"/>
        <v>0</v>
      </c>
      <c r="Y57" s="65">
        <f t="shared" si="16"/>
        <v>0</v>
      </c>
      <c r="Z57" s="65">
        <f t="shared" si="17"/>
        <v>0</v>
      </c>
      <c r="AA57" s="65"/>
      <c r="AB57" s="65">
        <f t="shared" si="18"/>
        <v>0</v>
      </c>
      <c r="AC57" s="65">
        <f t="shared" si="19"/>
        <v>0</v>
      </c>
      <c r="AD57" s="65">
        <f t="shared" si="20"/>
        <v>0</v>
      </c>
      <c r="AE57" s="65"/>
      <c r="AF57" s="65">
        <f t="shared" si="21"/>
        <v>0</v>
      </c>
      <c r="AG57" s="65">
        <f t="shared" si="22"/>
        <v>0</v>
      </c>
      <c r="AH57" s="65">
        <f t="shared" si="23"/>
        <v>0</v>
      </c>
      <c r="AI57" s="65"/>
      <c r="AJ57" s="65">
        <f t="shared" si="24"/>
        <v>0</v>
      </c>
      <c r="AK57" s="65">
        <f t="shared" si="25"/>
        <v>0</v>
      </c>
      <c r="AL57" s="65">
        <f t="shared" si="26"/>
        <v>0</v>
      </c>
      <c r="AM57" s="65"/>
      <c r="AN57" s="65">
        <f t="shared" si="27"/>
        <v>0</v>
      </c>
      <c r="AO57" s="65">
        <f t="shared" si="28"/>
        <v>0</v>
      </c>
      <c r="AP57" s="65">
        <f t="shared" si="29"/>
        <v>0</v>
      </c>
      <c r="AQ57" s="65"/>
      <c r="AR57" s="65">
        <f t="shared" si="30"/>
        <v>0</v>
      </c>
      <c r="AS57" s="65">
        <f t="shared" si="31"/>
        <v>0</v>
      </c>
      <c r="AT57" s="65">
        <f t="shared" si="32"/>
        <v>0</v>
      </c>
      <c r="AU57" s="65"/>
      <c r="AV57" s="65">
        <f t="shared" si="33"/>
        <v>0</v>
      </c>
      <c r="AW57" s="65">
        <f t="shared" si="34"/>
        <v>0</v>
      </c>
      <c r="AX57" s="65">
        <f t="shared" si="35"/>
        <v>0</v>
      </c>
      <c r="AY57" s="65"/>
      <c r="AZ57" s="65">
        <f t="shared" si="36"/>
        <v>0</v>
      </c>
      <c r="BA57" s="65">
        <f t="shared" si="37"/>
        <v>0</v>
      </c>
      <c r="BB57" s="65">
        <f t="shared" si="38"/>
        <v>0</v>
      </c>
    </row>
    <row r="58" spans="1:54" x14ac:dyDescent="0.2">
      <c r="A58" s="71"/>
      <c r="B58" s="96" t="s">
        <v>52</v>
      </c>
      <c r="C58" s="95"/>
      <c r="D58" s="67">
        <f t="shared" si="0"/>
        <v>0</v>
      </c>
      <c r="E58" s="67">
        <f t="shared" si="1"/>
        <v>0</v>
      </c>
      <c r="F58" s="67">
        <f t="shared" si="2"/>
        <v>0</v>
      </c>
      <c r="G58" s="95"/>
      <c r="H58" s="67">
        <f t="shared" si="3"/>
        <v>0</v>
      </c>
      <c r="I58" s="67">
        <f t="shared" si="4"/>
        <v>0</v>
      </c>
      <c r="J58" s="67">
        <f t="shared" si="5"/>
        <v>0</v>
      </c>
      <c r="K58" s="95"/>
      <c r="L58" s="67">
        <f t="shared" si="6"/>
        <v>0</v>
      </c>
      <c r="M58" s="67">
        <f t="shared" si="7"/>
        <v>0</v>
      </c>
      <c r="N58" s="67">
        <f t="shared" si="8"/>
        <v>0</v>
      </c>
      <c r="O58" s="95"/>
      <c r="P58" s="67">
        <f t="shared" si="9"/>
        <v>0</v>
      </c>
      <c r="Q58" s="67">
        <f t="shared" si="10"/>
        <v>0</v>
      </c>
      <c r="R58" s="67">
        <f t="shared" si="11"/>
        <v>0</v>
      </c>
      <c r="S58" s="95"/>
      <c r="T58" s="67">
        <f t="shared" si="12"/>
        <v>0</v>
      </c>
      <c r="U58" s="67">
        <f t="shared" si="13"/>
        <v>0</v>
      </c>
      <c r="V58" s="67">
        <f t="shared" si="14"/>
        <v>0</v>
      </c>
      <c r="W58" s="95"/>
      <c r="X58" s="65">
        <f t="shared" si="15"/>
        <v>0</v>
      </c>
      <c r="Y58" s="65">
        <f t="shared" si="16"/>
        <v>0</v>
      </c>
      <c r="Z58" s="65">
        <f t="shared" si="17"/>
        <v>0</v>
      </c>
      <c r="AA58" s="65"/>
      <c r="AB58" s="65">
        <f t="shared" si="18"/>
        <v>0</v>
      </c>
      <c r="AC58" s="65">
        <f t="shared" si="19"/>
        <v>0</v>
      </c>
      <c r="AD58" s="65">
        <f t="shared" si="20"/>
        <v>0</v>
      </c>
      <c r="AE58" s="65"/>
      <c r="AF58" s="65">
        <f t="shared" si="21"/>
        <v>0</v>
      </c>
      <c r="AG58" s="65">
        <f t="shared" si="22"/>
        <v>0</v>
      </c>
      <c r="AH58" s="65">
        <f t="shared" si="23"/>
        <v>0</v>
      </c>
      <c r="AI58" s="65"/>
      <c r="AJ58" s="65">
        <f t="shared" si="24"/>
        <v>0</v>
      </c>
      <c r="AK58" s="65">
        <f t="shared" si="25"/>
        <v>0</v>
      </c>
      <c r="AL58" s="65">
        <f t="shared" si="26"/>
        <v>0</v>
      </c>
      <c r="AM58" s="65"/>
      <c r="AN58" s="65">
        <f t="shared" si="27"/>
        <v>0</v>
      </c>
      <c r="AO58" s="65">
        <f t="shared" si="28"/>
        <v>0</v>
      </c>
      <c r="AP58" s="65">
        <f t="shared" si="29"/>
        <v>0</v>
      </c>
      <c r="AQ58" s="65"/>
      <c r="AR58" s="65">
        <f t="shared" si="30"/>
        <v>0</v>
      </c>
      <c r="AS58" s="65">
        <f t="shared" si="31"/>
        <v>0</v>
      </c>
      <c r="AT58" s="65">
        <f t="shared" si="32"/>
        <v>0</v>
      </c>
      <c r="AU58" s="65"/>
      <c r="AV58" s="65">
        <f t="shared" si="33"/>
        <v>0</v>
      </c>
      <c r="AW58" s="65">
        <f t="shared" si="34"/>
        <v>0</v>
      </c>
      <c r="AX58" s="65">
        <f t="shared" si="35"/>
        <v>0</v>
      </c>
      <c r="AY58" s="65"/>
      <c r="AZ58" s="65">
        <f t="shared" si="36"/>
        <v>0</v>
      </c>
      <c r="BA58" s="65">
        <f t="shared" si="37"/>
        <v>0</v>
      </c>
      <c r="BB58" s="65">
        <f t="shared" si="38"/>
        <v>0</v>
      </c>
    </row>
    <row r="59" spans="1:54" x14ac:dyDescent="0.2">
      <c r="A59" s="71"/>
      <c r="B59" s="96" t="s">
        <v>52</v>
      </c>
      <c r="C59" s="95"/>
      <c r="D59" s="67">
        <f t="shared" si="0"/>
        <v>0</v>
      </c>
      <c r="E59" s="67">
        <f t="shared" si="1"/>
        <v>0</v>
      </c>
      <c r="F59" s="67">
        <f t="shared" si="2"/>
        <v>0</v>
      </c>
      <c r="G59" s="95"/>
      <c r="H59" s="67">
        <f t="shared" si="3"/>
        <v>0</v>
      </c>
      <c r="I59" s="67">
        <f t="shared" si="4"/>
        <v>0</v>
      </c>
      <c r="J59" s="67">
        <f t="shared" si="5"/>
        <v>0</v>
      </c>
      <c r="K59" s="95"/>
      <c r="L59" s="67">
        <f t="shared" si="6"/>
        <v>0</v>
      </c>
      <c r="M59" s="67">
        <f t="shared" si="7"/>
        <v>0</v>
      </c>
      <c r="N59" s="67">
        <f t="shared" si="8"/>
        <v>0</v>
      </c>
      <c r="O59" s="95"/>
      <c r="P59" s="67">
        <f t="shared" si="9"/>
        <v>0</v>
      </c>
      <c r="Q59" s="67">
        <f t="shared" si="10"/>
        <v>0</v>
      </c>
      <c r="R59" s="67">
        <f t="shared" si="11"/>
        <v>0</v>
      </c>
      <c r="S59" s="95"/>
      <c r="T59" s="67">
        <f t="shared" si="12"/>
        <v>0</v>
      </c>
      <c r="U59" s="67">
        <f t="shared" si="13"/>
        <v>0</v>
      </c>
      <c r="V59" s="67">
        <f t="shared" si="14"/>
        <v>0</v>
      </c>
      <c r="W59" s="95"/>
      <c r="X59" s="65">
        <f t="shared" si="15"/>
        <v>0</v>
      </c>
      <c r="Y59" s="65">
        <f t="shared" si="16"/>
        <v>0</v>
      </c>
      <c r="Z59" s="65">
        <f t="shared" si="17"/>
        <v>0</v>
      </c>
      <c r="AA59" s="65"/>
      <c r="AB59" s="65">
        <f t="shared" si="18"/>
        <v>0</v>
      </c>
      <c r="AC59" s="65">
        <f t="shared" si="19"/>
        <v>0</v>
      </c>
      <c r="AD59" s="65">
        <f t="shared" si="20"/>
        <v>0</v>
      </c>
      <c r="AE59" s="65"/>
      <c r="AF59" s="65">
        <f t="shared" si="21"/>
        <v>0</v>
      </c>
      <c r="AG59" s="65">
        <f t="shared" si="22"/>
        <v>0</v>
      </c>
      <c r="AH59" s="65">
        <f t="shared" si="23"/>
        <v>0</v>
      </c>
      <c r="AI59" s="65"/>
      <c r="AJ59" s="65">
        <f t="shared" si="24"/>
        <v>0</v>
      </c>
      <c r="AK59" s="65">
        <f t="shared" si="25"/>
        <v>0</v>
      </c>
      <c r="AL59" s="65">
        <f t="shared" si="26"/>
        <v>0</v>
      </c>
      <c r="AM59" s="65"/>
      <c r="AN59" s="65">
        <f t="shared" si="27"/>
        <v>0</v>
      </c>
      <c r="AO59" s="65">
        <f t="shared" si="28"/>
        <v>0</v>
      </c>
      <c r="AP59" s="65">
        <f t="shared" si="29"/>
        <v>0</v>
      </c>
      <c r="AQ59" s="65"/>
      <c r="AR59" s="65">
        <f t="shared" si="30"/>
        <v>0</v>
      </c>
      <c r="AS59" s="65">
        <f t="shared" si="31"/>
        <v>0</v>
      </c>
      <c r="AT59" s="65">
        <f t="shared" si="32"/>
        <v>0</v>
      </c>
      <c r="AU59" s="65"/>
      <c r="AV59" s="65">
        <f t="shared" si="33"/>
        <v>0</v>
      </c>
      <c r="AW59" s="65">
        <f t="shared" si="34"/>
        <v>0</v>
      </c>
      <c r="AX59" s="65">
        <f t="shared" si="35"/>
        <v>0</v>
      </c>
      <c r="AY59" s="65"/>
      <c r="AZ59" s="65">
        <f t="shared" si="36"/>
        <v>0</v>
      </c>
      <c r="BA59" s="65">
        <f t="shared" si="37"/>
        <v>0</v>
      </c>
      <c r="BB59" s="65">
        <f t="shared" si="38"/>
        <v>0</v>
      </c>
    </row>
    <row r="60" spans="1:54" x14ac:dyDescent="0.2">
      <c r="A60" s="71"/>
      <c r="B60" s="96" t="s">
        <v>52</v>
      </c>
      <c r="C60" s="95"/>
      <c r="D60" s="67">
        <f t="shared" si="0"/>
        <v>0</v>
      </c>
      <c r="E60" s="67">
        <f t="shared" si="1"/>
        <v>0</v>
      </c>
      <c r="F60" s="67">
        <f t="shared" si="2"/>
        <v>0</v>
      </c>
      <c r="G60" s="95"/>
      <c r="H60" s="67">
        <f t="shared" si="3"/>
        <v>0</v>
      </c>
      <c r="I60" s="67">
        <f t="shared" si="4"/>
        <v>0</v>
      </c>
      <c r="J60" s="67">
        <f t="shared" si="5"/>
        <v>0</v>
      </c>
      <c r="K60" s="95"/>
      <c r="L60" s="67">
        <f t="shared" si="6"/>
        <v>0</v>
      </c>
      <c r="M60" s="67">
        <f t="shared" si="7"/>
        <v>0</v>
      </c>
      <c r="N60" s="67">
        <f t="shared" si="8"/>
        <v>0</v>
      </c>
      <c r="O60" s="95"/>
      <c r="P60" s="67">
        <f t="shared" si="9"/>
        <v>0</v>
      </c>
      <c r="Q60" s="67">
        <f t="shared" si="10"/>
        <v>0</v>
      </c>
      <c r="R60" s="67">
        <f t="shared" si="11"/>
        <v>0</v>
      </c>
      <c r="S60" s="95"/>
      <c r="T60" s="67">
        <f t="shared" si="12"/>
        <v>0</v>
      </c>
      <c r="U60" s="67">
        <f t="shared" si="13"/>
        <v>0</v>
      </c>
      <c r="V60" s="67">
        <f t="shared" si="14"/>
        <v>0</v>
      </c>
      <c r="W60" s="95"/>
      <c r="X60" s="65">
        <f t="shared" si="15"/>
        <v>0</v>
      </c>
      <c r="Y60" s="65">
        <f t="shared" si="16"/>
        <v>0</v>
      </c>
      <c r="Z60" s="65">
        <f t="shared" si="17"/>
        <v>0</v>
      </c>
      <c r="AA60" s="65"/>
      <c r="AB60" s="65">
        <f t="shared" si="18"/>
        <v>0</v>
      </c>
      <c r="AC60" s="65">
        <f t="shared" si="19"/>
        <v>0</v>
      </c>
      <c r="AD60" s="65">
        <f t="shared" si="20"/>
        <v>0</v>
      </c>
      <c r="AE60" s="65"/>
      <c r="AF60" s="65">
        <f t="shared" si="21"/>
        <v>0</v>
      </c>
      <c r="AG60" s="65">
        <f t="shared" si="22"/>
        <v>0</v>
      </c>
      <c r="AH60" s="65">
        <f t="shared" si="23"/>
        <v>0</v>
      </c>
      <c r="AI60" s="65"/>
      <c r="AJ60" s="65">
        <f t="shared" si="24"/>
        <v>0</v>
      </c>
      <c r="AK60" s="65">
        <f t="shared" si="25"/>
        <v>0</v>
      </c>
      <c r="AL60" s="65">
        <f t="shared" si="26"/>
        <v>0</v>
      </c>
      <c r="AM60" s="65"/>
      <c r="AN60" s="65">
        <f t="shared" si="27"/>
        <v>0</v>
      </c>
      <c r="AO60" s="65">
        <f t="shared" si="28"/>
        <v>0</v>
      </c>
      <c r="AP60" s="65">
        <f t="shared" si="29"/>
        <v>0</v>
      </c>
      <c r="AQ60" s="65"/>
      <c r="AR60" s="65">
        <f t="shared" si="30"/>
        <v>0</v>
      </c>
      <c r="AS60" s="65">
        <f t="shared" si="31"/>
        <v>0</v>
      </c>
      <c r="AT60" s="65">
        <f t="shared" si="32"/>
        <v>0</v>
      </c>
      <c r="AU60" s="65"/>
      <c r="AV60" s="65">
        <f t="shared" si="33"/>
        <v>0</v>
      </c>
      <c r="AW60" s="65">
        <f t="shared" si="34"/>
        <v>0</v>
      </c>
      <c r="AX60" s="65">
        <f t="shared" si="35"/>
        <v>0</v>
      </c>
      <c r="AY60" s="65"/>
      <c r="AZ60" s="65">
        <f t="shared" si="36"/>
        <v>0</v>
      </c>
      <c r="BA60" s="65">
        <f t="shared" si="37"/>
        <v>0</v>
      </c>
      <c r="BB60" s="65">
        <f t="shared" si="38"/>
        <v>0</v>
      </c>
    </row>
    <row r="61" spans="1:54" x14ac:dyDescent="0.2">
      <c r="A61" s="71"/>
      <c r="B61" s="96" t="s">
        <v>52</v>
      </c>
      <c r="C61" s="95"/>
      <c r="D61" s="67">
        <f t="shared" si="0"/>
        <v>0</v>
      </c>
      <c r="E61" s="67">
        <f t="shared" si="1"/>
        <v>0</v>
      </c>
      <c r="F61" s="67">
        <f t="shared" si="2"/>
        <v>0</v>
      </c>
      <c r="G61" s="95"/>
      <c r="H61" s="67">
        <f t="shared" si="3"/>
        <v>0</v>
      </c>
      <c r="I61" s="67">
        <f t="shared" si="4"/>
        <v>0</v>
      </c>
      <c r="J61" s="67">
        <f t="shared" si="5"/>
        <v>0</v>
      </c>
      <c r="K61" s="95"/>
      <c r="L61" s="67">
        <f t="shared" si="6"/>
        <v>0</v>
      </c>
      <c r="M61" s="67">
        <f t="shared" si="7"/>
        <v>0</v>
      </c>
      <c r="N61" s="67">
        <f t="shared" si="8"/>
        <v>0</v>
      </c>
      <c r="O61" s="95"/>
      <c r="P61" s="67">
        <f t="shared" si="9"/>
        <v>0</v>
      </c>
      <c r="Q61" s="67">
        <f t="shared" si="10"/>
        <v>0</v>
      </c>
      <c r="R61" s="67">
        <f t="shared" si="11"/>
        <v>0</v>
      </c>
      <c r="S61" s="95"/>
      <c r="T61" s="67">
        <f t="shared" si="12"/>
        <v>0</v>
      </c>
      <c r="U61" s="67">
        <f t="shared" si="13"/>
        <v>0</v>
      </c>
      <c r="V61" s="67">
        <f t="shared" si="14"/>
        <v>0</v>
      </c>
      <c r="W61" s="95"/>
      <c r="X61" s="65">
        <f t="shared" si="15"/>
        <v>0</v>
      </c>
      <c r="Y61" s="65">
        <f t="shared" si="16"/>
        <v>0</v>
      </c>
      <c r="Z61" s="65">
        <f t="shared" si="17"/>
        <v>0</v>
      </c>
      <c r="AA61" s="65"/>
      <c r="AB61" s="65">
        <f t="shared" si="18"/>
        <v>0</v>
      </c>
      <c r="AC61" s="65">
        <f t="shared" si="19"/>
        <v>0</v>
      </c>
      <c r="AD61" s="65">
        <f t="shared" si="20"/>
        <v>0</v>
      </c>
      <c r="AE61" s="65"/>
      <c r="AF61" s="65">
        <f t="shared" si="21"/>
        <v>0</v>
      </c>
      <c r="AG61" s="65">
        <f t="shared" si="22"/>
        <v>0</v>
      </c>
      <c r="AH61" s="65">
        <f t="shared" si="23"/>
        <v>0</v>
      </c>
      <c r="AI61" s="65"/>
      <c r="AJ61" s="65">
        <f t="shared" si="24"/>
        <v>0</v>
      </c>
      <c r="AK61" s="65">
        <f t="shared" si="25"/>
        <v>0</v>
      </c>
      <c r="AL61" s="65">
        <f t="shared" si="26"/>
        <v>0</v>
      </c>
      <c r="AM61" s="65"/>
      <c r="AN61" s="65">
        <f t="shared" si="27"/>
        <v>0</v>
      </c>
      <c r="AO61" s="65">
        <f t="shared" si="28"/>
        <v>0</v>
      </c>
      <c r="AP61" s="65">
        <f t="shared" si="29"/>
        <v>0</v>
      </c>
      <c r="AQ61" s="65"/>
      <c r="AR61" s="65">
        <f t="shared" si="30"/>
        <v>0</v>
      </c>
      <c r="AS61" s="65">
        <f t="shared" si="31"/>
        <v>0</v>
      </c>
      <c r="AT61" s="65">
        <f t="shared" si="32"/>
        <v>0</v>
      </c>
      <c r="AU61" s="65"/>
      <c r="AV61" s="65">
        <f t="shared" si="33"/>
        <v>0</v>
      </c>
      <c r="AW61" s="65">
        <f t="shared" si="34"/>
        <v>0</v>
      </c>
      <c r="AX61" s="65">
        <f t="shared" si="35"/>
        <v>0</v>
      </c>
      <c r="AY61" s="65"/>
      <c r="AZ61" s="65">
        <f t="shared" si="36"/>
        <v>0</v>
      </c>
      <c r="BA61" s="65">
        <f t="shared" si="37"/>
        <v>0</v>
      </c>
      <c r="BB61" s="65">
        <f t="shared" si="38"/>
        <v>0</v>
      </c>
    </row>
    <row r="62" spans="1:54" x14ac:dyDescent="0.2">
      <c r="A62" s="71"/>
      <c r="B62" s="96" t="s">
        <v>52</v>
      </c>
      <c r="C62" s="95"/>
      <c r="D62" s="67">
        <f t="shared" si="0"/>
        <v>0</v>
      </c>
      <c r="E62" s="67">
        <f t="shared" si="1"/>
        <v>0</v>
      </c>
      <c r="F62" s="67">
        <f t="shared" si="2"/>
        <v>0</v>
      </c>
      <c r="G62" s="95"/>
      <c r="H62" s="67">
        <f t="shared" si="3"/>
        <v>0</v>
      </c>
      <c r="I62" s="67">
        <f t="shared" si="4"/>
        <v>0</v>
      </c>
      <c r="J62" s="67">
        <f t="shared" si="5"/>
        <v>0</v>
      </c>
      <c r="K62" s="95"/>
      <c r="L62" s="67">
        <f t="shared" si="6"/>
        <v>0</v>
      </c>
      <c r="M62" s="67">
        <f t="shared" si="7"/>
        <v>0</v>
      </c>
      <c r="N62" s="67">
        <f t="shared" si="8"/>
        <v>0</v>
      </c>
      <c r="O62" s="95"/>
      <c r="P62" s="67">
        <f t="shared" si="9"/>
        <v>0</v>
      </c>
      <c r="Q62" s="67">
        <f t="shared" si="10"/>
        <v>0</v>
      </c>
      <c r="R62" s="67">
        <f t="shared" si="11"/>
        <v>0</v>
      </c>
      <c r="S62" s="95"/>
      <c r="T62" s="67">
        <f t="shared" si="12"/>
        <v>0</v>
      </c>
      <c r="U62" s="67">
        <f t="shared" si="13"/>
        <v>0</v>
      </c>
      <c r="V62" s="67">
        <f t="shared" si="14"/>
        <v>0</v>
      </c>
      <c r="W62" s="95"/>
      <c r="X62" s="65">
        <f t="shared" si="15"/>
        <v>0</v>
      </c>
      <c r="Y62" s="65">
        <f t="shared" si="16"/>
        <v>0</v>
      </c>
      <c r="Z62" s="65">
        <f t="shared" si="17"/>
        <v>0</v>
      </c>
      <c r="AA62" s="65"/>
      <c r="AB62" s="65">
        <f t="shared" si="18"/>
        <v>0</v>
      </c>
      <c r="AC62" s="65">
        <f t="shared" si="19"/>
        <v>0</v>
      </c>
      <c r="AD62" s="65">
        <f t="shared" si="20"/>
        <v>0</v>
      </c>
      <c r="AE62" s="65"/>
      <c r="AF62" s="65">
        <f t="shared" si="21"/>
        <v>0</v>
      </c>
      <c r="AG62" s="65">
        <f t="shared" si="22"/>
        <v>0</v>
      </c>
      <c r="AH62" s="65">
        <f t="shared" si="23"/>
        <v>0</v>
      </c>
      <c r="AI62" s="65"/>
      <c r="AJ62" s="65">
        <f t="shared" si="24"/>
        <v>0</v>
      </c>
      <c r="AK62" s="65">
        <f t="shared" si="25"/>
        <v>0</v>
      </c>
      <c r="AL62" s="65">
        <f t="shared" si="26"/>
        <v>0</v>
      </c>
      <c r="AM62" s="65"/>
      <c r="AN62" s="65">
        <f t="shared" si="27"/>
        <v>0</v>
      </c>
      <c r="AO62" s="65">
        <f t="shared" si="28"/>
        <v>0</v>
      </c>
      <c r="AP62" s="65">
        <f t="shared" si="29"/>
        <v>0</v>
      </c>
      <c r="AQ62" s="65"/>
      <c r="AR62" s="65">
        <f t="shared" si="30"/>
        <v>0</v>
      </c>
      <c r="AS62" s="65">
        <f t="shared" si="31"/>
        <v>0</v>
      </c>
      <c r="AT62" s="65">
        <f t="shared" si="32"/>
        <v>0</v>
      </c>
      <c r="AU62" s="65"/>
      <c r="AV62" s="65">
        <f t="shared" si="33"/>
        <v>0</v>
      </c>
      <c r="AW62" s="65">
        <f t="shared" si="34"/>
        <v>0</v>
      </c>
      <c r="AX62" s="65">
        <f t="shared" si="35"/>
        <v>0</v>
      </c>
      <c r="AY62" s="65"/>
      <c r="AZ62" s="65">
        <f t="shared" si="36"/>
        <v>0</v>
      </c>
      <c r="BA62" s="65">
        <f t="shared" si="37"/>
        <v>0</v>
      </c>
      <c r="BB62" s="65">
        <f t="shared" si="38"/>
        <v>0</v>
      </c>
    </row>
    <row r="63" spans="1:54" x14ac:dyDescent="0.2">
      <c r="A63" s="71"/>
      <c r="B63" s="96" t="s">
        <v>52</v>
      </c>
      <c r="C63" s="95"/>
      <c r="D63" s="67">
        <f t="shared" si="0"/>
        <v>0</v>
      </c>
      <c r="E63" s="67">
        <f t="shared" si="1"/>
        <v>0</v>
      </c>
      <c r="F63" s="67">
        <f t="shared" si="2"/>
        <v>0</v>
      </c>
      <c r="G63" s="95"/>
      <c r="H63" s="67">
        <f t="shared" si="3"/>
        <v>0</v>
      </c>
      <c r="I63" s="67">
        <f t="shared" si="4"/>
        <v>0</v>
      </c>
      <c r="J63" s="67">
        <f t="shared" si="5"/>
        <v>0</v>
      </c>
      <c r="K63" s="95"/>
      <c r="L63" s="67">
        <f t="shared" si="6"/>
        <v>0</v>
      </c>
      <c r="M63" s="67">
        <f t="shared" si="7"/>
        <v>0</v>
      </c>
      <c r="N63" s="67">
        <f t="shared" si="8"/>
        <v>0</v>
      </c>
      <c r="O63" s="95"/>
      <c r="P63" s="67">
        <f t="shared" si="9"/>
        <v>0</v>
      </c>
      <c r="Q63" s="67">
        <f t="shared" si="10"/>
        <v>0</v>
      </c>
      <c r="R63" s="67">
        <f t="shared" si="11"/>
        <v>0</v>
      </c>
      <c r="S63" s="95"/>
      <c r="T63" s="67">
        <f t="shared" si="12"/>
        <v>0</v>
      </c>
      <c r="U63" s="67">
        <f t="shared" si="13"/>
        <v>0</v>
      </c>
      <c r="V63" s="67">
        <f t="shared" si="14"/>
        <v>0</v>
      </c>
      <c r="W63" s="95"/>
      <c r="X63" s="65">
        <f t="shared" si="15"/>
        <v>0</v>
      </c>
      <c r="Y63" s="65">
        <f t="shared" si="16"/>
        <v>0</v>
      </c>
      <c r="Z63" s="65">
        <f t="shared" si="17"/>
        <v>0</v>
      </c>
      <c r="AA63" s="65"/>
      <c r="AB63" s="65">
        <f t="shared" si="18"/>
        <v>0</v>
      </c>
      <c r="AC63" s="65">
        <f t="shared" si="19"/>
        <v>0</v>
      </c>
      <c r="AD63" s="65">
        <f t="shared" si="20"/>
        <v>0</v>
      </c>
      <c r="AE63" s="65"/>
      <c r="AF63" s="65">
        <f t="shared" si="21"/>
        <v>0</v>
      </c>
      <c r="AG63" s="65">
        <f t="shared" si="22"/>
        <v>0</v>
      </c>
      <c r="AH63" s="65">
        <f t="shared" si="23"/>
        <v>0</v>
      </c>
      <c r="AI63" s="65"/>
      <c r="AJ63" s="65">
        <f t="shared" si="24"/>
        <v>0</v>
      </c>
      <c r="AK63" s="65">
        <f t="shared" si="25"/>
        <v>0</v>
      </c>
      <c r="AL63" s="65">
        <f t="shared" si="26"/>
        <v>0</v>
      </c>
      <c r="AM63" s="65"/>
      <c r="AN63" s="65">
        <f t="shared" si="27"/>
        <v>0</v>
      </c>
      <c r="AO63" s="65">
        <f t="shared" si="28"/>
        <v>0</v>
      </c>
      <c r="AP63" s="65">
        <f t="shared" si="29"/>
        <v>0</v>
      </c>
      <c r="AQ63" s="65"/>
      <c r="AR63" s="65">
        <f t="shared" si="30"/>
        <v>0</v>
      </c>
      <c r="AS63" s="65">
        <f t="shared" si="31"/>
        <v>0</v>
      </c>
      <c r="AT63" s="65">
        <f t="shared" si="32"/>
        <v>0</v>
      </c>
      <c r="AU63" s="65"/>
      <c r="AV63" s="65">
        <f t="shared" si="33"/>
        <v>0</v>
      </c>
      <c r="AW63" s="65">
        <f t="shared" si="34"/>
        <v>0</v>
      </c>
      <c r="AX63" s="65">
        <f t="shared" si="35"/>
        <v>0</v>
      </c>
      <c r="AY63" s="65"/>
      <c r="AZ63" s="65">
        <f t="shared" si="36"/>
        <v>0</v>
      </c>
      <c r="BA63" s="65">
        <f t="shared" si="37"/>
        <v>0</v>
      </c>
      <c r="BB63" s="65">
        <f t="shared" si="38"/>
        <v>0</v>
      </c>
    </row>
    <row r="64" spans="1:54" x14ac:dyDescent="0.2">
      <c r="A64" s="71"/>
      <c r="B64" s="96" t="s">
        <v>52</v>
      </c>
      <c r="C64" s="95"/>
      <c r="D64" s="67">
        <f t="shared" si="0"/>
        <v>0</v>
      </c>
      <c r="E64" s="67">
        <f t="shared" si="1"/>
        <v>0</v>
      </c>
      <c r="F64" s="67">
        <f t="shared" si="2"/>
        <v>0</v>
      </c>
      <c r="G64" s="95"/>
      <c r="H64" s="67">
        <f t="shared" si="3"/>
        <v>0</v>
      </c>
      <c r="I64" s="67">
        <f t="shared" si="4"/>
        <v>0</v>
      </c>
      <c r="J64" s="67">
        <f t="shared" si="5"/>
        <v>0</v>
      </c>
      <c r="K64" s="95"/>
      <c r="L64" s="67">
        <f t="shared" si="6"/>
        <v>0</v>
      </c>
      <c r="M64" s="67">
        <f t="shared" si="7"/>
        <v>0</v>
      </c>
      <c r="N64" s="67">
        <f t="shared" si="8"/>
        <v>0</v>
      </c>
      <c r="O64" s="95"/>
      <c r="P64" s="67">
        <f t="shared" si="9"/>
        <v>0</v>
      </c>
      <c r="Q64" s="67">
        <f t="shared" si="10"/>
        <v>0</v>
      </c>
      <c r="R64" s="67">
        <f t="shared" si="11"/>
        <v>0</v>
      </c>
      <c r="S64" s="95"/>
      <c r="T64" s="67">
        <f t="shared" si="12"/>
        <v>0</v>
      </c>
      <c r="U64" s="67">
        <f t="shared" si="13"/>
        <v>0</v>
      </c>
      <c r="V64" s="67">
        <f t="shared" si="14"/>
        <v>0</v>
      </c>
      <c r="W64" s="95"/>
      <c r="X64" s="65">
        <f t="shared" si="15"/>
        <v>0</v>
      </c>
      <c r="Y64" s="65">
        <f t="shared" si="16"/>
        <v>0</v>
      </c>
      <c r="Z64" s="65">
        <f t="shared" si="17"/>
        <v>0</v>
      </c>
      <c r="AA64" s="65"/>
      <c r="AB64" s="65">
        <f t="shared" si="18"/>
        <v>0</v>
      </c>
      <c r="AC64" s="65">
        <f t="shared" si="19"/>
        <v>0</v>
      </c>
      <c r="AD64" s="65">
        <f t="shared" si="20"/>
        <v>0</v>
      </c>
      <c r="AE64" s="65"/>
      <c r="AF64" s="65">
        <f t="shared" si="21"/>
        <v>0</v>
      </c>
      <c r="AG64" s="65">
        <f t="shared" si="22"/>
        <v>0</v>
      </c>
      <c r="AH64" s="65">
        <f t="shared" si="23"/>
        <v>0</v>
      </c>
      <c r="AI64" s="65"/>
      <c r="AJ64" s="65">
        <f t="shared" si="24"/>
        <v>0</v>
      </c>
      <c r="AK64" s="65">
        <f t="shared" si="25"/>
        <v>0</v>
      </c>
      <c r="AL64" s="65">
        <f t="shared" si="26"/>
        <v>0</v>
      </c>
      <c r="AM64" s="65"/>
      <c r="AN64" s="65">
        <f t="shared" si="27"/>
        <v>0</v>
      </c>
      <c r="AO64" s="65">
        <f t="shared" si="28"/>
        <v>0</v>
      </c>
      <c r="AP64" s="65">
        <f t="shared" si="29"/>
        <v>0</v>
      </c>
      <c r="AQ64" s="65"/>
      <c r="AR64" s="65">
        <f t="shared" si="30"/>
        <v>0</v>
      </c>
      <c r="AS64" s="65">
        <f t="shared" si="31"/>
        <v>0</v>
      </c>
      <c r="AT64" s="65">
        <f t="shared" si="32"/>
        <v>0</v>
      </c>
      <c r="AU64" s="65"/>
      <c r="AV64" s="65">
        <f t="shared" si="33"/>
        <v>0</v>
      </c>
      <c r="AW64" s="65">
        <f t="shared" si="34"/>
        <v>0</v>
      </c>
      <c r="AX64" s="65">
        <f t="shared" si="35"/>
        <v>0</v>
      </c>
      <c r="AY64" s="65"/>
      <c r="AZ64" s="65">
        <f t="shared" si="36"/>
        <v>0</v>
      </c>
      <c r="BA64" s="65">
        <f t="shared" si="37"/>
        <v>0</v>
      </c>
      <c r="BB64" s="65">
        <f t="shared" si="38"/>
        <v>0</v>
      </c>
    </row>
    <row r="65" spans="1:54" x14ac:dyDescent="0.2">
      <c r="A65" s="71"/>
      <c r="B65" s="96" t="s">
        <v>52</v>
      </c>
      <c r="C65" s="95"/>
      <c r="D65" s="67">
        <f t="shared" si="0"/>
        <v>0</v>
      </c>
      <c r="E65" s="67">
        <f t="shared" si="1"/>
        <v>0</v>
      </c>
      <c r="F65" s="67">
        <f t="shared" si="2"/>
        <v>0</v>
      </c>
      <c r="G65" s="95"/>
      <c r="H65" s="67">
        <f t="shared" si="3"/>
        <v>0</v>
      </c>
      <c r="I65" s="67">
        <f t="shared" si="4"/>
        <v>0</v>
      </c>
      <c r="J65" s="67">
        <f t="shared" si="5"/>
        <v>0</v>
      </c>
      <c r="K65" s="95"/>
      <c r="L65" s="67">
        <f t="shared" si="6"/>
        <v>0</v>
      </c>
      <c r="M65" s="67">
        <f t="shared" si="7"/>
        <v>0</v>
      </c>
      <c r="N65" s="67">
        <f t="shared" si="8"/>
        <v>0</v>
      </c>
      <c r="O65" s="95"/>
      <c r="P65" s="67">
        <f t="shared" si="9"/>
        <v>0</v>
      </c>
      <c r="Q65" s="67">
        <f t="shared" si="10"/>
        <v>0</v>
      </c>
      <c r="R65" s="67">
        <f t="shared" si="11"/>
        <v>0</v>
      </c>
      <c r="S65" s="95"/>
      <c r="T65" s="67">
        <f t="shared" si="12"/>
        <v>0</v>
      </c>
      <c r="U65" s="67">
        <f t="shared" si="13"/>
        <v>0</v>
      </c>
      <c r="V65" s="67">
        <f t="shared" si="14"/>
        <v>0</v>
      </c>
      <c r="W65" s="95"/>
      <c r="X65" s="65">
        <f t="shared" si="15"/>
        <v>0</v>
      </c>
      <c r="Y65" s="65">
        <f t="shared" si="16"/>
        <v>0</v>
      </c>
      <c r="Z65" s="65">
        <f t="shared" si="17"/>
        <v>0</v>
      </c>
      <c r="AA65" s="65"/>
      <c r="AB65" s="65">
        <f t="shared" si="18"/>
        <v>0</v>
      </c>
      <c r="AC65" s="65">
        <f t="shared" si="19"/>
        <v>0</v>
      </c>
      <c r="AD65" s="65">
        <f t="shared" si="20"/>
        <v>0</v>
      </c>
      <c r="AE65" s="65"/>
      <c r="AF65" s="65">
        <f t="shared" si="21"/>
        <v>0</v>
      </c>
      <c r="AG65" s="65">
        <f t="shared" si="22"/>
        <v>0</v>
      </c>
      <c r="AH65" s="65">
        <f t="shared" si="23"/>
        <v>0</v>
      </c>
      <c r="AI65" s="65"/>
      <c r="AJ65" s="65">
        <f t="shared" si="24"/>
        <v>0</v>
      </c>
      <c r="AK65" s="65">
        <f t="shared" si="25"/>
        <v>0</v>
      </c>
      <c r="AL65" s="65">
        <f t="shared" si="26"/>
        <v>0</v>
      </c>
      <c r="AM65" s="65"/>
      <c r="AN65" s="65">
        <f t="shared" si="27"/>
        <v>0</v>
      </c>
      <c r="AO65" s="65">
        <f t="shared" si="28"/>
        <v>0</v>
      </c>
      <c r="AP65" s="65">
        <f t="shared" si="29"/>
        <v>0</v>
      </c>
      <c r="AQ65" s="65"/>
      <c r="AR65" s="65">
        <f t="shared" si="30"/>
        <v>0</v>
      </c>
      <c r="AS65" s="65">
        <f t="shared" si="31"/>
        <v>0</v>
      </c>
      <c r="AT65" s="65">
        <f t="shared" si="32"/>
        <v>0</v>
      </c>
      <c r="AU65" s="65"/>
      <c r="AV65" s="65">
        <f t="shared" si="33"/>
        <v>0</v>
      </c>
      <c r="AW65" s="65">
        <f t="shared" si="34"/>
        <v>0</v>
      </c>
      <c r="AX65" s="65">
        <f t="shared" si="35"/>
        <v>0</v>
      </c>
      <c r="AY65" s="65"/>
      <c r="AZ65" s="65">
        <f t="shared" si="36"/>
        <v>0</v>
      </c>
      <c r="BA65" s="65">
        <f t="shared" si="37"/>
        <v>0</v>
      </c>
      <c r="BB65" s="65">
        <f t="shared" si="38"/>
        <v>0</v>
      </c>
    </row>
    <row r="66" spans="1:54" x14ac:dyDescent="0.2">
      <c r="A66" s="71"/>
      <c r="B66" s="96" t="s">
        <v>52</v>
      </c>
      <c r="C66" s="95"/>
      <c r="D66" s="67">
        <f t="shared" si="0"/>
        <v>0</v>
      </c>
      <c r="E66" s="67">
        <f t="shared" si="1"/>
        <v>0</v>
      </c>
      <c r="F66" s="67">
        <f t="shared" si="2"/>
        <v>0</v>
      </c>
      <c r="G66" s="95"/>
      <c r="H66" s="67">
        <f t="shared" si="3"/>
        <v>0</v>
      </c>
      <c r="I66" s="67">
        <f t="shared" si="4"/>
        <v>0</v>
      </c>
      <c r="J66" s="67">
        <f t="shared" si="5"/>
        <v>0</v>
      </c>
      <c r="K66" s="95"/>
      <c r="L66" s="67">
        <f t="shared" si="6"/>
        <v>0</v>
      </c>
      <c r="M66" s="67">
        <f t="shared" si="7"/>
        <v>0</v>
      </c>
      <c r="N66" s="67">
        <f t="shared" si="8"/>
        <v>0</v>
      </c>
      <c r="O66" s="95"/>
      <c r="P66" s="67">
        <f t="shared" si="9"/>
        <v>0</v>
      </c>
      <c r="Q66" s="67">
        <f t="shared" si="10"/>
        <v>0</v>
      </c>
      <c r="R66" s="67">
        <f t="shared" si="11"/>
        <v>0</v>
      </c>
      <c r="S66" s="95"/>
      <c r="T66" s="67">
        <f t="shared" si="12"/>
        <v>0</v>
      </c>
      <c r="U66" s="67">
        <f t="shared" si="13"/>
        <v>0</v>
      </c>
      <c r="V66" s="67">
        <f t="shared" si="14"/>
        <v>0</v>
      </c>
      <c r="W66" s="95"/>
      <c r="X66" s="65">
        <f t="shared" si="15"/>
        <v>0</v>
      </c>
      <c r="Y66" s="65">
        <f t="shared" si="16"/>
        <v>0</v>
      </c>
      <c r="Z66" s="65">
        <f t="shared" si="17"/>
        <v>0</v>
      </c>
      <c r="AA66" s="65"/>
      <c r="AB66" s="65">
        <f t="shared" si="18"/>
        <v>0</v>
      </c>
      <c r="AC66" s="65">
        <f t="shared" si="19"/>
        <v>0</v>
      </c>
      <c r="AD66" s="65">
        <f t="shared" si="20"/>
        <v>0</v>
      </c>
      <c r="AE66" s="65"/>
      <c r="AF66" s="65">
        <f t="shared" si="21"/>
        <v>0</v>
      </c>
      <c r="AG66" s="65">
        <f t="shared" si="22"/>
        <v>0</v>
      </c>
      <c r="AH66" s="65">
        <f t="shared" si="23"/>
        <v>0</v>
      </c>
      <c r="AI66" s="65"/>
      <c r="AJ66" s="65">
        <f t="shared" si="24"/>
        <v>0</v>
      </c>
      <c r="AK66" s="65">
        <f t="shared" si="25"/>
        <v>0</v>
      </c>
      <c r="AL66" s="65">
        <f t="shared" si="26"/>
        <v>0</v>
      </c>
      <c r="AM66" s="65"/>
      <c r="AN66" s="65">
        <f t="shared" si="27"/>
        <v>0</v>
      </c>
      <c r="AO66" s="65">
        <f t="shared" si="28"/>
        <v>0</v>
      </c>
      <c r="AP66" s="65">
        <f t="shared" si="29"/>
        <v>0</v>
      </c>
      <c r="AQ66" s="65"/>
      <c r="AR66" s="65">
        <f t="shared" si="30"/>
        <v>0</v>
      </c>
      <c r="AS66" s="65">
        <f t="shared" si="31"/>
        <v>0</v>
      </c>
      <c r="AT66" s="65">
        <f t="shared" si="32"/>
        <v>0</v>
      </c>
      <c r="AU66" s="65"/>
      <c r="AV66" s="65">
        <f t="shared" si="33"/>
        <v>0</v>
      </c>
      <c r="AW66" s="65">
        <f t="shared" si="34"/>
        <v>0</v>
      </c>
      <c r="AX66" s="65">
        <f t="shared" si="35"/>
        <v>0</v>
      </c>
      <c r="AY66" s="65"/>
      <c r="AZ66" s="65">
        <f t="shared" si="36"/>
        <v>0</v>
      </c>
      <c r="BA66" s="65">
        <f t="shared" si="37"/>
        <v>0</v>
      </c>
      <c r="BB66" s="65">
        <f t="shared" si="38"/>
        <v>0</v>
      </c>
    </row>
    <row r="67" spans="1:54" x14ac:dyDescent="0.2">
      <c r="A67" s="71"/>
      <c r="B67" s="96" t="s">
        <v>52</v>
      </c>
      <c r="C67" s="95"/>
      <c r="D67" s="67">
        <f t="shared" si="0"/>
        <v>0</v>
      </c>
      <c r="E67" s="67">
        <f t="shared" si="1"/>
        <v>0</v>
      </c>
      <c r="F67" s="67">
        <f t="shared" si="2"/>
        <v>0</v>
      </c>
      <c r="G67" s="95"/>
      <c r="H67" s="67">
        <f t="shared" si="3"/>
        <v>0</v>
      </c>
      <c r="I67" s="67">
        <f t="shared" si="4"/>
        <v>0</v>
      </c>
      <c r="J67" s="67">
        <f t="shared" si="5"/>
        <v>0</v>
      </c>
      <c r="K67" s="95"/>
      <c r="L67" s="67">
        <f t="shared" si="6"/>
        <v>0</v>
      </c>
      <c r="M67" s="67">
        <f t="shared" si="7"/>
        <v>0</v>
      </c>
      <c r="N67" s="67">
        <f t="shared" si="8"/>
        <v>0</v>
      </c>
      <c r="O67" s="95"/>
      <c r="P67" s="67">
        <f t="shared" si="9"/>
        <v>0</v>
      </c>
      <c r="Q67" s="67">
        <f t="shared" si="10"/>
        <v>0</v>
      </c>
      <c r="R67" s="67">
        <f t="shared" si="11"/>
        <v>0</v>
      </c>
      <c r="S67" s="95"/>
      <c r="T67" s="67">
        <f t="shared" si="12"/>
        <v>0</v>
      </c>
      <c r="U67" s="67">
        <f t="shared" si="13"/>
        <v>0</v>
      </c>
      <c r="V67" s="67">
        <f t="shared" si="14"/>
        <v>0</v>
      </c>
      <c r="W67" s="95"/>
      <c r="X67" s="65">
        <f t="shared" si="15"/>
        <v>0</v>
      </c>
      <c r="Y67" s="65">
        <f t="shared" si="16"/>
        <v>0</v>
      </c>
      <c r="Z67" s="65">
        <f t="shared" si="17"/>
        <v>0</v>
      </c>
      <c r="AA67" s="65"/>
      <c r="AB67" s="65">
        <f t="shared" si="18"/>
        <v>0</v>
      </c>
      <c r="AC67" s="65">
        <f t="shared" si="19"/>
        <v>0</v>
      </c>
      <c r="AD67" s="65">
        <f t="shared" si="20"/>
        <v>0</v>
      </c>
      <c r="AE67" s="65"/>
      <c r="AF67" s="65">
        <f t="shared" si="21"/>
        <v>0</v>
      </c>
      <c r="AG67" s="65">
        <f t="shared" si="22"/>
        <v>0</v>
      </c>
      <c r="AH67" s="65">
        <f t="shared" si="23"/>
        <v>0</v>
      </c>
      <c r="AI67" s="65"/>
      <c r="AJ67" s="65">
        <f t="shared" si="24"/>
        <v>0</v>
      </c>
      <c r="AK67" s="65">
        <f t="shared" si="25"/>
        <v>0</v>
      </c>
      <c r="AL67" s="65">
        <f t="shared" si="26"/>
        <v>0</v>
      </c>
      <c r="AM67" s="65"/>
      <c r="AN67" s="65">
        <f t="shared" si="27"/>
        <v>0</v>
      </c>
      <c r="AO67" s="65">
        <f t="shared" si="28"/>
        <v>0</v>
      </c>
      <c r="AP67" s="65">
        <f t="shared" si="29"/>
        <v>0</v>
      </c>
      <c r="AQ67" s="65"/>
      <c r="AR67" s="65">
        <f t="shared" si="30"/>
        <v>0</v>
      </c>
      <c r="AS67" s="65">
        <f t="shared" si="31"/>
        <v>0</v>
      </c>
      <c r="AT67" s="65">
        <f t="shared" si="32"/>
        <v>0</v>
      </c>
      <c r="AU67" s="65"/>
      <c r="AV67" s="65">
        <f t="shared" si="33"/>
        <v>0</v>
      </c>
      <c r="AW67" s="65">
        <f t="shared" si="34"/>
        <v>0</v>
      </c>
      <c r="AX67" s="65">
        <f t="shared" si="35"/>
        <v>0</v>
      </c>
      <c r="AY67" s="65"/>
      <c r="AZ67" s="65">
        <f t="shared" si="36"/>
        <v>0</v>
      </c>
      <c r="BA67" s="65">
        <f t="shared" si="37"/>
        <v>0</v>
      </c>
      <c r="BB67" s="65">
        <f t="shared" si="38"/>
        <v>0</v>
      </c>
    </row>
    <row r="68" spans="1:54" x14ac:dyDescent="0.2">
      <c r="A68" s="71"/>
      <c r="B68" s="96" t="s">
        <v>52</v>
      </c>
      <c r="C68" s="95"/>
      <c r="D68" s="67">
        <f t="shared" si="0"/>
        <v>0</v>
      </c>
      <c r="E68" s="67">
        <f t="shared" si="1"/>
        <v>0</v>
      </c>
      <c r="F68" s="67">
        <f t="shared" si="2"/>
        <v>0</v>
      </c>
      <c r="G68" s="95"/>
      <c r="H68" s="67">
        <f t="shared" si="3"/>
        <v>0</v>
      </c>
      <c r="I68" s="67">
        <f t="shared" si="4"/>
        <v>0</v>
      </c>
      <c r="J68" s="67">
        <f t="shared" si="5"/>
        <v>0</v>
      </c>
      <c r="K68" s="95"/>
      <c r="L68" s="67">
        <f t="shared" si="6"/>
        <v>0</v>
      </c>
      <c r="M68" s="67">
        <f t="shared" si="7"/>
        <v>0</v>
      </c>
      <c r="N68" s="67">
        <f t="shared" si="8"/>
        <v>0</v>
      </c>
      <c r="O68" s="95"/>
      <c r="P68" s="67">
        <f t="shared" si="9"/>
        <v>0</v>
      </c>
      <c r="Q68" s="67">
        <f t="shared" si="10"/>
        <v>0</v>
      </c>
      <c r="R68" s="67">
        <f t="shared" si="11"/>
        <v>0</v>
      </c>
      <c r="S68" s="95"/>
      <c r="T68" s="67">
        <f t="shared" si="12"/>
        <v>0</v>
      </c>
      <c r="U68" s="67">
        <f t="shared" si="13"/>
        <v>0</v>
      </c>
      <c r="V68" s="67">
        <f t="shared" si="14"/>
        <v>0</v>
      </c>
      <c r="W68" s="95"/>
      <c r="X68" s="65">
        <f t="shared" si="15"/>
        <v>0</v>
      </c>
      <c r="Y68" s="65">
        <f t="shared" si="16"/>
        <v>0</v>
      </c>
      <c r="Z68" s="65">
        <f t="shared" si="17"/>
        <v>0</v>
      </c>
      <c r="AA68" s="65"/>
      <c r="AB68" s="65">
        <f t="shared" si="18"/>
        <v>0</v>
      </c>
      <c r="AC68" s="65">
        <f t="shared" si="19"/>
        <v>0</v>
      </c>
      <c r="AD68" s="65">
        <f t="shared" si="20"/>
        <v>0</v>
      </c>
      <c r="AE68" s="65"/>
      <c r="AF68" s="65">
        <f t="shared" si="21"/>
        <v>0</v>
      </c>
      <c r="AG68" s="65">
        <f t="shared" si="22"/>
        <v>0</v>
      </c>
      <c r="AH68" s="65">
        <f t="shared" si="23"/>
        <v>0</v>
      </c>
      <c r="AI68" s="65"/>
      <c r="AJ68" s="65">
        <f t="shared" si="24"/>
        <v>0</v>
      </c>
      <c r="AK68" s="65">
        <f t="shared" si="25"/>
        <v>0</v>
      </c>
      <c r="AL68" s="65">
        <f t="shared" si="26"/>
        <v>0</v>
      </c>
      <c r="AM68" s="65"/>
      <c r="AN68" s="65">
        <f t="shared" si="27"/>
        <v>0</v>
      </c>
      <c r="AO68" s="65">
        <f t="shared" si="28"/>
        <v>0</v>
      </c>
      <c r="AP68" s="65">
        <f t="shared" si="29"/>
        <v>0</v>
      </c>
      <c r="AQ68" s="65"/>
      <c r="AR68" s="65">
        <f t="shared" si="30"/>
        <v>0</v>
      </c>
      <c r="AS68" s="65">
        <f t="shared" si="31"/>
        <v>0</v>
      </c>
      <c r="AT68" s="65">
        <f t="shared" si="32"/>
        <v>0</v>
      </c>
      <c r="AU68" s="65"/>
      <c r="AV68" s="65">
        <f t="shared" si="33"/>
        <v>0</v>
      </c>
      <c r="AW68" s="65">
        <f t="shared" si="34"/>
        <v>0</v>
      </c>
      <c r="AX68" s="65">
        <f t="shared" si="35"/>
        <v>0</v>
      </c>
      <c r="AY68" s="65"/>
      <c r="AZ68" s="65">
        <f t="shared" si="36"/>
        <v>0</v>
      </c>
      <c r="BA68" s="65">
        <f t="shared" si="37"/>
        <v>0</v>
      </c>
      <c r="BB68" s="65">
        <f t="shared" si="38"/>
        <v>0</v>
      </c>
    </row>
    <row r="69" spans="1:54" x14ac:dyDescent="0.2">
      <c r="A69" s="71"/>
      <c r="B69" s="96" t="s">
        <v>52</v>
      </c>
      <c r="C69" s="95"/>
      <c r="D69" s="67">
        <f t="shared" si="0"/>
        <v>0</v>
      </c>
      <c r="E69" s="67">
        <f t="shared" si="1"/>
        <v>0</v>
      </c>
      <c r="F69" s="67">
        <f t="shared" si="2"/>
        <v>0</v>
      </c>
      <c r="G69" s="95"/>
      <c r="H69" s="67">
        <f t="shared" si="3"/>
        <v>0</v>
      </c>
      <c r="I69" s="67">
        <f t="shared" si="4"/>
        <v>0</v>
      </c>
      <c r="J69" s="67">
        <f t="shared" si="5"/>
        <v>0</v>
      </c>
      <c r="K69" s="95"/>
      <c r="L69" s="67">
        <f t="shared" si="6"/>
        <v>0</v>
      </c>
      <c r="M69" s="67">
        <f t="shared" si="7"/>
        <v>0</v>
      </c>
      <c r="N69" s="67">
        <f t="shared" si="8"/>
        <v>0</v>
      </c>
      <c r="O69" s="95"/>
      <c r="P69" s="67">
        <f t="shared" si="9"/>
        <v>0</v>
      </c>
      <c r="Q69" s="67">
        <f t="shared" si="10"/>
        <v>0</v>
      </c>
      <c r="R69" s="67">
        <f t="shared" si="11"/>
        <v>0</v>
      </c>
      <c r="S69" s="95"/>
      <c r="T69" s="67">
        <f t="shared" si="12"/>
        <v>0</v>
      </c>
      <c r="U69" s="67">
        <f t="shared" si="13"/>
        <v>0</v>
      </c>
      <c r="V69" s="67">
        <f t="shared" si="14"/>
        <v>0</v>
      </c>
      <c r="W69" s="95"/>
      <c r="X69" s="65">
        <f t="shared" si="15"/>
        <v>0</v>
      </c>
      <c r="Y69" s="65">
        <f t="shared" si="16"/>
        <v>0</v>
      </c>
      <c r="Z69" s="65">
        <f t="shared" si="17"/>
        <v>0</v>
      </c>
      <c r="AA69" s="65"/>
      <c r="AB69" s="65">
        <f t="shared" si="18"/>
        <v>0</v>
      </c>
      <c r="AC69" s="65">
        <f t="shared" si="19"/>
        <v>0</v>
      </c>
      <c r="AD69" s="65">
        <f t="shared" si="20"/>
        <v>0</v>
      </c>
      <c r="AE69" s="65"/>
      <c r="AF69" s="65">
        <f t="shared" si="21"/>
        <v>0</v>
      </c>
      <c r="AG69" s="65">
        <f t="shared" si="22"/>
        <v>0</v>
      </c>
      <c r="AH69" s="65">
        <f t="shared" si="23"/>
        <v>0</v>
      </c>
      <c r="AI69" s="65"/>
      <c r="AJ69" s="65">
        <f t="shared" si="24"/>
        <v>0</v>
      </c>
      <c r="AK69" s="65">
        <f t="shared" si="25"/>
        <v>0</v>
      </c>
      <c r="AL69" s="65">
        <f t="shared" si="26"/>
        <v>0</v>
      </c>
      <c r="AM69" s="65"/>
      <c r="AN69" s="65">
        <f t="shared" si="27"/>
        <v>0</v>
      </c>
      <c r="AO69" s="65">
        <f t="shared" si="28"/>
        <v>0</v>
      </c>
      <c r="AP69" s="65">
        <f t="shared" si="29"/>
        <v>0</v>
      </c>
      <c r="AQ69" s="65"/>
      <c r="AR69" s="65">
        <f t="shared" si="30"/>
        <v>0</v>
      </c>
      <c r="AS69" s="65">
        <f t="shared" si="31"/>
        <v>0</v>
      </c>
      <c r="AT69" s="65">
        <f t="shared" si="32"/>
        <v>0</v>
      </c>
      <c r="AU69" s="65"/>
      <c r="AV69" s="65">
        <f t="shared" si="33"/>
        <v>0</v>
      </c>
      <c r="AW69" s="65">
        <f t="shared" si="34"/>
        <v>0</v>
      </c>
      <c r="AX69" s="65">
        <f t="shared" si="35"/>
        <v>0</v>
      </c>
      <c r="AY69" s="65"/>
      <c r="AZ69" s="65">
        <f t="shared" si="36"/>
        <v>0</v>
      </c>
      <c r="BA69" s="65">
        <f t="shared" si="37"/>
        <v>0</v>
      </c>
      <c r="BB69" s="65">
        <f t="shared" si="38"/>
        <v>0</v>
      </c>
    </row>
    <row r="70" spans="1:54" x14ac:dyDescent="0.2">
      <c r="A70" s="71"/>
      <c r="B70" s="96" t="s">
        <v>52</v>
      </c>
      <c r="C70" s="95"/>
      <c r="D70" s="67">
        <f t="shared" si="0"/>
        <v>0</v>
      </c>
      <c r="E70" s="67">
        <f t="shared" si="1"/>
        <v>0</v>
      </c>
      <c r="F70" s="67">
        <f t="shared" si="2"/>
        <v>0</v>
      </c>
      <c r="G70" s="95"/>
      <c r="H70" s="67">
        <f t="shared" si="3"/>
        <v>0</v>
      </c>
      <c r="I70" s="67">
        <f t="shared" si="4"/>
        <v>0</v>
      </c>
      <c r="J70" s="67">
        <f t="shared" si="5"/>
        <v>0</v>
      </c>
      <c r="K70" s="95"/>
      <c r="L70" s="67">
        <f t="shared" si="6"/>
        <v>0</v>
      </c>
      <c r="M70" s="67">
        <f t="shared" si="7"/>
        <v>0</v>
      </c>
      <c r="N70" s="67">
        <f t="shared" si="8"/>
        <v>0</v>
      </c>
      <c r="O70" s="95"/>
      <c r="P70" s="67">
        <f t="shared" si="9"/>
        <v>0</v>
      </c>
      <c r="Q70" s="67">
        <f t="shared" si="10"/>
        <v>0</v>
      </c>
      <c r="R70" s="67">
        <f t="shared" si="11"/>
        <v>0</v>
      </c>
      <c r="S70" s="95"/>
      <c r="T70" s="67">
        <f t="shared" si="12"/>
        <v>0</v>
      </c>
      <c r="U70" s="67">
        <f t="shared" si="13"/>
        <v>0</v>
      </c>
      <c r="V70" s="67">
        <f t="shared" si="14"/>
        <v>0</v>
      </c>
      <c r="W70" s="95"/>
      <c r="X70" s="65">
        <f t="shared" si="15"/>
        <v>0</v>
      </c>
      <c r="Y70" s="65">
        <f t="shared" si="16"/>
        <v>0</v>
      </c>
      <c r="Z70" s="65">
        <f t="shared" si="17"/>
        <v>0</v>
      </c>
      <c r="AA70" s="65"/>
      <c r="AB70" s="65">
        <f t="shared" si="18"/>
        <v>0</v>
      </c>
      <c r="AC70" s="65">
        <f t="shared" si="19"/>
        <v>0</v>
      </c>
      <c r="AD70" s="65">
        <f t="shared" si="20"/>
        <v>0</v>
      </c>
      <c r="AE70" s="65"/>
      <c r="AF70" s="65">
        <f t="shared" si="21"/>
        <v>0</v>
      </c>
      <c r="AG70" s="65">
        <f t="shared" si="22"/>
        <v>0</v>
      </c>
      <c r="AH70" s="65">
        <f t="shared" si="23"/>
        <v>0</v>
      </c>
      <c r="AI70" s="65"/>
      <c r="AJ70" s="65">
        <f t="shared" si="24"/>
        <v>0</v>
      </c>
      <c r="AK70" s="65">
        <f t="shared" si="25"/>
        <v>0</v>
      </c>
      <c r="AL70" s="65">
        <f t="shared" si="26"/>
        <v>0</v>
      </c>
      <c r="AM70" s="65"/>
      <c r="AN70" s="65">
        <f t="shared" si="27"/>
        <v>0</v>
      </c>
      <c r="AO70" s="65">
        <f t="shared" si="28"/>
        <v>0</v>
      </c>
      <c r="AP70" s="65">
        <f t="shared" si="29"/>
        <v>0</v>
      </c>
      <c r="AQ70" s="65"/>
      <c r="AR70" s="65">
        <f t="shared" si="30"/>
        <v>0</v>
      </c>
      <c r="AS70" s="65">
        <f t="shared" si="31"/>
        <v>0</v>
      </c>
      <c r="AT70" s="65">
        <f t="shared" si="32"/>
        <v>0</v>
      </c>
      <c r="AU70" s="65"/>
      <c r="AV70" s="65">
        <f t="shared" si="33"/>
        <v>0</v>
      </c>
      <c r="AW70" s="65">
        <f t="shared" si="34"/>
        <v>0</v>
      </c>
      <c r="AX70" s="65">
        <f t="shared" si="35"/>
        <v>0</v>
      </c>
      <c r="AY70" s="65"/>
      <c r="AZ70" s="65">
        <f t="shared" si="36"/>
        <v>0</v>
      </c>
      <c r="BA70" s="65">
        <f t="shared" si="37"/>
        <v>0</v>
      </c>
      <c r="BB70" s="65">
        <f t="shared" si="38"/>
        <v>0</v>
      </c>
    </row>
    <row r="71" spans="1:54" x14ac:dyDescent="0.2">
      <c r="A71" s="71"/>
      <c r="B71" s="96" t="s">
        <v>52</v>
      </c>
      <c r="C71" s="95"/>
      <c r="D71" s="67">
        <f t="shared" si="0"/>
        <v>0</v>
      </c>
      <c r="E71" s="67">
        <f t="shared" si="1"/>
        <v>0</v>
      </c>
      <c r="F71" s="67">
        <f t="shared" si="2"/>
        <v>0</v>
      </c>
      <c r="G71" s="95"/>
      <c r="H71" s="67">
        <f t="shared" si="3"/>
        <v>0</v>
      </c>
      <c r="I71" s="67">
        <f t="shared" si="4"/>
        <v>0</v>
      </c>
      <c r="J71" s="67">
        <f t="shared" si="5"/>
        <v>0</v>
      </c>
      <c r="K71" s="95"/>
      <c r="L71" s="67">
        <f t="shared" si="6"/>
        <v>0</v>
      </c>
      <c r="M71" s="67">
        <f t="shared" si="7"/>
        <v>0</v>
      </c>
      <c r="N71" s="67">
        <f t="shared" si="8"/>
        <v>0</v>
      </c>
      <c r="O71" s="95"/>
      <c r="P71" s="67">
        <f t="shared" si="9"/>
        <v>0</v>
      </c>
      <c r="Q71" s="67">
        <f t="shared" si="10"/>
        <v>0</v>
      </c>
      <c r="R71" s="67">
        <f t="shared" si="11"/>
        <v>0</v>
      </c>
      <c r="S71" s="95"/>
      <c r="T71" s="67">
        <f t="shared" si="12"/>
        <v>0</v>
      </c>
      <c r="U71" s="67">
        <f t="shared" si="13"/>
        <v>0</v>
      </c>
      <c r="V71" s="67">
        <f t="shared" si="14"/>
        <v>0</v>
      </c>
      <c r="W71" s="95"/>
      <c r="X71" s="65">
        <f t="shared" si="15"/>
        <v>0</v>
      </c>
      <c r="Y71" s="65">
        <f t="shared" si="16"/>
        <v>0</v>
      </c>
      <c r="Z71" s="65">
        <f t="shared" si="17"/>
        <v>0</v>
      </c>
      <c r="AA71" s="65"/>
      <c r="AB71" s="65">
        <f t="shared" si="18"/>
        <v>0</v>
      </c>
      <c r="AC71" s="65">
        <f t="shared" si="19"/>
        <v>0</v>
      </c>
      <c r="AD71" s="65">
        <f t="shared" si="20"/>
        <v>0</v>
      </c>
      <c r="AE71" s="65"/>
      <c r="AF71" s="65">
        <f t="shared" si="21"/>
        <v>0</v>
      </c>
      <c r="AG71" s="65">
        <f t="shared" si="22"/>
        <v>0</v>
      </c>
      <c r="AH71" s="65">
        <f t="shared" si="23"/>
        <v>0</v>
      </c>
      <c r="AI71" s="65"/>
      <c r="AJ71" s="65">
        <f t="shared" si="24"/>
        <v>0</v>
      </c>
      <c r="AK71" s="65">
        <f t="shared" si="25"/>
        <v>0</v>
      </c>
      <c r="AL71" s="65">
        <f t="shared" si="26"/>
        <v>0</v>
      </c>
      <c r="AM71" s="65"/>
      <c r="AN71" s="65">
        <f t="shared" si="27"/>
        <v>0</v>
      </c>
      <c r="AO71" s="65">
        <f t="shared" si="28"/>
        <v>0</v>
      </c>
      <c r="AP71" s="65">
        <f t="shared" si="29"/>
        <v>0</v>
      </c>
      <c r="AQ71" s="65"/>
      <c r="AR71" s="65">
        <f t="shared" si="30"/>
        <v>0</v>
      </c>
      <c r="AS71" s="65">
        <f t="shared" si="31"/>
        <v>0</v>
      </c>
      <c r="AT71" s="65">
        <f t="shared" si="32"/>
        <v>0</v>
      </c>
      <c r="AU71" s="65"/>
      <c r="AV71" s="65">
        <f t="shared" si="33"/>
        <v>0</v>
      </c>
      <c r="AW71" s="65">
        <f t="shared" si="34"/>
        <v>0</v>
      </c>
      <c r="AX71" s="65">
        <f t="shared" si="35"/>
        <v>0</v>
      </c>
      <c r="AY71" s="65"/>
      <c r="AZ71" s="65">
        <f t="shared" si="36"/>
        <v>0</v>
      </c>
      <c r="BA71" s="65">
        <f t="shared" si="37"/>
        <v>0</v>
      </c>
      <c r="BB71" s="65">
        <f t="shared" si="38"/>
        <v>0</v>
      </c>
    </row>
    <row r="72" spans="1:54" x14ac:dyDescent="0.2">
      <c r="A72" s="71"/>
      <c r="B72" s="96" t="s">
        <v>52</v>
      </c>
      <c r="C72" s="95"/>
      <c r="D72" s="67">
        <f t="shared" si="0"/>
        <v>0</v>
      </c>
      <c r="E72" s="67">
        <f t="shared" si="1"/>
        <v>0</v>
      </c>
      <c r="F72" s="67">
        <f t="shared" si="2"/>
        <v>0</v>
      </c>
      <c r="G72" s="95"/>
      <c r="H72" s="67">
        <f t="shared" si="3"/>
        <v>0</v>
      </c>
      <c r="I72" s="67">
        <f t="shared" si="4"/>
        <v>0</v>
      </c>
      <c r="J72" s="67">
        <f t="shared" si="5"/>
        <v>0</v>
      </c>
      <c r="K72" s="95"/>
      <c r="L72" s="67">
        <f t="shared" si="6"/>
        <v>0</v>
      </c>
      <c r="M72" s="67">
        <f t="shared" si="7"/>
        <v>0</v>
      </c>
      <c r="N72" s="67">
        <f t="shared" si="8"/>
        <v>0</v>
      </c>
      <c r="O72" s="95"/>
      <c r="P72" s="67">
        <f t="shared" si="9"/>
        <v>0</v>
      </c>
      <c r="Q72" s="67">
        <f t="shared" si="10"/>
        <v>0</v>
      </c>
      <c r="R72" s="67">
        <f t="shared" si="11"/>
        <v>0</v>
      </c>
      <c r="S72" s="95"/>
      <c r="T72" s="67">
        <f t="shared" si="12"/>
        <v>0</v>
      </c>
      <c r="U72" s="67">
        <f t="shared" si="13"/>
        <v>0</v>
      </c>
      <c r="V72" s="67">
        <f t="shared" si="14"/>
        <v>0</v>
      </c>
      <c r="W72" s="95"/>
      <c r="X72" s="65">
        <f t="shared" si="15"/>
        <v>0</v>
      </c>
      <c r="Y72" s="65">
        <f t="shared" si="16"/>
        <v>0</v>
      </c>
      <c r="Z72" s="65">
        <f t="shared" si="17"/>
        <v>0</v>
      </c>
      <c r="AA72" s="65"/>
      <c r="AB72" s="65">
        <f t="shared" si="18"/>
        <v>0</v>
      </c>
      <c r="AC72" s="65">
        <f t="shared" si="19"/>
        <v>0</v>
      </c>
      <c r="AD72" s="65">
        <f t="shared" si="20"/>
        <v>0</v>
      </c>
      <c r="AE72" s="65"/>
      <c r="AF72" s="65">
        <f t="shared" si="21"/>
        <v>0</v>
      </c>
      <c r="AG72" s="65">
        <f t="shared" si="22"/>
        <v>0</v>
      </c>
      <c r="AH72" s="65">
        <f t="shared" si="23"/>
        <v>0</v>
      </c>
      <c r="AI72" s="65"/>
      <c r="AJ72" s="65">
        <f t="shared" si="24"/>
        <v>0</v>
      </c>
      <c r="AK72" s="65">
        <f t="shared" si="25"/>
        <v>0</v>
      </c>
      <c r="AL72" s="65">
        <f t="shared" si="26"/>
        <v>0</v>
      </c>
      <c r="AM72" s="65"/>
      <c r="AN72" s="65">
        <f t="shared" si="27"/>
        <v>0</v>
      </c>
      <c r="AO72" s="65">
        <f t="shared" si="28"/>
        <v>0</v>
      </c>
      <c r="AP72" s="65">
        <f t="shared" si="29"/>
        <v>0</v>
      </c>
      <c r="AQ72" s="65"/>
      <c r="AR72" s="65">
        <f t="shared" si="30"/>
        <v>0</v>
      </c>
      <c r="AS72" s="65">
        <f t="shared" si="31"/>
        <v>0</v>
      </c>
      <c r="AT72" s="65">
        <f t="shared" si="32"/>
        <v>0</v>
      </c>
      <c r="AU72" s="65"/>
      <c r="AV72" s="65">
        <f t="shared" si="33"/>
        <v>0</v>
      </c>
      <c r="AW72" s="65">
        <f t="shared" si="34"/>
        <v>0</v>
      </c>
      <c r="AX72" s="65">
        <f t="shared" si="35"/>
        <v>0</v>
      </c>
      <c r="AY72" s="65"/>
      <c r="AZ72" s="65">
        <f t="shared" si="36"/>
        <v>0</v>
      </c>
      <c r="BA72" s="65">
        <f t="shared" si="37"/>
        <v>0</v>
      </c>
      <c r="BB72" s="65">
        <f t="shared" si="38"/>
        <v>0</v>
      </c>
    </row>
    <row r="73" spans="1:54" x14ac:dyDescent="0.2">
      <c r="A73" s="71"/>
      <c r="B73" s="96" t="s">
        <v>52</v>
      </c>
      <c r="C73" s="95"/>
      <c r="D73" s="67">
        <f t="shared" si="0"/>
        <v>0</v>
      </c>
      <c r="E73" s="67">
        <f t="shared" si="1"/>
        <v>0</v>
      </c>
      <c r="F73" s="67">
        <f t="shared" si="2"/>
        <v>0</v>
      </c>
      <c r="G73" s="95"/>
      <c r="H73" s="67">
        <f t="shared" si="3"/>
        <v>0</v>
      </c>
      <c r="I73" s="67">
        <f t="shared" si="4"/>
        <v>0</v>
      </c>
      <c r="J73" s="67">
        <f t="shared" si="5"/>
        <v>0</v>
      </c>
      <c r="K73" s="95"/>
      <c r="L73" s="67">
        <f t="shared" si="6"/>
        <v>0</v>
      </c>
      <c r="M73" s="67">
        <f t="shared" si="7"/>
        <v>0</v>
      </c>
      <c r="N73" s="67">
        <f t="shared" si="8"/>
        <v>0</v>
      </c>
      <c r="O73" s="95"/>
      <c r="P73" s="67">
        <f t="shared" si="9"/>
        <v>0</v>
      </c>
      <c r="Q73" s="67">
        <f t="shared" si="10"/>
        <v>0</v>
      </c>
      <c r="R73" s="67">
        <f t="shared" si="11"/>
        <v>0</v>
      </c>
      <c r="S73" s="95"/>
      <c r="T73" s="67">
        <f t="shared" si="12"/>
        <v>0</v>
      </c>
      <c r="U73" s="67">
        <f t="shared" si="13"/>
        <v>0</v>
      </c>
      <c r="V73" s="67">
        <f t="shared" si="14"/>
        <v>0</v>
      </c>
      <c r="W73" s="95"/>
      <c r="X73" s="65">
        <f t="shared" si="15"/>
        <v>0</v>
      </c>
      <c r="Y73" s="65">
        <f t="shared" si="16"/>
        <v>0</v>
      </c>
      <c r="Z73" s="65">
        <f t="shared" si="17"/>
        <v>0</v>
      </c>
      <c r="AA73" s="65"/>
      <c r="AB73" s="65">
        <f t="shared" si="18"/>
        <v>0</v>
      </c>
      <c r="AC73" s="65">
        <f t="shared" si="19"/>
        <v>0</v>
      </c>
      <c r="AD73" s="65">
        <f t="shared" si="20"/>
        <v>0</v>
      </c>
      <c r="AE73" s="65"/>
      <c r="AF73" s="65">
        <f t="shared" si="21"/>
        <v>0</v>
      </c>
      <c r="AG73" s="65">
        <f t="shared" si="22"/>
        <v>0</v>
      </c>
      <c r="AH73" s="65">
        <f t="shared" si="23"/>
        <v>0</v>
      </c>
      <c r="AI73" s="65"/>
      <c r="AJ73" s="65">
        <f t="shared" si="24"/>
        <v>0</v>
      </c>
      <c r="AK73" s="65">
        <f t="shared" si="25"/>
        <v>0</v>
      </c>
      <c r="AL73" s="65">
        <f t="shared" si="26"/>
        <v>0</v>
      </c>
      <c r="AM73" s="65"/>
      <c r="AN73" s="65">
        <f t="shared" si="27"/>
        <v>0</v>
      </c>
      <c r="AO73" s="65">
        <f t="shared" si="28"/>
        <v>0</v>
      </c>
      <c r="AP73" s="65">
        <f t="shared" si="29"/>
        <v>0</v>
      </c>
      <c r="AQ73" s="65"/>
      <c r="AR73" s="65">
        <f t="shared" si="30"/>
        <v>0</v>
      </c>
      <c r="AS73" s="65">
        <f t="shared" si="31"/>
        <v>0</v>
      </c>
      <c r="AT73" s="65">
        <f t="shared" si="32"/>
        <v>0</v>
      </c>
      <c r="AU73" s="65"/>
      <c r="AV73" s="65">
        <f t="shared" si="33"/>
        <v>0</v>
      </c>
      <c r="AW73" s="65">
        <f t="shared" si="34"/>
        <v>0</v>
      </c>
      <c r="AX73" s="65">
        <f t="shared" si="35"/>
        <v>0</v>
      </c>
      <c r="AY73" s="65"/>
      <c r="AZ73" s="65">
        <f t="shared" si="36"/>
        <v>0</v>
      </c>
      <c r="BA73" s="65">
        <f t="shared" si="37"/>
        <v>0</v>
      </c>
      <c r="BB73" s="65">
        <f t="shared" si="38"/>
        <v>0</v>
      </c>
    </row>
    <row r="74" spans="1:54" x14ac:dyDescent="0.2">
      <c r="A74" s="71"/>
      <c r="B74" s="96" t="s">
        <v>52</v>
      </c>
      <c r="C74" s="95"/>
      <c r="D74" s="67">
        <f t="shared" si="0"/>
        <v>0</v>
      </c>
      <c r="E74" s="67">
        <f t="shared" si="1"/>
        <v>0</v>
      </c>
      <c r="F74" s="67">
        <f t="shared" si="2"/>
        <v>0</v>
      </c>
      <c r="G74" s="95"/>
      <c r="H74" s="67">
        <f t="shared" si="3"/>
        <v>0</v>
      </c>
      <c r="I74" s="67">
        <f t="shared" si="4"/>
        <v>0</v>
      </c>
      <c r="J74" s="67">
        <f t="shared" si="5"/>
        <v>0</v>
      </c>
      <c r="K74" s="95"/>
      <c r="L74" s="67">
        <f t="shared" si="6"/>
        <v>0</v>
      </c>
      <c r="M74" s="67">
        <f t="shared" si="7"/>
        <v>0</v>
      </c>
      <c r="N74" s="67">
        <f t="shared" si="8"/>
        <v>0</v>
      </c>
      <c r="O74" s="95"/>
      <c r="P74" s="67">
        <f t="shared" si="9"/>
        <v>0</v>
      </c>
      <c r="Q74" s="67">
        <f t="shared" si="10"/>
        <v>0</v>
      </c>
      <c r="R74" s="67">
        <f t="shared" si="11"/>
        <v>0</v>
      </c>
      <c r="S74" s="95"/>
      <c r="T74" s="67">
        <f t="shared" si="12"/>
        <v>0</v>
      </c>
      <c r="U74" s="67">
        <f t="shared" si="13"/>
        <v>0</v>
      </c>
      <c r="V74" s="67">
        <f t="shared" si="14"/>
        <v>0</v>
      </c>
      <c r="W74" s="95"/>
      <c r="X74" s="65">
        <f t="shared" si="15"/>
        <v>0</v>
      </c>
      <c r="Y74" s="65">
        <f t="shared" si="16"/>
        <v>0</v>
      </c>
      <c r="Z74" s="65">
        <f t="shared" si="17"/>
        <v>0</v>
      </c>
      <c r="AA74" s="65"/>
      <c r="AB74" s="65">
        <f t="shared" si="18"/>
        <v>0</v>
      </c>
      <c r="AC74" s="65">
        <f t="shared" si="19"/>
        <v>0</v>
      </c>
      <c r="AD74" s="65">
        <f t="shared" si="20"/>
        <v>0</v>
      </c>
      <c r="AE74" s="65"/>
      <c r="AF74" s="65">
        <f t="shared" si="21"/>
        <v>0</v>
      </c>
      <c r="AG74" s="65">
        <f t="shared" si="22"/>
        <v>0</v>
      </c>
      <c r="AH74" s="65">
        <f t="shared" si="23"/>
        <v>0</v>
      </c>
      <c r="AI74" s="65"/>
      <c r="AJ74" s="65">
        <f t="shared" si="24"/>
        <v>0</v>
      </c>
      <c r="AK74" s="65">
        <f t="shared" si="25"/>
        <v>0</v>
      </c>
      <c r="AL74" s="65">
        <f t="shared" si="26"/>
        <v>0</v>
      </c>
      <c r="AM74" s="65"/>
      <c r="AN74" s="65">
        <f t="shared" si="27"/>
        <v>0</v>
      </c>
      <c r="AO74" s="65">
        <f t="shared" si="28"/>
        <v>0</v>
      </c>
      <c r="AP74" s="65">
        <f t="shared" si="29"/>
        <v>0</v>
      </c>
      <c r="AQ74" s="65"/>
      <c r="AR74" s="65">
        <f t="shared" si="30"/>
        <v>0</v>
      </c>
      <c r="AS74" s="65">
        <f t="shared" si="31"/>
        <v>0</v>
      </c>
      <c r="AT74" s="65">
        <f t="shared" si="32"/>
        <v>0</v>
      </c>
      <c r="AU74" s="65"/>
      <c r="AV74" s="65">
        <f t="shared" si="33"/>
        <v>0</v>
      </c>
      <c r="AW74" s="65">
        <f t="shared" si="34"/>
        <v>0</v>
      </c>
      <c r="AX74" s="65">
        <f t="shared" si="35"/>
        <v>0</v>
      </c>
      <c r="AY74" s="65"/>
      <c r="AZ74" s="65">
        <f t="shared" si="36"/>
        <v>0</v>
      </c>
      <c r="BA74" s="65">
        <f t="shared" si="37"/>
        <v>0</v>
      </c>
      <c r="BB74" s="65">
        <f t="shared" si="38"/>
        <v>0</v>
      </c>
    </row>
    <row r="75" spans="1:54" x14ac:dyDescent="0.2">
      <c r="A75" s="71"/>
      <c r="B75" s="96" t="s">
        <v>52</v>
      </c>
      <c r="C75" s="95"/>
      <c r="D75" s="67">
        <f t="shared" si="0"/>
        <v>0</v>
      </c>
      <c r="E75" s="67">
        <f t="shared" si="1"/>
        <v>0</v>
      </c>
      <c r="F75" s="67">
        <f t="shared" si="2"/>
        <v>0</v>
      </c>
      <c r="G75" s="95"/>
      <c r="H75" s="67">
        <f t="shared" si="3"/>
        <v>0</v>
      </c>
      <c r="I75" s="67">
        <f t="shared" si="4"/>
        <v>0</v>
      </c>
      <c r="J75" s="67">
        <f t="shared" si="5"/>
        <v>0</v>
      </c>
      <c r="K75" s="95"/>
      <c r="L75" s="67">
        <f t="shared" si="6"/>
        <v>0</v>
      </c>
      <c r="M75" s="67">
        <f t="shared" si="7"/>
        <v>0</v>
      </c>
      <c r="N75" s="67">
        <f t="shared" si="8"/>
        <v>0</v>
      </c>
      <c r="O75" s="95"/>
      <c r="P75" s="67">
        <f t="shared" si="9"/>
        <v>0</v>
      </c>
      <c r="Q75" s="67">
        <f t="shared" si="10"/>
        <v>0</v>
      </c>
      <c r="R75" s="67">
        <f t="shared" si="11"/>
        <v>0</v>
      </c>
      <c r="S75" s="95"/>
      <c r="T75" s="67">
        <f t="shared" si="12"/>
        <v>0</v>
      </c>
      <c r="U75" s="67">
        <f t="shared" si="13"/>
        <v>0</v>
      </c>
      <c r="V75" s="67">
        <f t="shared" si="14"/>
        <v>0</v>
      </c>
      <c r="W75" s="95"/>
      <c r="X75" s="65">
        <f t="shared" si="15"/>
        <v>0</v>
      </c>
      <c r="Y75" s="65">
        <f t="shared" si="16"/>
        <v>0</v>
      </c>
      <c r="Z75" s="65">
        <f t="shared" si="17"/>
        <v>0</v>
      </c>
      <c r="AA75" s="65"/>
      <c r="AB75" s="65">
        <f t="shared" si="18"/>
        <v>0</v>
      </c>
      <c r="AC75" s="65">
        <f t="shared" si="19"/>
        <v>0</v>
      </c>
      <c r="AD75" s="65">
        <f t="shared" si="20"/>
        <v>0</v>
      </c>
      <c r="AE75" s="65"/>
      <c r="AF75" s="65">
        <f t="shared" si="21"/>
        <v>0</v>
      </c>
      <c r="AG75" s="65">
        <f t="shared" si="22"/>
        <v>0</v>
      </c>
      <c r="AH75" s="65">
        <f t="shared" si="23"/>
        <v>0</v>
      </c>
      <c r="AI75" s="65"/>
      <c r="AJ75" s="65">
        <f t="shared" si="24"/>
        <v>0</v>
      </c>
      <c r="AK75" s="65">
        <f t="shared" si="25"/>
        <v>0</v>
      </c>
      <c r="AL75" s="65">
        <f t="shared" si="26"/>
        <v>0</v>
      </c>
      <c r="AM75" s="65"/>
      <c r="AN75" s="65">
        <f t="shared" si="27"/>
        <v>0</v>
      </c>
      <c r="AO75" s="65">
        <f t="shared" si="28"/>
        <v>0</v>
      </c>
      <c r="AP75" s="65">
        <f t="shared" si="29"/>
        <v>0</v>
      </c>
      <c r="AQ75" s="65"/>
      <c r="AR75" s="65">
        <f t="shared" si="30"/>
        <v>0</v>
      </c>
      <c r="AS75" s="65">
        <f t="shared" si="31"/>
        <v>0</v>
      </c>
      <c r="AT75" s="65">
        <f t="shared" si="32"/>
        <v>0</v>
      </c>
      <c r="AU75" s="65"/>
      <c r="AV75" s="65">
        <f t="shared" si="33"/>
        <v>0</v>
      </c>
      <c r="AW75" s="65">
        <f t="shared" si="34"/>
        <v>0</v>
      </c>
      <c r="AX75" s="65">
        <f t="shared" si="35"/>
        <v>0</v>
      </c>
      <c r="AY75" s="65"/>
      <c r="AZ75" s="65">
        <f t="shared" si="36"/>
        <v>0</v>
      </c>
      <c r="BA75" s="65">
        <f t="shared" si="37"/>
        <v>0</v>
      </c>
      <c r="BB75" s="65">
        <f t="shared" si="38"/>
        <v>0</v>
      </c>
    </row>
    <row r="76" spans="1:54" x14ac:dyDescent="0.2">
      <c r="A76" s="71"/>
      <c r="B76" s="96" t="s">
        <v>52</v>
      </c>
      <c r="C76" s="95"/>
      <c r="D76" s="67">
        <f t="shared" si="0"/>
        <v>0</v>
      </c>
      <c r="E76" s="67">
        <f t="shared" si="1"/>
        <v>0</v>
      </c>
      <c r="F76" s="67">
        <f t="shared" si="2"/>
        <v>0</v>
      </c>
      <c r="G76" s="95"/>
      <c r="H76" s="67">
        <f t="shared" si="3"/>
        <v>0</v>
      </c>
      <c r="I76" s="67">
        <f t="shared" si="4"/>
        <v>0</v>
      </c>
      <c r="J76" s="67">
        <f t="shared" si="5"/>
        <v>0</v>
      </c>
      <c r="K76" s="95"/>
      <c r="L76" s="67">
        <f t="shared" si="6"/>
        <v>0</v>
      </c>
      <c r="M76" s="67">
        <f t="shared" si="7"/>
        <v>0</v>
      </c>
      <c r="N76" s="67">
        <f t="shared" si="8"/>
        <v>0</v>
      </c>
      <c r="O76" s="95"/>
      <c r="P76" s="67">
        <f t="shared" si="9"/>
        <v>0</v>
      </c>
      <c r="Q76" s="67">
        <f t="shared" si="10"/>
        <v>0</v>
      </c>
      <c r="R76" s="67">
        <f t="shared" si="11"/>
        <v>0</v>
      </c>
      <c r="S76" s="95"/>
      <c r="T76" s="67">
        <f t="shared" si="12"/>
        <v>0</v>
      </c>
      <c r="U76" s="67">
        <f t="shared" si="13"/>
        <v>0</v>
      </c>
      <c r="V76" s="67">
        <f t="shared" si="14"/>
        <v>0</v>
      </c>
      <c r="W76" s="95"/>
      <c r="X76" s="65">
        <f t="shared" si="15"/>
        <v>0</v>
      </c>
      <c r="Y76" s="65">
        <f t="shared" si="16"/>
        <v>0</v>
      </c>
      <c r="Z76" s="65">
        <f t="shared" si="17"/>
        <v>0</v>
      </c>
      <c r="AA76" s="65"/>
      <c r="AB76" s="65">
        <f t="shared" si="18"/>
        <v>0</v>
      </c>
      <c r="AC76" s="65">
        <f t="shared" si="19"/>
        <v>0</v>
      </c>
      <c r="AD76" s="65">
        <f t="shared" si="20"/>
        <v>0</v>
      </c>
      <c r="AE76" s="65"/>
      <c r="AF76" s="65">
        <f t="shared" si="21"/>
        <v>0</v>
      </c>
      <c r="AG76" s="65">
        <f t="shared" si="22"/>
        <v>0</v>
      </c>
      <c r="AH76" s="65">
        <f t="shared" si="23"/>
        <v>0</v>
      </c>
      <c r="AI76" s="65"/>
      <c r="AJ76" s="65">
        <f t="shared" si="24"/>
        <v>0</v>
      </c>
      <c r="AK76" s="65">
        <f t="shared" si="25"/>
        <v>0</v>
      </c>
      <c r="AL76" s="65">
        <f t="shared" si="26"/>
        <v>0</v>
      </c>
      <c r="AM76" s="65"/>
      <c r="AN76" s="65">
        <f t="shared" si="27"/>
        <v>0</v>
      </c>
      <c r="AO76" s="65">
        <f t="shared" si="28"/>
        <v>0</v>
      </c>
      <c r="AP76" s="65">
        <f t="shared" si="29"/>
        <v>0</v>
      </c>
      <c r="AQ76" s="65"/>
      <c r="AR76" s="65">
        <f t="shared" si="30"/>
        <v>0</v>
      </c>
      <c r="AS76" s="65">
        <f t="shared" si="31"/>
        <v>0</v>
      </c>
      <c r="AT76" s="65">
        <f t="shared" si="32"/>
        <v>0</v>
      </c>
      <c r="AU76" s="65"/>
      <c r="AV76" s="65">
        <f t="shared" si="33"/>
        <v>0</v>
      </c>
      <c r="AW76" s="65">
        <f t="shared" si="34"/>
        <v>0</v>
      </c>
      <c r="AX76" s="65">
        <f t="shared" si="35"/>
        <v>0</v>
      </c>
      <c r="AY76" s="65"/>
      <c r="AZ76" s="65">
        <f t="shared" si="36"/>
        <v>0</v>
      </c>
      <c r="BA76" s="65">
        <f t="shared" si="37"/>
        <v>0</v>
      </c>
      <c r="BB76" s="65">
        <f t="shared" si="38"/>
        <v>0</v>
      </c>
    </row>
  </sheetData>
  <sheetProtection password="D974" sheet="1" objects="1" scenarios="1"/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Complexidade!$A$1:$A$3</xm:f>
          </x14:formula1>
          <xm:sqref>B18:B76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 enableFormatConditionsCalculation="0">
    <tabColor rgb="FF92D050"/>
  </sheetPr>
  <dimension ref="A1:BB82"/>
  <sheetViews>
    <sheetView workbookViewId="0">
      <selection activeCell="B7" sqref="B7"/>
    </sheetView>
  </sheetViews>
  <sheetFormatPr baseColWidth="10" defaultColWidth="8.83203125" defaultRowHeight="15" x14ac:dyDescent="0.2"/>
  <cols>
    <col min="1" max="1" width="60.1640625" customWidth="1"/>
    <col min="2" max="2" width="26.6640625" bestFit="1" customWidth="1"/>
    <col min="3" max="3" width="23.33203125" customWidth="1"/>
    <col min="4" max="6" width="23.33203125" hidden="1" customWidth="1"/>
    <col min="7" max="7" width="24.1640625" customWidth="1"/>
    <col min="8" max="10" width="23.33203125" hidden="1" customWidth="1"/>
    <col min="11" max="11" width="34.1640625" customWidth="1"/>
    <col min="12" max="14" width="23.33203125" hidden="1" customWidth="1"/>
    <col min="15" max="15" width="27" customWidth="1"/>
    <col min="16" max="18" width="23.33203125" hidden="1" customWidth="1"/>
    <col min="19" max="19" width="25.33203125" customWidth="1"/>
    <col min="20" max="22" width="23.33203125" hidden="1" customWidth="1"/>
    <col min="23" max="23" width="20.83203125" bestFit="1" customWidth="1"/>
    <col min="24" max="26" width="23.33203125" hidden="1" customWidth="1"/>
    <col min="27" max="27" width="19.33203125" hidden="1" customWidth="1"/>
    <col min="28" max="30" width="23.33203125" hidden="1" customWidth="1"/>
    <col min="31" max="31" width="23.6640625" hidden="1" customWidth="1"/>
    <col min="32" max="34" width="23.33203125" hidden="1" customWidth="1"/>
    <col min="35" max="35" width="22.33203125" hidden="1" customWidth="1"/>
    <col min="36" max="38" width="23.33203125" hidden="1" customWidth="1"/>
    <col min="39" max="39" width="16.5" hidden="1" customWidth="1"/>
    <col min="40" max="42" width="23.33203125" hidden="1" customWidth="1"/>
    <col min="43" max="43" width="22.1640625" hidden="1" customWidth="1"/>
    <col min="44" max="46" width="23.33203125" hidden="1" customWidth="1"/>
    <col min="47" max="47" width="20.83203125" hidden="1" customWidth="1"/>
    <col min="48" max="50" width="23.33203125" hidden="1" customWidth="1"/>
    <col min="51" max="51" width="35.1640625" hidden="1" customWidth="1"/>
    <col min="52" max="54" width="2" hidden="1" customWidth="1"/>
    <col min="55" max="55" width="9.1640625" customWidth="1"/>
  </cols>
  <sheetData>
    <row r="1" spans="1:54" ht="16" thickBot="1" x14ac:dyDescent="0.25">
      <c r="O1" s="92"/>
      <c r="P1" s="93"/>
      <c r="Q1" s="93"/>
      <c r="R1" s="93"/>
      <c r="S1" s="93" t="s">
        <v>126</v>
      </c>
      <c r="T1" s="93"/>
      <c r="U1" s="93"/>
      <c r="V1" s="93"/>
      <c r="W1" s="94"/>
    </row>
    <row r="2" spans="1:54" ht="30" x14ac:dyDescent="0.2">
      <c r="A2" s="79" t="s">
        <v>100</v>
      </c>
      <c r="B2" s="80" t="s">
        <v>31</v>
      </c>
      <c r="C2" s="58" t="s">
        <v>59</v>
      </c>
      <c r="D2" s="58"/>
      <c r="E2" s="58"/>
      <c r="F2" s="58"/>
      <c r="G2" s="59" t="s">
        <v>60</v>
      </c>
      <c r="H2" s="58"/>
      <c r="I2" s="58"/>
      <c r="J2" s="58"/>
      <c r="K2" s="60" t="s">
        <v>61</v>
      </c>
      <c r="L2" s="58"/>
      <c r="M2" s="58"/>
      <c r="N2" s="58"/>
      <c r="O2" s="90" t="s">
        <v>123</v>
      </c>
      <c r="P2" s="90"/>
      <c r="Q2" s="90"/>
      <c r="R2" s="90"/>
      <c r="S2" s="90" t="s">
        <v>124</v>
      </c>
      <c r="T2" s="90"/>
      <c r="U2" s="90"/>
      <c r="V2" s="90"/>
      <c r="W2" s="91" t="s">
        <v>125</v>
      </c>
      <c r="X2" s="58"/>
      <c r="Y2" s="58"/>
      <c r="Z2" s="58"/>
      <c r="AB2" s="58"/>
      <c r="AC2" s="58"/>
      <c r="AD2" s="58"/>
      <c r="AF2" s="58"/>
      <c r="AG2" s="58"/>
      <c r="AH2" s="58"/>
      <c r="AJ2" s="58"/>
      <c r="AK2" s="58"/>
      <c r="AL2" s="58"/>
      <c r="AN2" s="58"/>
      <c r="AO2" s="58"/>
      <c r="AP2" s="58"/>
      <c r="AR2" s="58"/>
      <c r="AS2" s="58"/>
      <c r="AT2" s="58"/>
      <c r="AV2" s="58"/>
      <c r="AW2" s="58"/>
      <c r="AX2" s="58"/>
      <c r="AZ2" s="58"/>
      <c r="BA2" s="58"/>
      <c r="BB2" s="58"/>
    </row>
    <row r="3" spans="1:54" x14ac:dyDescent="0.2">
      <c r="A3" s="77" t="str">
        <f>'Catalogo de Item de Serviço'!C45</f>
        <v>IDM-Integração Identity SSO</v>
      </c>
      <c r="B3" s="81" t="str">
        <f>'Catalogo de Item de Serviço'!D45</f>
        <v>Número de Sistemas</v>
      </c>
      <c r="C3" s="65">
        <f>SUM($D$18:$D$76)</f>
        <v>0</v>
      </c>
      <c r="D3" s="65"/>
      <c r="E3" s="65"/>
      <c r="F3" s="65"/>
      <c r="G3" s="65">
        <f>SUM($E$18:$E$76)</f>
        <v>0</v>
      </c>
      <c r="H3" s="65"/>
      <c r="I3" s="65"/>
      <c r="J3" s="65"/>
      <c r="K3" s="65">
        <f>SUM($F$18:$F$76)</f>
        <v>0</v>
      </c>
      <c r="L3" s="65"/>
      <c r="M3" s="65"/>
      <c r="N3" s="65"/>
      <c r="O3" s="89">
        <f>'Catalogo de Item de Serviço'!F45</f>
        <v>24</v>
      </c>
      <c r="P3" s="89"/>
      <c r="Q3" s="89"/>
      <c r="R3" s="89"/>
      <c r="S3" s="89">
        <f>'Catalogo de Item de Serviço'!G45</f>
        <v>80</v>
      </c>
      <c r="T3" s="89"/>
      <c r="U3" s="89"/>
      <c r="V3" s="89"/>
      <c r="W3" s="89">
        <f>'Catalogo de Item de Serviço'!H45</f>
        <v>160</v>
      </c>
      <c r="X3" s="65"/>
      <c r="Y3" s="65"/>
      <c r="Z3" s="65"/>
      <c r="AB3" s="65"/>
      <c r="AC3" s="65"/>
      <c r="AD3" s="65"/>
      <c r="AF3" s="65"/>
      <c r="AG3" s="65"/>
      <c r="AH3" s="65"/>
      <c r="AJ3" s="65"/>
      <c r="AK3" s="65"/>
      <c r="AL3" s="65"/>
      <c r="AN3" s="65"/>
      <c r="AO3" s="65"/>
      <c r="AP3" s="65"/>
      <c r="AR3" s="65"/>
      <c r="AS3" s="65"/>
      <c r="AT3" s="65"/>
      <c r="AV3" s="65"/>
      <c r="AW3" s="65"/>
      <c r="AX3" s="65"/>
      <c r="AZ3" s="65"/>
      <c r="BA3" s="65"/>
      <c r="BB3" s="65"/>
    </row>
    <row r="4" spans="1:54" x14ac:dyDescent="0.2">
      <c r="A4" s="77" t="str">
        <f>'Catalogo de Item de Serviço'!C46</f>
        <v>IDM-Integração Identity Provisionamento / Desprovisionamento</v>
      </c>
      <c r="B4" s="81" t="str">
        <f>'Catalogo de Item de Serviço'!D46</f>
        <v>Número de Sistemas</v>
      </c>
      <c r="C4" s="65">
        <f>SUM($H$18:$H$76)</f>
        <v>0</v>
      </c>
      <c r="D4" s="65"/>
      <c r="E4" s="65"/>
      <c r="F4" s="65"/>
      <c r="G4" s="65">
        <f>SUM($I$18:$I$76)</f>
        <v>0</v>
      </c>
      <c r="H4" s="65"/>
      <c r="I4" s="65"/>
      <c r="J4" s="65"/>
      <c r="K4" s="65">
        <f>SUM($J$18:$J$76)</f>
        <v>0</v>
      </c>
      <c r="L4" s="65"/>
      <c r="M4" s="65"/>
      <c r="N4" s="65"/>
      <c r="O4" s="89">
        <f>'Catalogo de Item de Serviço'!F46</f>
        <v>24</v>
      </c>
      <c r="P4" s="89"/>
      <c r="Q4" s="89"/>
      <c r="R4" s="89"/>
      <c r="S4" s="89">
        <f>'Catalogo de Item de Serviço'!G46</f>
        <v>80</v>
      </c>
      <c r="T4" s="89"/>
      <c r="U4" s="89"/>
      <c r="V4" s="89"/>
      <c r="W4" s="89">
        <f>'Catalogo de Item de Serviço'!H46</f>
        <v>160</v>
      </c>
      <c r="X4" s="65"/>
      <c r="Y4" s="65"/>
      <c r="Z4" s="65"/>
      <c r="AB4" s="65"/>
      <c r="AC4" s="65"/>
      <c r="AD4" s="65"/>
      <c r="AF4" s="65"/>
      <c r="AG4" s="65"/>
      <c r="AH4" s="65"/>
      <c r="AJ4" s="65"/>
      <c r="AK4" s="65"/>
      <c r="AL4" s="65"/>
      <c r="AN4" s="65"/>
      <c r="AO4" s="65"/>
      <c r="AP4" s="65"/>
      <c r="AR4" s="65"/>
      <c r="AS4" s="65"/>
      <c r="AT4" s="65"/>
      <c r="AV4" s="65"/>
      <c r="AW4" s="65"/>
      <c r="AX4" s="65"/>
      <c r="AZ4" s="65"/>
      <c r="BA4" s="65"/>
      <c r="BB4" s="65"/>
    </row>
    <row r="5" spans="1:54" x14ac:dyDescent="0.2">
      <c r="A5" s="77" t="str">
        <f>'Catalogo de Item de Serviço'!C47</f>
        <v>IDM-Integração Identity Menus e Segurança (RAC)</v>
      </c>
      <c r="B5" s="81" t="str">
        <f>'Catalogo de Item de Serviço'!D47</f>
        <v>Número de Sistemas</v>
      </c>
      <c r="C5" s="65">
        <f>SUM($L$18:$L$76)</f>
        <v>0</v>
      </c>
      <c r="D5" s="65"/>
      <c r="E5" s="65"/>
      <c r="F5" s="65"/>
      <c r="G5" s="65">
        <f>SUM($M$18:$M$76)</f>
        <v>0</v>
      </c>
      <c r="H5" s="65"/>
      <c r="I5" s="65"/>
      <c r="J5" s="65"/>
      <c r="K5" s="65">
        <f>SUM($N$18:$N$76)</f>
        <v>0</v>
      </c>
      <c r="L5" s="65"/>
      <c r="M5" s="65"/>
      <c r="N5" s="65"/>
      <c r="O5" s="89">
        <f>'Catalogo de Item de Serviço'!F47</f>
        <v>24</v>
      </c>
      <c r="P5" s="89"/>
      <c r="Q5" s="89"/>
      <c r="R5" s="89"/>
      <c r="S5" s="89">
        <f>'Catalogo de Item de Serviço'!G47</f>
        <v>80</v>
      </c>
      <c r="T5" s="89"/>
      <c r="U5" s="89"/>
      <c r="V5" s="89"/>
      <c r="W5" s="89">
        <f>'Catalogo de Item de Serviço'!H47</f>
        <v>160</v>
      </c>
      <c r="X5" s="65"/>
      <c r="Y5" s="65"/>
      <c r="Z5" s="65"/>
      <c r="AB5" s="65"/>
      <c r="AC5" s="65"/>
      <c r="AD5" s="65"/>
      <c r="AF5" s="65"/>
      <c r="AG5" s="65"/>
      <c r="AH5" s="65"/>
      <c r="AJ5" s="65"/>
      <c r="AK5" s="65"/>
      <c r="AL5" s="65"/>
      <c r="AN5" s="65"/>
      <c r="AO5" s="65"/>
      <c r="AP5" s="65"/>
      <c r="AR5" s="65"/>
      <c r="AS5" s="65"/>
      <c r="AT5" s="65"/>
      <c r="AV5" s="65"/>
      <c r="AW5" s="65"/>
      <c r="AX5" s="65"/>
      <c r="AZ5" s="65"/>
      <c r="BA5" s="65"/>
      <c r="BB5" s="65"/>
    </row>
    <row r="6" spans="1:54" x14ac:dyDescent="0.2">
      <c r="A6" s="77" t="str">
        <f>'Catalogo de Item de Serviço'!C48</f>
        <v>IDM-Integração Pluging Browser</v>
      </c>
      <c r="B6" s="81" t="str">
        <f>'Catalogo de Item de Serviço'!D48</f>
        <v>Número de Sistemas</v>
      </c>
      <c r="C6" s="65">
        <f>SUM($P$18:$P$76)</f>
        <v>0</v>
      </c>
      <c r="D6" s="65"/>
      <c r="E6" s="65"/>
      <c r="F6" s="65"/>
      <c r="G6" s="65">
        <f>SUM($Q$18:$Q$76)</f>
        <v>0</v>
      </c>
      <c r="H6" s="65"/>
      <c r="I6" s="65"/>
      <c r="J6" s="65"/>
      <c r="K6" s="65">
        <f>SUM($R$18:$R$76)</f>
        <v>0</v>
      </c>
      <c r="L6" s="65"/>
      <c r="M6" s="65"/>
      <c r="N6" s="65"/>
      <c r="O6" s="89">
        <f>'Catalogo de Item de Serviço'!F48</f>
        <v>16</v>
      </c>
      <c r="P6" s="89"/>
      <c r="Q6" s="89"/>
      <c r="R6" s="89"/>
      <c r="S6" s="89">
        <f>'Catalogo de Item de Serviço'!G48</f>
        <v>24</v>
      </c>
      <c r="T6" s="89"/>
      <c r="U6" s="89"/>
      <c r="V6" s="89"/>
      <c r="W6" s="89">
        <f>'Catalogo de Item de Serviço'!H48</f>
        <v>40</v>
      </c>
      <c r="X6" s="65"/>
      <c r="Y6" s="65"/>
      <c r="Z6" s="65"/>
      <c r="AB6" s="65"/>
      <c r="AC6" s="65"/>
      <c r="AD6" s="65"/>
      <c r="AF6" s="65"/>
      <c r="AG6" s="65"/>
      <c r="AH6" s="65"/>
      <c r="AJ6" s="65"/>
      <c r="AK6" s="65"/>
      <c r="AL6" s="65"/>
      <c r="AN6" s="65"/>
      <c r="AO6" s="65"/>
      <c r="AP6" s="65"/>
      <c r="AR6" s="65"/>
      <c r="AS6" s="65"/>
      <c r="AT6" s="65"/>
      <c r="AV6" s="65"/>
      <c r="AW6" s="65"/>
      <c r="AX6" s="65"/>
      <c r="AZ6" s="65"/>
      <c r="BA6" s="65"/>
      <c r="BB6" s="65"/>
    </row>
    <row r="7" spans="1:54" x14ac:dyDescent="0.2">
      <c r="A7" s="77" t="str">
        <f>'Catalogo de Item de Serviço'!C49</f>
        <v>IDM-Integração Desktop Launcher</v>
      </c>
      <c r="B7" s="81" t="str">
        <f>'Catalogo de Item de Serviço'!D49</f>
        <v>Número de Sistemas</v>
      </c>
      <c r="C7" s="65">
        <f>SUM($T$18:$T$76)</f>
        <v>0</v>
      </c>
      <c r="D7" s="65"/>
      <c r="E7" s="65"/>
      <c r="F7" s="65"/>
      <c r="G7" s="65">
        <f>SUM($U$18:$U$76)</f>
        <v>0</v>
      </c>
      <c r="H7" s="65"/>
      <c r="I7" s="65"/>
      <c r="J7" s="65"/>
      <c r="K7" s="65">
        <f>SUM($V$18:$V$76)</f>
        <v>0</v>
      </c>
      <c r="L7" s="65"/>
      <c r="M7" s="65"/>
      <c r="N7" s="65"/>
      <c r="O7" s="89">
        <f>'Catalogo de Item de Serviço'!F49</f>
        <v>16</v>
      </c>
      <c r="P7" s="89"/>
      <c r="Q7" s="89"/>
      <c r="R7" s="89"/>
      <c r="S7" s="89">
        <f>'Catalogo de Item de Serviço'!G49</f>
        <v>24</v>
      </c>
      <c r="T7" s="89"/>
      <c r="U7" s="89"/>
      <c r="V7" s="89"/>
      <c r="W7" s="89">
        <f>'Catalogo de Item de Serviço'!H49</f>
        <v>40</v>
      </c>
      <c r="X7" s="65"/>
      <c r="Y7" s="65"/>
      <c r="Z7" s="65"/>
      <c r="AB7" s="65"/>
      <c r="AC7" s="65"/>
      <c r="AD7" s="65"/>
      <c r="AF7" s="65"/>
      <c r="AG7" s="65"/>
      <c r="AH7" s="65"/>
      <c r="AJ7" s="65"/>
      <c r="AK7" s="65"/>
      <c r="AL7" s="65"/>
      <c r="AN7" s="65"/>
      <c r="AO7" s="65"/>
      <c r="AP7" s="65"/>
      <c r="AR7" s="65"/>
      <c r="AS7" s="65"/>
      <c r="AT7" s="65"/>
      <c r="AV7" s="65"/>
      <c r="AW7" s="65"/>
      <c r="AX7" s="65"/>
      <c r="AZ7" s="65"/>
      <c r="BA7" s="65"/>
      <c r="BB7" s="65"/>
    </row>
    <row r="8" spans="1:54" x14ac:dyDescent="0.2">
      <c r="A8" s="77" t="str">
        <f>'Catalogo de Item de Serviço'!C50</f>
        <v>IDM-Relatórios Identity de Auditoria</v>
      </c>
      <c r="B8" s="81" t="str">
        <f>'Catalogo de Item de Serviço'!D50</f>
        <v>Número de Sistemas</v>
      </c>
      <c r="C8" s="65">
        <f>SUM($X$18:$X$76)</f>
        <v>0</v>
      </c>
      <c r="D8" s="65"/>
      <c r="E8" s="65"/>
      <c r="F8" s="65"/>
      <c r="G8" s="65">
        <f>SUM($Y$18:$Y$76)</f>
        <v>0</v>
      </c>
      <c r="H8" s="65"/>
      <c r="I8" s="65"/>
      <c r="J8" s="65"/>
      <c r="K8" s="65">
        <f>SUM($Z$18:$Z$76)</f>
        <v>0</v>
      </c>
      <c r="L8" s="65"/>
      <c r="M8" s="65"/>
      <c r="N8" s="65"/>
      <c r="O8" s="89">
        <f>'Catalogo de Item de Serviço'!F50</f>
        <v>16</v>
      </c>
      <c r="P8" s="89"/>
      <c r="Q8" s="89"/>
      <c r="R8" s="89"/>
      <c r="S8" s="89">
        <f>'Catalogo de Item de Serviço'!G50</f>
        <v>80</v>
      </c>
      <c r="T8" s="89"/>
      <c r="U8" s="89"/>
      <c r="V8" s="89"/>
      <c r="W8" s="89">
        <f>'Catalogo de Item de Serviço'!H50</f>
        <v>160</v>
      </c>
      <c r="X8" s="65"/>
      <c r="Y8" s="65"/>
      <c r="Z8" s="65"/>
      <c r="AB8" s="65"/>
      <c r="AC8" s="65"/>
      <c r="AD8" s="65"/>
      <c r="AF8" s="65"/>
      <c r="AG8" s="65"/>
      <c r="AH8" s="65"/>
      <c r="AJ8" s="65"/>
      <c r="AK8" s="65"/>
      <c r="AL8" s="65"/>
      <c r="AN8" s="65"/>
      <c r="AO8" s="65"/>
      <c r="AP8" s="65"/>
      <c r="AR8" s="65"/>
      <c r="AS8" s="65"/>
      <c r="AT8" s="65"/>
      <c r="AV8" s="65"/>
      <c r="AW8" s="65"/>
      <c r="AX8" s="65"/>
      <c r="AZ8" s="65"/>
      <c r="BA8" s="65"/>
      <c r="BB8" s="65"/>
    </row>
    <row r="9" spans="1:54" hidden="1" x14ac:dyDescent="0.2">
      <c r="A9" s="77" t="str">
        <f>'Catalogo de Item de Serviço'!C51</f>
        <v>Parametrização Inicial</v>
      </c>
      <c r="B9" s="81" t="str">
        <f>'Catalogo de Item de Serviço'!D51</f>
        <v>Por projeto</v>
      </c>
      <c r="C9" s="65">
        <f>SUM($AB$18:$AB$76)</f>
        <v>5</v>
      </c>
      <c r="D9" s="65"/>
      <c r="E9" s="65"/>
      <c r="F9" s="65"/>
      <c r="G9" s="65">
        <f>SUM($AC$18:$AC$76)</f>
        <v>0</v>
      </c>
      <c r="H9" s="65"/>
      <c r="I9" s="65"/>
      <c r="J9" s="65"/>
      <c r="K9" s="65">
        <f>SUM($AD$18:$AD$76)</f>
        <v>0</v>
      </c>
      <c r="L9" s="65"/>
      <c r="M9" s="65"/>
      <c r="N9" s="65"/>
      <c r="O9" s="89">
        <f>'Catalogo de Item de Serviço'!F51</f>
        <v>32</v>
      </c>
      <c r="P9" s="89"/>
      <c r="Q9" s="89"/>
      <c r="R9" s="89"/>
      <c r="S9" s="89">
        <f>'Catalogo de Item de Serviço'!G51</f>
        <v>32</v>
      </c>
      <c r="T9" s="89"/>
      <c r="U9" s="89"/>
      <c r="V9" s="89"/>
      <c r="W9" s="89">
        <f>'Catalogo de Item de Serviço'!H51</f>
        <v>32</v>
      </c>
      <c r="X9" s="65"/>
      <c r="Y9" s="65"/>
      <c r="Z9" s="65"/>
      <c r="AB9" s="65"/>
      <c r="AC9" s="65"/>
      <c r="AD9" s="65"/>
      <c r="AF9" s="65"/>
      <c r="AG9" s="65"/>
      <c r="AH9" s="65"/>
      <c r="AJ9" s="65"/>
      <c r="AK9" s="65"/>
      <c r="AL9" s="65"/>
      <c r="AN9" s="65"/>
      <c r="AO9" s="65"/>
      <c r="AP9" s="65"/>
      <c r="AR9" s="65"/>
      <c r="AS9" s="65"/>
      <c r="AT9" s="65"/>
      <c r="AV9" s="65"/>
      <c r="AW9" s="65"/>
      <c r="AX9" s="65"/>
      <c r="AZ9" s="65"/>
      <c r="BA9" s="65"/>
      <c r="BB9" s="65"/>
    </row>
    <row r="10" spans="1:54" hidden="1" x14ac:dyDescent="0.2">
      <c r="A10" s="77"/>
      <c r="B10" s="81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89"/>
      <c r="P10" s="89"/>
      <c r="Q10" s="89"/>
      <c r="R10" s="89"/>
      <c r="S10" s="89"/>
      <c r="T10" s="89"/>
      <c r="U10" s="89"/>
      <c r="V10" s="89"/>
      <c r="W10" s="89"/>
      <c r="X10" s="65"/>
      <c r="Y10" s="65"/>
      <c r="Z10" s="65"/>
      <c r="AB10" s="65"/>
      <c r="AC10" s="65"/>
      <c r="AD10" s="65"/>
      <c r="AF10" s="65"/>
      <c r="AG10" s="65"/>
      <c r="AH10" s="65"/>
      <c r="AJ10" s="65"/>
      <c r="AK10" s="65"/>
      <c r="AL10" s="65"/>
      <c r="AN10" s="65"/>
      <c r="AO10" s="65"/>
      <c r="AP10" s="65"/>
      <c r="AR10" s="65"/>
      <c r="AS10" s="65"/>
      <c r="AT10" s="65"/>
      <c r="AV10" s="65"/>
      <c r="AW10" s="65"/>
      <c r="AX10" s="65"/>
      <c r="AZ10" s="65"/>
      <c r="BA10" s="65"/>
      <c r="BB10" s="65"/>
    </row>
    <row r="11" spans="1:54" hidden="1" x14ac:dyDescent="0.2">
      <c r="A11" s="77"/>
      <c r="B11" s="81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89"/>
      <c r="P11" s="89"/>
      <c r="Q11" s="89"/>
      <c r="R11" s="89"/>
      <c r="S11" s="89"/>
      <c r="T11" s="89"/>
      <c r="U11" s="89"/>
      <c r="V11" s="89"/>
      <c r="W11" s="89"/>
      <c r="X11" s="65"/>
      <c r="Y11" s="65"/>
      <c r="Z11" s="65"/>
      <c r="AB11" s="65"/>
      <c r="AC11" s="65"/>
      <c r="AD11" s="65"/>
      <c r="AF11" s="65"/>
      <c r="AG11" s="65"/>
      <c r="AH11" s="65"/>
      <c r="AJ11" s="65"/>
      <c r="AK11" s="65"/>
      <c r="AL11" s="65"/>
      <c r="AN11" s="65"/>
      <c r="AO11" s="65"/>
      <c r="AP11" s="65"/>
      <c r="AR11" s="65"/>
      <c r="AS11" s="65"/>
      <c r="AT11" s="65"/>
      <c r="AV11" s="65"/>
      <c r="AW11" s="65"/>
      <c r="AX11" s="65"/>
      <c r="AZ11" s="65"/>
      <c r="BA11" s="65"/>
      <c r="BB11" s="65"/>
    </row>
    <row r="12" spans="1:54" hidden="1" x14ac:dyDescent="0.2">
      <c r="A12" s="77"/>
      <c r="B12" s="81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89"/>
      <c r="P12" s="89"/>
      <c r="Q12" s="89"/>
      <c r="R12" s="89"/>
      <c r="S12" s="89"/>
      <c r="T12" s="89"/>
      <c r="U12" s="89"/>
      <c r="V12" s="89"/>
      <c r="W12" s="89"/>
      <c r="X12" s="65"/>
      <c r="Y12" s="65"/>
      <c r="Z12" s="65"/>
      <c r="AB12" s="65"/>
      <c r="AC12" s="65"/>
      <c r="AD12" s="65"/>
      <c r="AF12" s="65"/>
      <c r="AG12" s="65"/>
      <c r="AH12" s="65"/>
      <c r="AJ12" s="65"/>
      <c r="AK12" s="65"/>
      <c r="AL12" s="65"/>
      <c r="AN12" s="65"/>
      <c r="AO12" s="65"/>
      <c r="AP12" s="65"/>
      <c r="AR12" s="65"/>
      <c r="AS12" s="65"/>
      <c r="AT12" s="65"/>
      <c r="AV12" s="65"/>
      <c r="AW12" s="65"/>
      <c r="AX12" s="65"/>
      <c r="AZ12" s="65"/>
      <c r="BA12" s="65"/>
      <c r="BB12" s="65"/>
    </row>
    <row r="13" spans="1:54" hidden="1" x14ac:dyDescent="0.2">
      <c r="A13" s="77"/>
      <c r="B13" s="81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89"/>
      <c r="P13" s="89"/>
      <c r="Q13" s="89"/>
      <c r="R13" s="89"/>
      <c r="S13" s="89"/>
      <c r="T13" s="89"/>
      <c r="U13" s="89"/>
      <c r="V13" s="89"/>
      <c r="W13" s="89"/>
      <c r="X13" s="65"/>
      <c r="Y13" s="65"/>
      <c r="Z13" s="65"/>
      <c r="AB13" s="65"/>
      <c r="AC13" s="65"/>
      <c r="AD13" s="65"/>
      <c r="AF13" s="65"/>
      <c r="AG13" s="65"/>
      <c r="AH13" s="65"/>
      <c r="AJ13" s="65"/>
      <c r="AK13" s="65"/>
      <c r="AL13" s="65"/>
      <c r="AN13" s="65"/>
      <c r="AO13" s="65"/>
      <c r="AP13" s="65"/>
      <c r="AR13" s="65"/>
      <c r="AS13" s="65"/>
      <c r="AT13" s="65"/>
      <c r="AV13" s="65"/>
      <c r="AW13" s="65"/>
      <c r="AX13" s="65"/>
      <c r="AZ13" s="65"/>
      <c r="BA13" s="65"/>
      <c r="BB13" s="65"/>
    </row>
    <row r="14" spans="1:54" hidden="1" x14ac:dyDescent="0.2">
      <c r="A14" s="77"/>
      <c r="B14" s="81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89"/>
      <c r="P14" s="89"/>
      <c r="Q14" s="89"/>
      <c r="R14" s="89"/>
      <c r="S14" s="89"/>
      <c r="T14" s="89"/>
      <c r="U14" s="89"/>
      <c r="V14" s="89"/>
      <c r="W14" s="89"/>
      <c r="X14" s="65"/>
      <c r="Y14" s="65"/>
      <c r="Z14" s="65"/>
      <c r="AB14" s="65"/>
      <c r="AC14" s="65"/>
      <c r="AD14" s="65"/>
      <c r="AF14" s="65"/>
      <c r="AG14" s="65"/>
      <c r="AH14" s="65"/>
      <c r="AJ14" s="65"/>
      <c r="AK14" s="65"/>
      <c r="AL14" s="65"/>
      <c r="AN14" s="65"/>
      <c r="AO14" s="65"/>
      <c r="AP14" s="65"/>
      <c r="AR14" s="65"/>
      <c r="AS14" s="65"/>
      <c r="AT14" s="65"/>
      <c r="AV14" s="65"/>
      <c r="AW14" s="65"/>
      <c r="AX14" s="65"/>
      <c r="AZ14" s="65"/>
      <c r="BA14" s="65"/>
      <c r="BB14" s="65"/>
    </row>
    <row r="15" spans="1:54" hidden="1" x14ac:dyDescent="0.2">
      <c r="A15" s="77"/>
      <c r="B15" s="81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89"/>
      <c r="P15" s="89"/>
      <c r="Q15" s="89"/>
      <c r="R15" s="89"/>
      <c r="S15" s="89"/>
      <c r="T15" s="89"/>
      <c r="U15" s="89"/>
      <c r="V15" s="89"/>
      <c r="W15" s="89"/>
      <c r="X15" s="65"/>
      <c r="Y15" s="65"/>
      <c r="Z15" s="65"/>
      <c r="AB15" s="65"/>
      <c r="AC15" s="65"/>
      <c r="AD15" s="65"/>
      <c r="AF15" s="65"/>
      <c r="AG15" s="65"/>
      <c r="AH15" s="65"/>
      <c r="AJ15" s="65"/>
      <c r="AK15" s="65"/>
      <c r="AL15" s="65"/>
      <c r="AN15" s="65"/>
      <c r="AO15" s="65"/>
      <c r="AP15" s="65"/>
      <c r="AR15" s="65"/>
      <c r="AS15" s="65"/>
      <c r="AT15" s="65"/>
      <c r="AV15" s="65"/>
      <c r="AW15" s="65"/>
      <c r="AX15" s="65"/>
      <c r="AZ15" s="65"/>
      <c r="BA15" s="65"/>
      <c r="BB15" s="65"/>
    </row>
    <row r="16" spans="1:54" x14ac:dyDescent="0.2">
      <c r="A16" s="68"/>
      <c r="B16" s="66"/>
    </row>
    <row r="17" spans="1:54" s="74" customFormat="1" ht="65.25" customHeight="1" x14ac:dyDescent="0.2">
      <c r="A17" s="64" t="s">
        <v>151</v>
      </c>
      <c r="B17" s="18" t="s">
        <v>101</v>
      </c>
      <c r="C17" s="18" t="str">
        <f>A3</f>
        <v>IDM-Integração Identity SSO</v>
      </c>
      <c r="D17" s="18"/>
      <c r="E17" s="18"/>
      <c r="F17" s="18"/>
      <c r="G17" s="18" t="str">
        <f>A4</f>
        <v>IDM-Integração Identity Provisionamento / Desprovisionamento</v>
      </c>
      <c r="H17" s="18"/>
      <c r="I17" s="18"/>
      <c r="J17" s="18"/>
      <c r="K17" s="18" t="str">
        <f>A5</f>
        <v>IDM-Integração Identity Menus e Segurança (RAC)</v>
      </c>
      <c r="L17" s="18"/>
      <c r="M17" s="18"/>
      <c r="N17" s="18"/>
      <c r="O17" s="18" t="str">
        <f>A6</f>
        <v>IDM-Integração Pluging Browser</v>
      </c>
      <c r="P17" s="18"/>
      <c r="Q17" s="18"/>
      <c r="R17" s="18"/>
      <c r="S17" s="18" t="str">
        <f>A7</f>
        <v>IDM-Integração Desktop Launcher</v>
      </c>
      <c r="T17" s="18"/>
      <c r="U17" s="18"/>
      <c r="V17" s="18"/>
      <c r="W17" s="18" t="str">
        <f>A8</f>
        <v>IDM-Relatórios Identity de Auditoria</v>
      </c>
      <c r="X17" s="18"/>
      <c r="Y17" s="18"/>
      <c r="Z17" s="18"/>
      <c r="AA17" s="18" t="str">
        <f>A9</f>
        <v>Parametrização Inicial</v>
      </c>
      <c r="AB17" s="18"/>
      <c r="AC17" s="18"/>
      <c r="AD17" s="18"/>
      <c r="AE17" s="18">
        <f>A10</f>
        <v>0</v>
      </c>
      <c r="AF17" s="18"/>
      <c r="AG17" s="18"/>
      <c r="AH17" s="18"/>
      <c r="AI17" s="18">
        <f>A11</f>
        <v>0</v>
      </c>
      <c r="AJ17" s="18"/>
      <c r="AK17" s="18"/>
      <c r="AL17" s="18"/>
      <c r="AM17" s="18">
        <f>A12</f>
        <v>0</v>
      </c>
      <c r="AN17" s="18"/>
      <c r="AO17" s="18"/>
      <c r="AP17" s="18"/>
      <c r="AQ17" s="18">
        <f>A13</f>
        <v>0</v>
      </c>
      <c r="AR17" s="18"/>
      <c r="AS17" s="18"/>
      <c r="AT17" s="18"/>
      <c r="AU17" s="18">
        <f>A14</f>
        <v>0</v>
      </c>
      <c r="AV17" s="18"/>
      <c r="AW17" s="18"/>
      <c r="AX17" s="18"/>
      <c r="AY17" s="18">
        <f>A15</f>
        <v>0</v>
      </c>
      <c r="AZ17" s="73"/>
      <c r="BA17" s="73"/>
      <c r="BB17" s="73"/>
    </row>
    <row r="18" spans="1:54" x14ac:dyDescent="0.2">
      <c r="A18" s="71"/>
      <c r="B18" s="96" t="s">
        <v>52</v>
      </c>
      <c r="C18" s="96"/>
      <c r="D18" s="97">
        <f>IF($B18="1-baixa",C18,0)</f>
        <v>0</v>
      </c>
      <c r="E18" s="97">
        <f>IF($B18="2-media",C18,0)</f>
        <v>0</v>
      </c>
      <c r="F18" s="97">
        <f>IF($B18="3-Alta",C18,0)</f>
        <v>0</v>
      </c>
      <c r="G18" s="96"/>
      <c r="H18" s="97">
        <f>IF($B18="1-baixa",G18,0)</f>
        <v>0</v>
      </c>
      <c r="I18" s="97">
        <f>IF($B18="2-media",G18,0)</f>
        <v>0</v>
      </c>
      <c r="J18" s="97">
        <f>IF($B18="3-Alta",G18,0)</f>
        <v>0</v>
      </c>
      <c r="K18" s="96"/>
      <c r="L18" s="97">
        <f>IF($B18="1-baixa",K18,0)</f>
        <v>0</v>
      </c>
      <c r="M18" s="97">
        <f>IF($B18="2-media",K18,0)</f>
        <v>0</v>
      </c>
      <c r="N18" s="97">
        <f>IF($B18="3-Alta",K18,0)</f>
        <v>0</v>
      </c>
      <c r="O18" s="96"/>
      <c r="P18" s="97">
        <f>IF($B18="1-baixa",O18,0)</f>
        <v>0</v>
      </c>
      <c r="Q18" s="97">
        <f>IF($B18="2-media",O18,0)</f>
        <v>0</v>
      </c>
      <c r="R18" s="97">
        <f>IF($B18="3-Alta",O18,0)</f>
        <v>0</v>
      </c>
      <c r="S18" s="96"/>
      <c r="T18" s="97">
        <f>IF($B18="1-baixa",S18,0)</f>
        <v>0</v>
      </c>
      <c r="U18" s="97">
        <f>IF($B18="2-media",S18,0)</f>
        <v>0</v>
      </c>
      <c r="V18" s="97">
        <f>IF($B18="3-Alta",S18,0)</f>
        <v>0</v>
      </c>
      <c r="W18" s="96"/>
      <c r="X18" s="97">
        <f>IF($B18="1-baixa",W18,0)</f>
        <v>0</v>
      </c>
      <c r="Y18" s="97">
        <f>IF($B18="2-media",W18,0)</f>
        <v>0</v>
      </c>
      <c r="Z18" s="97">
        <f>IF($B18="3-Alta",W18,0)</f>
        <v>0</v>
      </c>
      <c r="AA18" s="96">
        <v>1</v>
      </c>
      <c r="AB18" s="97">
        <f>IF($B18="1-baixa",AA18,0)</f>
        <v>1</v>
      </c>
      <c r="AC18" s="97">
        <f>IF($B18="2-media",AA18,0)</f>
        <v>0</v>
      </c>
      <c r="AD18" s="97">
        <f>IF($B18="3-Alta",AA18,0)</f>
        <v>0</v>
      </c>
      <c r="AE18" s="96">
        <v>10</v>
      </c>
      <c r="AF18" s="97">
        <f>IF($B18="1-baixa",AE18,0)</f>
        <v>10</v>
      </c>
      <c r="AG18" s="97">
        <f>IF($B18="2-media",AE18,0)</f>
        <v>0</v>
      </c>
      <c r="AH18" s="97">
        <f>IF($B18="3-Alta",AE18,0)</f>
        <v>0</v>
      </c>
      <c r="AI18" s="96">
        <v>2</v>
      </c>
      <c r="AJ18" s="97">
        <f>IF($B18="1-baixa",AI18,0)</f>
        <v>2</v>
      </c>
      <c r="AK18" s="97">
        <f>IF($B18="2-media",AI18,0)</f>
        <v>0</v>
      </c>
      <c r="AL18" s="97">
        <f>IF($B18="3-Alta",AI18,0)</f>
        <v>0</v>
      </c>
      <c r="AM18" s="96">
        <v>2</v>
      </c>
      <c r="AN18" s="97">
        <f>IF($B18="1-baixa",AM18,0)</f>
        <v>2</v>
      </c>
      <c r="AO18" s="97">
        <f>IF($B18="2-media",AM18,0)</f>
        <v>0</v>
      </c>
      <c r="AP18" s="97">
        <f>IF($B18="3-Alta",AM18,0)</f>
        <v>0</v>
      </c>
      <c r="AQ18" s="96">
        <v>5</v>
      </c>
      <c r="AR18" s="97">
        <f>IF($B18="1-baixa",AQ18,0)</f>
        <v>5</v>
      </c>
      <c r="AS18" s="97">
        <f>IF($B18="2-media",AQ18,0)</f>
        <v>0</v>
      </c>
      <c r="AT18" s="97">
        <f>IF($B18="3-Alta",AQ18,0)</f>
        <v>0</v>
      </c>
      <c r="AU18" s="96">
        <v>0</v>
      </c>
      <c r="AV18" s="97">
        <f>IF($B18="1-baixa",AU18,0)</f>
        <v>0</v>
      </c>
      <c r="AW18" s="97">
        <f>IF($B18="2-media",AU18,0)</f>
        <v>0</v>
      </c>
      <c r="AX18" s="97">
        <f>IF($B18="3-Alta",AU18,0)</f>
        <v>0</v>
      </c>
      <c r="AY18" s="96">
        <v>5</v>
      </c>
      <c r="AZ18" s="65">
        <f>IF($B18="1-baixa",AY18,0)</f>
        <v>5</v>
      </c>
      <c r="BA18" s="65">
        <f>IF($B18="2-media",AY18,0)</f>
        <v>0</v>
      </c>
      <c r="BB18" s="65">
        <f>IF($B18="3-Alta",AY18,0)</f>
        <v>0</v>
      </c>
    </row>
    <row r="19" spans="1:54" x14ac:dyDescent="0.2">
      <c r="A19" s="71"/>
      <c r="B19" s="96" t="s">
        <v>52</v>
      </c>
      <c r="C19" s="96"/>
      <c r="D19" s="97">
        <f t="shared" ref="D19:D76" si="0">IF($B19="1-baixa",C19,0)</f>
        <v>0</v>
      </c>
      <c r="E19" s="97">
        <f>IF($B19="2-media",C19,0)</f>
        <v>0</v>
      </c>
      <c r="F19" s="97">
        <f>IF($B19="3-Alta",C19,0)</f>
        <v>0</v>
      </c>
      <c r="G19" s="96"/>
      <c r="H19" s="97">
        <f t="shared" ref="H19:H76" si="1">IF($B19="1-baixa",G19,0)</f>
        <v>0</v>
      </c>
      <c r="I19" s="97">
        <f t="shared" ref="I19:I76" si="2">IF($B19="2-media",G19,0)</f>
        <v>0</v>
      </c>
      <c r="J19" s="97">
        <f t="shared" ref="J19:J76" si="3">IF($B19="3-Alta",G19,0)</f>
        <v>0</v>
      </c>
      <c r="K19" s="96"/>
      <c r="L19" s="97">
        <f t="shared" ref="L19:L76" si="4">IF($B19="1-baixa",K19,0)</f>
        <v>0</v>
      </c>
      <c r="M19" s="97">
        <f t="shared" ref="M19:M76" si="5">IF($B19="2-media",K19,0)</f>
        <v>0</v>
      </c>
      <c r="N19" s="97">
        <f t="shared" ref="N19:N76" si="6">IF($B19="3-Alta",K19,0)</f>
        <v>0</v>
      </c>
      <c r="O19" s="96"/>
      <c r="P19" s="97">
        <f t="shared" ref="P19:P76" si="7">IF($B19="1-baixa",O19,0)</f>
        <v>0</v>
      </c>
      <c r="Q19" s="97">
        <f t="shared" ref="Q19:Q76" si="8">IF($B19="2-media",O19,0)</f>
        <v>0</v>
      </c>
      <c r="R19" s="97">
        <f t="shared" ref="R19:R76" si="9">IF($B19="3-Alta",O19,0)</f>
        <v>0</v>
      </c>
      <c r="S19" s="96"/>
      <c r="T19" s="97">
        <f t="shared" ref="T19:T76" si="10">IF($B19="1-baixa",S19,0)</f>
        <v>0</v>
      </c>
      <c r="U19" s="97">
        <f t="shared" ref="U19:U76" si="11">IF($B19="2-media",S19,0)</f>
        <v>0</v>
      </c>
      <c r="V19" s="97">
        <f t="shared" ref="V19:V76" si="12">IF($B19="3-Alta",S19,0)</f>
        <v>0</v>
      </c>
      <c r="W19" s="96"/>
      <c r="X19" s="97">
        <f t="shared" ref="X19:X76" si="13">IF($B19="1-baixa",W19,0)</f>
        <v>0</v>
      </c>
      <c r="Y19" s="97">
        <f t="shared" ref="Y19:Y76" si="14">IF($B19="2-media",W19,0)</f>
        <v>0</v>
      </c>
      <c r="Z19" s="97">
        <f t="shared" ref="Z19:Z76" si="15">IF($B19="3-Alta",W19,0)</f>
        <v>0</v>
      </c>
      <c r="AA19" s="96">
        <v>1</v>
      </c>
      <c r="AB19" s="97">
        <f t="shared" ref="AB19:AB76" si="16">IF($B19="1-baixa",AA19,0)</f>
        <v>1</v>
      </c>
      <c r="AC19" s="97">
        <f t="shared" ref="AC19:AC76" si="17">IF($B19="2-media",AA19,0)</f>
        <v>0</v>
      </c>
      <c r="AD19" s="97">
        <f t="shared" ref="AD19:AD76" si="18">IF($B19="3-Alta",AA19,0)</f>
        <v>0</v>
      </c>
      <c r="AE19" s="96">
        <v>20</v>
      </c>
      <c r="AF19" s="97">
        <f t="shared" ref="AF19:AF76" si="19">IF($B19="1-baixa",AE19,0)</f>
        <v>20</v>
      </c>
      <c r="AG19" s="97">
        <f t="shared" ref="AG19:AG76" si="20">IF($B19="2-media",AE19,0)</f>
        <v>0</v>
      </c>
      <c r="AH19" s="97">
        <f t="shared" ref="AH19:AH76" si="21">IF($B19="3-Alta",AE19,0)</f>
        <v>0</v>
      </c>
      <c r="AI19" s="96">
        <v>5</v>
      </c>
      <c r="AJ19" s="97">
        <f t="shared" ref="AJ19:AJ76" si="22">IF($B19="1-baixa",AI19,0)</f>
        <v>5</v>
      </c>
      <c r="AK19" s="97">
        <f t="shared" ref="AK19:AK76" si="23">IF($B19="2-media",AI19,0)</f>
        <v>0</v>
      </c>
      <c r="AL19" s="97">
        <f t="shared" ref="AL19:AL76" si="24">IF($B19="3-Alta",AI19,0)</f>
        <v>0</v>
      </c>
      <c r="AM19" s="96">
        <v>2</v>
      </c>
      <c r="AN19" s="97">
        <f t="shared" ref="AN19:AN76" si="25">IF($B19="1-baixa",AM19,0)</f>
        <v>2</v>
      </c>
      <c r="AO19" s="97">
        <f t="shared" ref="AO19:AO76" si="26">IF($B19="2-media",AM19,0)</f>
        <v>0</v>
      </c>
      <c r="AP19" s="97">
        <f t="shared" ref="AP19:AP76" si="27">IF($B19="3-Alta",AM19,0)</f>
        <v>0</v>
      </c>
      <c r="AQ19" s="96">
        <v>3</v>
      </c>
      <c r="AR19" s="97">
        <f t="shared" ref="AR19:AR76" si="28">IF($B19="1-baixa",AQ19,0)</f>
        <v>3</v>
      </c>
      <c r="AS19" s="97">
        <f t="shared" ref="AS19:AS76" si="29">IF($B19="2-media",AQ19,0)</f>
        <v>0</v>
      </c>
      <c r="AT19" s="97">
        <f t="shared" ref="AT19:AT76" si="30">IF($B19="3-Alta",AQ19,0)</f>
        <v>0</v>
      </c>
      <c r="AU19" s="96">
        <v>0</v>
      </c>
      <c r="AV19" s="97">
        <f t="shared" ref="AV19:AV76" si="31">IF($B19="1-baixa",AU19,0)</f>
        <v>0</v>
      </c>
      <c r="AW19" s="97">
        <f t="shared" ref="AW19:AW76" si="32">IF($B19="2-media",AU19,0)</f>
        <v>0</v>
      </c>
      <c r="AX19" s="97">
        <f t="shared" ref="AX19:AX76" si="33">IF($B19="3-Alta",AU19,0)</f>
        <v>0</v>
      </c>
      <c r="AY19" s="96">
        <v>3</v>
      </c>
      <c r="AZ19" s="65">
        <f t="shared" ref="AZ19:AZ76" si="34">IF($B19="1-baixa",AY19,0)</f>
        <v>3</v>
      </c>
      <c r="BA19" s="65">
        <f t="shared" ref="BA19:BA76" si="35">IF($B19="2-media",AY19,0)</f>
        <v>0</v>
      </c>
      <c r="BB19" s="65">
        <f t="shared" ref="BB19:BB76" si="36">IF($B19="3-Alta",AY19,0)</f>
        <v>0</v>
      </c>
    </row>
    <row r="20" spans="1:54" x14ac:dyDescent="0.2">
      <c r="A20" s="71"/>
      <c r="B20" s="96" t="s">
        <v>52</v>
      </c>
      <c r="C20" s="96"/>
      <c r="D20" s="97">
        <f t="shared" si="0"/>
        <v>0</v>
      </c>
      <c r="E20" s="97">
        <f>IF($B20="2-media",C20,0)</f>
        <v>0</v>
      </c>
      <c r="F20" s="97">
        <f>IF($B20="3-Alta",C20,0)</f>
        <v>0</v>
      </c>
      <c r="G20" s="96"/>
      <c r="H20" s="97">
        <f t="shared" si="1"/>
        <v>0</v>
      </c>
      <c r="I20" s="97">
        <f t="shared" si="2"/>
        <v>0</v>
      </c>
      <c r="J20" s="97">
        <f t="shared" si="3"/>
        <v>0</v>
      </c>
      <c r="K20" s="96"/>
      <c r="L20" s="97">
        <f t="shared" si="4"/>
        <v>0</v>
      </c>
      <c r="M20" s="97">
        <f t="shared" si="5"/>
        <v>0</v>
      </c>
      <c r="N20" s="97">
        <f t="shared" si="6"/>
        <v>0</v>
      </c>
      <c r="O20" s="96"/>
      <c r="P20" s="97">
        <f t="shared" si="7"/>
        <v>0</v>
      </c>
      <c r="Q20" s="97">
        <f t="shared" si="8"/>
        <v>0</v>
      </c>
      <c r="R20" s="97">
        <f t="shared" si="9"/>
        <v>0</v>
      </c>
      <c r="S20" s="96"/>
      <c r="T20" s="97">
        <f t="shared" si="10"/>
        <v>0</v>
      </c>
      <c r="U20" s="97">
        <f t="shared" si="11"/>
        <v>0</v>
      </c>
      <c r="V20" s="97">
        <f t="shared" si="12"/>
        <v>0</v>
      </c>
      <c r="W20" s="96"/>
      <c r="X20" s="97">
        <f t="shared" si="13"/>
        <v>0</v>
      </c>
      <c r="Y20" s="97">
        <f t="shared" si="14"/>
        <v>0</v>
      </c>
      <c r="Z20" s="97">
        <f t="shared" si="15"/>
        <v>0</v>
      </c>
      <c r="AA20" s="96">
        <v>1</v>
      </c>
      <c r="AB20" s="97">
        <f t="shared" si="16"/>
        <v>1</v>
      </c>
      <c r="AC20" s="97">
        <f t="shared" si="17"/>
        <v>0</v>
      </c>
      <c r="AD20" s="97">
        <f t="shared" si="18"/>
        <v>0</v>
      </c>
      <c r="AE20" s="96">
        <v>20</v>
      </c>
      <c r="AF20" s="97">
        <f t="shared" si="19"/>
        <v>20</v>
      </c>
      <c r="AG20" s="97">
        <f t="shared" si="20"/>
        <v>0</v>
      </c>
      <c r="AH20" s="97">
        <f t="shared" si="21"/>
        <v>0</v>
      </c>
      <c r="AI20" s="96">
        <v>5</v>
      </c>
      <c r="AJ20" s="97">
        <f t="shared" si="22"/>
        <v>5</v>
      </c>
      <c r="AK20" s="97">
        <f t="shared" si="23"/>
        <v>0</v>
      </c>
      <c r="AL20" s="97">
        <f t="shared" si="24"/>
        <v>0</v>
      </c>
      <c r="AM20" s="96">
        <v>2</v>
      </c>
      <c r="AN20" s="97">
        <f t="shared" si="25"/>
        <v>2</v>
      </c>
      <c r="AO20" s="97">
        <f t="shared" si="26"/>
        <v>0</v>
      </c>
      <c r="AP20" s="97">
        <f t="shared" si="27"/>
        <v>0</v>
      </c>
      <c r="AQ20" s="96">
        <v>3</v>
      </c>
      <c r="AR20" s="97">
        <f t="shared" si="28"/>
        <v>3</v>
      </c>
      <c r="AS20" s="97">
        <f t="shared" si="29"/>
        <v>0</v>
      </c>
      <c r="AT20" s="97">
        <f t="shared" si="30"/>
        <v>0</v>
      </c>
      <c r="AU20" s="96">
        <v>0</v>
      </c>
      <c r="AV20" s="97">
        <f t="shared" si="31"/>
        <v>0</v>
      </c>
      <c r="AW20" s="97">
        <f t="shared" si="32"/>
        <v>0</v>
      </c>
      <c r="AX20" s="97">
        <f t="shared" si="33"/>
        <v>0</v>
      </c>
      <c r="AY20" s="96">
        <v>3</v>
      </c>
      <c r="AZ20" s="65">
        <f t="shared" si="34"/>
        <v>3</v>
      </c>
      <c r="BA20" s="65">
        <f t="shared" si="35"/>
        <v>0</v>
      </c>
      <c r="BB20" s="65">
        <f t="shared" si="36"/>
        <v>0</v>
      </c>
    </row>
    <row r="21" spans="1:54" x14ac:dyDescent="0.2">
      <c r="A21" s="71"/>
      <c r="B21" s="96" t="s">
        <v>52</v>
      </c>
      <c r="C21" s="96"/>
      <c r="D21" s="97">
        <f t="shared" si="0"/>
        <v>0</v>
      </c>
      <c r="E21" s="97">
        <f>IF($B21="2-media",C21,0)</f>
        <v>0</v>
      </c>
      <c r="F21" s="97">
        <f>IF($B21="3-Alta",C21,0)</f>
        <v>0</v>
      </c>
      <c r="G21" s="96"/>
      <c r="H21" s="97">
        <f t="shared" si="1"/>
        <v>0</v>
      </c>
      <c r="I21" s="97">
        <f t="shared" si="2"/>
        <v>0</v>
      </c>
      <c r="J21" s="97">
        <f t="shared" si="3"/>
        <v>0</v>
      </c>
      <c r="K21" s="96"/>
      <c r="L21" s="97">
        <f t="shared" si="4"/>
        <v>0</v>
      </c>
      <c r="M21" s="97">
        <f t="shared" si="5"/>
        <v>0</v>
      </c>
      <c r="N21" s="97">
        <f t="shared" si="6"/>
        <v>0</v>
      </c>
      <c r="O21" s="96"/>
      <c r="P21" s="97">
        <f t="shared" si="7"/>
        <v>0</v>
      </c>
      <c r="Q21" s="97">
        <f t="shared" si="8"/>
        <v>0</v>
      </c>
      <c r="R21" s="97">
        <f t="shared" si="9"/>
        <v>0</v>
      </c>
      <c r="S21" s="96"/>
      <c r="T21" s="97">
        <f t="shared" si="10"/>
        <v>0</v>
      </c>
      <c r="U21" s="97">
        <f t="shared" si="11"/>
        <v>0</v>
      </c>
      <c r="V21" s="97">
        <f t="shared" si="12"/>
        <v>0</v>
      </c>
      <c r="W21" s="96"/>
      <c r="X21" s="97">
        <f t="shared" si="13"/>
        <v>0</v>
      </c>
      <c r="Y21" s="97">
        <f t="shared" si="14"/>
        <v>0</v>
      </c>
      <c r="Z21" s="97">
        <f t="shared" si="15"/>
        <v>0</v>
      </c>
      <c r="AA21" s="96">
        <v>1</v>
      </c>
      <c r="AB21" s="97">
        <f t="shared" si="16"/>
        <v>1</v>
      </c>
      <c r="AC21" s="97">
        <f t="shared" si="17"/>
        <v>0</v>
      </c>
      <c r="AD21" s="97">
        <f t="shared" si="18"/>
        <v>0</v>
      </c>
      <c r="AE21" s="96">
        <v>20</v>
      </c>
      <c r="AF21" s="97">
        <f t="shared" si="19"/>
        <v>20</v>
      </c>
      <c r="AG21" s="97">
        <f t="shared" si="20"/>
        <v>0</v>
      </c>
      <c r="AH21" s="97">
        <f t="shared" si="21"/>
        <v>0</v>
      </c>
      <c r="AI21" s="96">
        <v>5</v>
      </c>
      <c r="AJ21" s="97">
        <f t="shared" si="22"/>
        <v>5</v>
      </c>
      <c r="AK21" s="97">
        <f t="shared" si="23"/>
        <v>0</v>
      </c>
      <c r="AL21" s="97">
        <f t="shared" si="24"/>
        <v>0</v>
      </c>
      <c r="AM21" s="96">
        <v>2</v>
      </c>
      <c r="AN21" s="97">
        <f t="shared" si="25"/>
        <v>2</v>
      </c>
      <c r="AO21" s="97">
        <f t="shared" si="26"/>
        <v>0</v>
      </c>
      <c r="AP21" s="97">
        <f t="shared" si="27"/>
        <v>0</v>
      </c>
      <c r="AQ21" s="96">
        <v>3</v>
      </c>
      <c r="AR21" s="97">
        <f t="shared" si="28"/>
        <v>3</v>
      </c>
      <c r="AS21" s="97">
        <f t="shared" si="29"/>
        <v>0</v>
      </c>
      <c r="AT21" s="97">
        <f t="shared" si="30"/>
        <v>0</v>
      </c>
      <c r="AU21" s="96">
        <v>0</v>
      </c>
      <c r="AV21" s="97">
        <f t="shared" si="31"/>
        <v>0</v>
      </c>
      <c r="AW21" s="97">
        <f t="shared" si="32"/>
        <v>0</v>
      </c>
      <c r="AX21" s="97">
        <f t="shared" si="33"/>
        <v>0</v>
      </c>
      <c r="AY21" s="96">
        <v>3</v>
      </c>
      <c r="AZ21" s="65">
        <f t="shared" si="34"/>
        <v>3</v>
      </c>
      <c r="BA21" s="65">
        <f t="shared" si="35"/>
        <v>0</v>
      </c>
      <c r="BB21" s="65">
        <f t="shared" si="36"/>
        <v>0</v>
      </c>
    </row>
    <row r="22" spans="1:54" x14ac:dyDescent="0.2">
      <c r="A22" s="71"/>
      <c r="B22" s="96" t="s">
        <v>52</v>
      </c>
      <c r="C22" s="96"/>
      <c r="D22" s="97">
        <f t="shared" si="0"/>
        <v>0</v>
      </c>
      <c r="E22" s="97">
        <f>IF($B22="2-media",C22,0)</f>
        <v>0</v>
      </c>
      <c r="F22" s="97">
        <f>IF($B22="3-Alta",C22,0)</f>
        <v>0</v>
      </c>
      <c r="G22" s="96"/>
      <c r="H22" s="97">
        <f t="shared" si="1"/>
        <v>0</v>
      </c>
      <c r="I22" s="97">
        <f t="shared" si="2"/>
        <v>0</v>
      </c>
      <c r="J22" s="97">
        <f t="shared" si="3"/>
        <v>0</v>
      </c>
      <c r="K22" s="96"/>
      <c r="L22" s="97">
        <f t="shared" si="4"/>
        <v>0</v>
      </c>
      <c r="M22" s="97">
        <f t="shared" si="5"/>
        <v>0</v>
      </c>
      <c r="N22" s="97">
        <f t="shared" si="6"/>
        <v>0</v>
      </c>
      <c r="O22" s="96"/>
      <c r="P22" s="97">
        <f t="shared" si="7"/>
        <v>0</v>
      </c>
      <c r="Q22" s="97">
        <f t="shared" si="8"/>
        <v>0</v>
      </c>
      <c r="R22" s="97">
        <f t="shared" si="9"/>
        <v>0</v>
      </c>
      <c r="S22" s="96"/>
      <c r="T22" s="97">
        <f t="shared" si="10"/>
        <v>0</v>
      </c>
      <c r="U22" s="97">
        <f t="shared" si="11"/>
        <v>0</v>
      </c>
      <c r="V22" s="97">
        <f t="shared" si="12"/>
        <v>0</v>
      </c>
      <c r="W22" s="96"/>
      <c r="X22" s="97">
        <f t="shared" si="13"/>
        <v>0</v>
      </c>
      <c r="Y22" s="97">
        <f t="shared" si="14"/>
        <v>0</v>
      </c>
      <c r="Z22" s="97">
        <f t="shared" si="15"/>
        <v>0</v>
      </c>
      <c r="AA22" s="96">
        <v>1</v>
      </c>
      <c r="AB22" s="97">
        <f t="shared" si="16"/>
        <v>1</v>
      </c>
      <c r="AC22" s="97">
        <f t="shared" si="17"/>
        <v>0</v>
      </c>
      <c r="AD22" s="97">
        <f t="shared" si="18"/>
        <v>0</v>
      </c>
      <c r="AE22" s="96">
        <v>20</v>
      </c>
      <c r="AF22" s="97">
        <f t="shared" si="19"/>
        <v>20</v>
      </c>
      <c r="AG22" s="97">
        <f t="shared" si="20"/>
        <v>0</v>
      </c>
      <c r="AH22" s="97">
        <f t="shared" si="21"/>
        <v>0</v>
      </c>
      <c r="AI22" s="96">
        <v>5</v>
      </c>
      <c r="AJ22" s="97">
        <f t="shared" si="22"/>
        <v>5</v>
      </c>
      <c r="AK22" s="97">
        <f t="shared" si="23"/>
        <v>0</v>
      </c>
      <c r="AL22" s="97">
        <f t="shared" si="24"/>
        <v>0</v>
      </c>
      <c r="AM22" s="96">
        <v>2</v>
      </c>
      <c r="AN22" s="97">
        <f t="shared" si="25"/>
        <v>2</v>
      </c>
      <c r="AO22" s="97">
        <f t="shared" si="26"/>
        <v>0</v>
      </c>
      <c r="AP22" s="97">
        <f t="shared" si="27"/>
        <v>0</v>
      </c>
      <c r="AQ22" s="96">
        <v>3</v>
      </c>
      <c r="AR22" s="97">
        <f t="shared" si="28"/>
        <v>3</v>
      </c>
      <c r="AS22" s="97">
        <f t="shared" si="29"/>
        <v>0</v>
      </c>
      <c r="AT22" s="97">
        <f t="shared" si="30"/>
        <v>0</v>
      </c>
      <c r="AU22" s="96">
        <v>0</v>
      </c>
      <c r="AV22" s="97">
        <f t="shared" si="31"/>
        <v>0</v>
      </c>
      <c r="AW22" s="97">
        <f t="shared" si="32"/>
        <v>0</v>
      </c>
      <c r="AX22" s="97">
        <f t="shared" si="33"/>
        <v>0</v>
      </c>
      <c r="AY22" s="96">
        <v>3</v>
      </c>
      <c r="AZ22" s="65">
        <f t="shared" si="34"/>
        <v>3</v>
      </c>
      <c r="BA22" s="65">
        <f t="shared" si="35"/>
        <v>0</v>
      </c>
      <c r="BB22" s="65">
        <f t="shared" si="36"/>
        <v>0</v>
      </c>
    </row>
    <row r="23" spans="1:54" x14ac:dyDescent="0.2">
      <c r="A23" s="71"/>
      <c r="B23" s="96" t="s">
        <v>52</v>
      </c>
      <c r="C23" s="96"/>
      <c r="D23" s="97">
        <f t="shared" si="0"/>
        <v>0</v>
      </c>
      <c r="E23" s="97">
        <f t="shared" ref="E23:E76" si="37">IF($B23="2-media",C23,0)</f>
        <v>0</v>
      </c>
      <c r="F23" s="97">
        <f t="shared" ref="F23:F76" si="38">IF($B23="3-Alta",C23,0)</f>
        <v>0</v>
      </c>
      <c r="G23" s="96"/>
      <c r="H23" s="97">
        <f t="shared" si="1"/>
        <v>0</v>
      </c>
      <c r="I23" s="97">
        <f t="shared" si="2"/>
        <v>0</v>
      </c>
      <c r="J23" s="97">
        <f t="shared" si="3"/>
        <v>0</v>
      </c>
      <c r="K23" s="96"/>
      <c r="L23" s="97">
        <f t="shared" si="4"/>
        <v>0</v>
      </c>
      <c r="M23" s="97">
        <f t="shared" si="5"/>
        <v>0</v>
      </c>
      <c r="N23" s="97">
        <f t="shared" si="6"/>
        <v>0</v>
      </c>
      <c r="O23" s="96"/>
      <c r="P23" s="97">
        <f t="shared" si="7"/>
        <v>0</v>
      </c>
      <c r="Q23" s="97">
        <f t="shared" si="8"/>
        <v>0</v>
      </c>
      <c r="R23" s="97">
        <f t="shared" si="9"/>
        <v>0</v>
      </c>
      <c r="S23" s="96"/>
      <c r="T23" s="97">
        <f t="shared" si="10"/>
        <v>0</v>
      </c>
      <c r="U23" s="97">
        <f t="shared" si="11"/>
        <v>0</v>
      </c>
      <c r="V23" s="97">
        <f t="shared" si="12"/>
        <v>0</v>
      </c>
      <c r="W23" s="96"/>
      <c r="X23" s="97">
        <f t="shared" si="13"/>
        <v>0</v>
      </c>
      <c r="Y23" s="97">
        <f t="shared" si="14"/>
        <v>0</v>
      </c>
      <c r="Z23" s="97">
        <f t="shared" si="15"/>
        <v>0</v>
      </c>
      <c r="AA23" s="96"/>
      <c r="AB23" s="97">
        <f t="shared" si="16"/>
        <v>0</v>
      </c>
      <c r="AC23" s="97">
        <f t="shared" si="17"/>
        <v>0</v>
      </c>
      <c r="AD23" s="97">
        <f t="shared" si="18"/>
        <v>0</v>
      </c>
      <c r="AE23" s="96"/>
      <c r="AF23" s="97">
        <f t="shared" si="19"/>
        <v>0</v>
      </c>
      <c r="AG23" s="97">
        <f t="shared" si="20"/>
        <v>0</v>
      </c>
      <c r="AH23" s="97">
        <f t="shared" si="21"/>
        <v>0</v>
      </c>
      <c r="AI23" s="96"/>
      <c r="AJ23" s="97">
        <f t="shared" si="22"/>
        <v>0</v>
      </c>
      <c r="AK23" s="97">
        <f t="shared" si="23"/>
        <v>0</v>
      </c>
      <c r="AL23" s="97">
        <f t="shared" si="24"/>
        <v>0</v>
      </c>
      <c r="AM23" s="96"/>
      <c r="AN23" s="97">
        <f t="shared" si="25"/>
        <v>0</v>
      </c>
      <c r="AO23" s="97">
        <f t="shared" si="26"/>
        <v>0</v>
      </c>
      <c r="AP23" s="97">
        <f t="shared" si="27"/>
        <v>0</v>
      </c>
      <c r="AQ23" s="96"/>
      <c r="AR23" s="97">
        <f t="shared" si="28"/>
        <v>0</v>
      </c>
      <c r="AS23" s="97">
        <f t="shared" si="29"/>
        <v>0</v>
      </c>
      <c r="AT23" s="97">
        <f t="shared" si="30"/>
        <v>0</v>
      </c>
      <c r="AU23" s="96"/>
      <c r="AV23" s="97">
        <f t="shared" si="31"/>
        <v>0</v>
      </c>
      <c r="AW23" s="97">
        <f t="shared" si="32"/>
        <v>0</v>
      </c>
      <c r="AX23" s="97">
        <f t="shared" si="33"/>
        <v>0</v>
      </c>
      <c r="AY23" s="96"/>
      <c r="AZ23" s="65">
        <f t="shared" si="34"/>
        <v>0</v>
      </c>
      <c r="BA23" s="65">
        <f t="shared" si="35"/>
        <v>0</v>
      </c>
      <c r="BB23" s="65">
        <f t="shared" si="36"/>
        <v>0</v>
      </c>
    </row>
    <row r="24" spans="1:54" x14ac:dyDescent="0.2">
      <c r="A24" s="71"/>
      <c r="B24" s="96" t="s">
        <v>52</v>
      </c>
      <c r="C24" s="96"/>
      <c r="D24" s="97">
        <f t="shared" si="0"/>
        <v>0</v>
      </c>
      <c r="E24" s="97">
        <f t="shared" si="37"/>
        <v>0</v>
      </c>
      <c r="F24" s="97">
        <f t="shared" si="38"/>
        <v>0</v>
      </c>
      <c r="G24" s="96"/>
      <c r="H24" s="97">
        <f t="shared" si="1"/>
        <v>0</v>
      </c>
      <c r="I24" s="97">
        <f t="shared" si="2"/>
        <v>0</v>
      </c>
      <c r="J24" s="97">
        <f t="shared" si="3"/>
        <v>0</v>
      </c>
      <c r="K24" s="96"/>
      <c r="L24" s="97">
        <f t="shared" si="4"/>
        <v>0</v>
      </c>
      <c r="M24" s="97">
        <f t="shared" si="5"/>
        <v>0</v>
      </c>
      <c r="N24" s="97">
        <f t="shared" si="6"/>
        <v>0</v>
      </c>
      <c r="O24" s="96"/>
      <c r="P24" s="97">
        <f t="shared" si="7"/>
        <v>0</v>
      </c>
      <c r="Q24" s="97">
        <f t="shared" si="8"/>
        <v>0</v>
      </c>
      <c r="R24" s="97">
        <f t="shared" si="9"/>
        <v>0</v>
      </c>
      <c r="S24" s="96"/>
      <c r="T24" s="97">
        <f t="shared" si="10"/>
        <v>0</v>
      </c>
      <c r="U24" s="97">
        <f t="shared" si="11"/>
        <v>0</v>
      </c>
      <c r="V24" s="97">
        <f t="shared" si="12"/>
        <v>0</v>
      </c>
      <c r="W24" s="96"/>
      <c r="X24" s="97">
        <f t="shared" si="13"/>
        <v>0</v>
      </c>
      <c r="Y24" s="97">
        <f t="shared" si="14"/>
        <v>0</v>
      </c>
      <c r="Z24" s="97">
        <f t="shared" si="15"/>
        <v>0</v>
      </c>
      <c r="AA24" s="96"/>
      <c r="AB24" s="97">
        <f t="shared" si="16"/>
        <v>0</v>
      </c>
      <c r="AC24" s="97">
        <f t="shared" si="17"/>
        <v>0</v>
      </c>
      <c r="AD24" s="97">
        <f t="shared" si="18"/>
        <v>0</v>
      </c>
      <c r="AE24" s="96"/>
      <c r="AF24" s="97">
        <f t="shared" si="19"/>
        <v>0</v>
      </c>
      <c r="AG24" s="97">
        <f t="shared" si="20"/>
        <v>0</v>
      </c>
      <c r="AH24" s="97">
        <f t="shared" si="21"/>
        <v>0</v>
      </c>
      <c r="AI24" s="96"/>
      <c r="AJ24" s="97">
        <f t="shared" si="22"/>
        <v>0</v>
      </c>
      <c r="AK24" s="97">
        <f t="shared" si="23"/>
        <v>0</v>
      </c>
      <c r="AL24" s="97">
        <f t="shared" si="24"/>
        <v>0</v>
      </c>
      <c r="AM24" s="96"/>
      <c r="AN24" s="97">
        <f t="shared" si="25"/>
        <v>0</v>
      </c>
      <c r="AO24" s="97">
        <f t="shared" si="26"/>
        <v>0</v>
      </c>
      <c r="AP24" s="97">
        <f t="shared" si="27"/>
        <v>0</v>
      </c>
      <c r="AQ24" s="96"/>
      <c r="AR24" s="97">
        <f t="shared" si="28"/>
        <v>0</v>
      </c>
      <c r="AS24" s="97">
        <f t="shared" si="29"/>
        <v>0</v>
      </c>
      <c r="AT24" s="97">
        <f t="shared" si="30"/>
        <v>0</v>
      </c>
      <c r="AU24" s="96"/>
      <c r="AV24" s="97">
        <f t="shared" si="31"/>
        <v>0</v>
      </c>
      <c r="AW24" s="97">
        <f t="shared" si="32"/>
        <v>0</v>
      </c>
      <c r="AX24" s="97">
        <f t="shared" si="33"/>
        <v>0</v>
      </c>
      <c r="AY24" s="96"/>
      <c r="AZ24" s="65">
        <f t="shared" si="34"/>
        <v>0</v>
      </c>
      <c r="BA24" s="65">
        <f t="shared" si="35"/>
        <v>0</v>
      </c>
      <c r="BB24" s="65">
        <f t="shared" si="36"/>
        <v>0</v>
      </c>
    </row>
    <row r="25" spans="1:54" x14ac:dyDescent="0.2">
      <c r="A25" s="71"/>
      <c r="B25" s="96" t="s">
        <v>52</v>
      </c>
      <c r="C25" s="96"/>
      <c r="D25" s="97">
        <f t="shared" si="0"/>
        <v>0</v>
      </c>
      <c r="E25" s="97">
        <f t="shared" si="37"/>
        <v>0</v>
      </c>
      <c r="F25" s="97">
        <f t="shared" si="38"/>
        <v>0</v>
      </c>
      <c r="G25" s="96"/>
      <c r="H25" s="97">
        <f t="shared" si="1"/>
        <v>0</v>
      </c>
      <c r="I25" s="97">
        <f t="shared" si="2"/>
        <v>0</v>
      </c>
      <c r="J25" s="97">
        <f t="shared" si="3"/>
        <v>0</v>
      </c>
      <c r="K25" s="96"/>
      <c r="L25" s="97">
        <f t="shared" si="4"/>
        <v>0</v>
      </c>
      <c r="M25" s="97">
        <f t="shared" si="5"/>
        <v>0</v>
      </c>
      <c r="N25" s="97">
        <f t="shared" si="6"/>
        <v>0</v>
      </c>
      <c r="O25" s="96"/>
      <c r="P25" s="97">
        <f t="shared" si="7"/>
        <v>0</v>
      </c>
      <c r="Q25" s="97">
        <f t="shared" si="8"/>
        <v>0</v>
      </c>
      <c r="R25" s="97">
        <f t="shared" si="9"/>
        <v>0</v>
      </c>
      <c r="S25" s="96"/>
      <c r="T25" s="97">
        <f t="shared" si="10"/>
        <v>0</v>
      </c>
      <c r="U25" s="97">
        <f t="shared" si="11"/>
        <v>0</v>
      </c>
      <c r="V25" s="97">
        <f t="shared" si="12"/>
        <v>0</v>
      </c>
      <c r="W25" s="96"/>
      <c r="X25" s="97">
        <f t="shared" si="13"/>
        <v>0</v>
      </c>
      <c r="Y25" s="97">
        <f t="shared" si="14"/>
        <v>0</v>
      </c>
      <c r="Z25" s="97">
        <f t="shared" si="15"/>
        <v>0</v>
      </c>
      <c r="AA25" s="96"/>
      <c r="AB25" s="97">
        <f t="shared" si="16"/>
        <v>0</v>
      </c>
      <c r="AC25" s="97">
        <f t="shared" si="17"/>
        <v>0</v>
      </c>
      <c r="AD25" s="97">
        <f t="shared" si="18"/>
        <v>0</v>
      </c>
      <c r="AE25" s="96"/>
      <c r="AF25" s="97">
        <f t="shared" si="19"/>
        <v>0</v>
      </c>
      <c r="AG25" s="97">
        <f t="shared" si="20"/>
        <v>0</v>
      </c>
      <c r="AH25" s="97">
        <f t="shared" si="21"/>
        <v>0</v>
      </c>
      <c r="AI25" s="96"/>
      <c r="AJ25" s="97">
        <f t="shared" si="22"/>
        <v>0</v>
      </c>
      <c r="AK25" s="97">
        <f t="shared" si="23"/>
        <v>0</v>
      </c>
      <c r="AL25" s="97">
        <f t="shared" si="24"/>
        <v>0</v>
      </c>
      <c r="AM25" s="96"/>
      <c r="AN25" s="97">
        <f t="shared" si="25"/>
        <v>0</v>
      </c>
      <c r="AO25" s="97">
        <f t="shared" si="26"/>
        <v>0</v>
      </c>
      <c r="AP25" s="97">
        <f t="shared" si="27"/>
        <v>0</v>
      </c>
      <c r="AQ25" s="96"/>
      <c r="AR25" s="97">
        <f t="shared" si="28"/>
        <v>0</v>
      </c>
      <c r="AS25" s="97">
        <f t="shared" si="29"/>
        <v>0</v>
      </c>
      <c r="AT25" s="97">
        <f t="shared" si="30"/>
        <v>0</v>
      </c>
      <c r="AU25" s="96"/>
      <c r="AV25" s="97">
        <f t="shared" si="31"/>
        <v>0</v>
      </c>
      <c r="AW25" s="97">
        <f t="shared" si="32"/>
        <v>0</v>
      </c>
      <c r="AX25" s="97">
        <f t="shared" si="33"/>
        <v>0</v>
      </c>
      <c r="AY25" s="96"/>
      <c r="AZ25" s="65">
        <f t="shared" si="34"/>
        <v>0</v>
      </c>
      <c r="BA25" s="65">
        <f t="shared" si="35"/>
        <v>0</v>
      </c>
      <c r="BB25" s="65">
        <f t="shared" si="36"/>
        <v>0</v>
      </c>
    </row>
    <row r="26" spans="1:54" x14ac:dyDescent="0.2">
      <c r="A26" s="71"/>
      <c r="B26" s="96" t="s">
        <v>52</v>
      </c>
      <c r="C26" s="96"/>
      <c r="D26" s="97">
        <f t="shared" si="0"/>
        <v>0</v>
      </c>
      <c r="E26" s="97">
        <f t="shared" si="37"/>
        <v>0</v>
      </c>
      <c r="F26" s="97">
        <f t="shared" si="38"/>
        <v>0</v>
      </c>
      <c r="G26" s="96"/>
      <c r="H26" s="97">
        <f t="shared" si="1"/>
        <v>0</v>
      </c>
      <c r="I26" s="97">
        <f t="shared" si="2"/>
        <v>0</v>
      </c>
      <c r="J26" s="97">
        <f t="shared" si="3"/>
        <v>0</v>
      </c>
      <c r="K26" s="96"/>
      <c r="L26" s="97">
        <f t="shared" si="4"/>
        <v>0</v>
      </c>
      <c r="M26" s="97">
        <f t="shared" si="5"/>
        <v>0</v>
      </c>
      <c r="N26" s="97">
        <f t="shared" si="6"/>
        <v>0</v>
      </c>
      <c r="O26" s="96"/>
      <c r="P26" s="97">
        <f t="shared" si="7"/>
        <v>0</v>
      </c>
      <c r="Q26" s="97">
        <f t="shared" si="8"/>
        <v>0</v>
      </c>
      <c r="R26" s="97">
        <f t="shared" si="9"/>
        <v>0</v>
      </c>
      <c r="S26" s="96"/>
      <c r="T26" s="97">
        <f t="shared" si="10"/>
        <v>0</v>
      </c>
      <c r="U26" s="97">
        <f t="shared" si="11"/>
        <v>0</v>
      </c>
      <c r="V26" s="97">
        <f t="shared" si="12"/>
        <v>0</v>
      </c>
      <c r="W26" s="96"/>
      <c r="X26" s="97">
        <f t="shared" si="13"/>
        <v>0</v>
      </c>
      <c r="Y26" s="97">
        <f t="shared" si="14"/>
        <v>0</v>
      </c>
      <c r="Z26" s="97">
        <f t="shared" si="15"/>
        <v>0</v>
      </c>
      <c r="AA26" s="96"/>
      <c r="AB26" s="97">
        <f t="shared" si="16"/>
        <v>0</v>
      </c>
      <c r="AC26" s="97">
        <f t="shared" si="17"/>
        <v>0</v>
      </c>
      <c r="AD26" s="97">
        <f t="shared" si="18"/>
        <v>0</v>
      </c>
      <c r="AE26" s="96"/>
      <c r="AF26" s="97">
        <f t="shared" si="19"/>
        <v>0</v>
      </c>
      <c r="AG26" s="97">
        <f t="shared" si="20"/>
        <v>0</v>
      </c>
      <c r="AH26" s="97">
        <f t="shared" si="21"/>
        <v>0</v>
      </c>
      <c r="AI26" s="96"/>
      <c r="AJ26" s="97">
        <f t="shared" si="22"/>
        <v>0</v>
      </c>
      <c r="AK26" s="97">
        <f t="shared" si="23"/>
        <v>0</v>
      </c>
      <c r="AL26" s="97">
        <f t="shared" si="24"/>
        <v>0</v>
      </c>
      <c r="AM26" s="96"/>
      <c r="AN26" s="97">
        <f t="shared" si="25"/>
        <v>0</v>
      </c>
      <c r="AO26" s="97">
        <f t="shared" si="26"/>
        <v>0</v>
      </c>
      <c r="AP26" s="97">
        <f t="shared" si="27"/>
        <v>0</v>
      </c>
      <c r="AQ26" s="96"/>
      <c r="AR26" s="97">
        <f t="shared" si="28"/>
        <v>0</v>
      </c>
      <c r="AS26" s="97">
        <f t="shared" si="29"/>
        <v>0</v>
      </c>
      <c r="AT26" s="97">
        <f t="shared" si="30"/>
        <v>0</v>
      </c>
      <c r="AU26" s="96"/>
      <c r="AV26" s="97">
        <f t="shared" si="31"/>
        <v>0</v>
      </c>
      <c r="AW26" s="97">
        <f t="shared" si="32"/>
        <v>0</v>
      </c>
      <c r="AX26" s="97">
        <f t="shared" si="33"/>
        <v>0</v>
      </c>
      <c r="AY26" s="96"/>
      <c r="AZ26" s="65">
        <f t="shared" si="34"/>
        <v>0</v>
      </c>
      <c r="BA26" s="65">
        <f t="shared" si="35"/>
        <v>0</v>
      </c>
      <c r="BB26" s="65">
        <f t="shared" si="36"/>
        <v>0</v>
      </c>
    </row>
    <row r="27" spans="1:54" x14ac:dyDescent="0.2">
      <c r="A27" s="71"/>
      <c r="B27" s="96" t="s">
        <v>52</v>
      </c>
      <c r="C27" s="96"/>
      <c r="D27" s="97">
        <f t="shared" si="0"/>
        <v>0</v>
      </c>
      <c r="E27" s="97">
        <f t="shared" si="37"/>
        <v>0</v>
      </c>
      <c r="F27" s="97">
        <f t="shared" si="38"/>
        <v>0</v>
      </c>
      <c r="G27" s="96"/>
      <c r="H27" s="97">
        <f t="shared" si="1"/>
        <v>0</v>
      </c>
      <c r="I27" s="97">
        <f t="shared" si="2"/>
        <v>0</v>
      </c>
      <c r="J27" s="97">
        <f t="shared" si="3"/>
        <v>0</v>
      </c>
      <c r="K27" s="96"/>
      <c r="L27" s="97">
        <f t="shared" si="4"/>
        <v>0</v>
      </c>
      <c r="M27" s="97">
        <f t="shared" si="5"/>
        <v>0</v>
      </c>
      <c r="N27" s="97">
        <f t="shared" si="6"/>
        <v>0</v>
      </c>
      <c r="O27" s="96"/>
      <c r="P27" s="97">
        <f t="shared" si="7"/>
        <v>0</v>
      </c>
      <c r="Q27" s="97">
        <f t="shared" si="8"/>
        <v>0</v>
      </c>
      <c r="R27" s="97">
        <f t="shared" si="9"/>
        <v>0</v>
      </c>
      <c r="S27" s="96"/>
      <c r="T27" s="97">
        <f t="shared" si="10"/>
        <v>0</v>
      </c>
      <c r="U27" s="97">
        <f t="shared" si="11"/>
        <v>0</v>
      </c>
      <c r="V27" s="97">
        <f t="shared" si="12"/>
        <v>0</v>
      </c>
      <c r="W27" s="96"/>
      <c r="X27" s="97">
        <f t="shared" si="13"/>
        <v>0</v>
      </c>
      <c r="Y27" s="97">
        <f t="shared" si="14"/>
        <v>0</v>
      </c>
      <c r="Z27" s="97">
        <f t="shared" si="15"/>
        <v>0</v>
      </c>
      <c r="AA27" s="96"/>
      <c r="AB27" s="97">
        <f t="shared" si="16"/>
        <v>0</v>
      </c>
      <c r="AC27" s="97">
        <f t="shared" si="17"/>
        <v>0</v>
      </c>
      <c r="AD27" s="97">
        <f t="shared" si="18"/>
        <v>0</v>
      </c>
      <c r="AE27" s="96"/>
      <c r="AF27" s="97">
        <f t="shared" si="19"/>
        <v>0</v>
      </c>
      <c r="AG27" s="97">
        <f t="shared" si="20"/>
        <v>0</v>
      </c>
      <c r="AH27" s="97">
        <f t="shared" si="21"/>
        <v>0</v>
      </c>
      <c r="AI27" s="96"/>
      <c r="AJ27" s="97">
        <f t="shared" si="22"/>
        <v>0</v>
      </c>
      <c r="AK27" s="97">
        <f t="shared" si="23"/>
        <v>0</v>
      </c>
      <c r="AL27" s="97">
        <f t="shared" si="24"/>
        <v>0</v>
      </c>
      <c r="AM27" s="96"/>
      <c r="AN27" s="97">
        <f t="shared" si="25"/>
        <v>0</v>
      </c>
      <c r="AO27" s="97">
        <f t="shared" si="26"/>
        <v>0</v>
      </c>
      <c r="AP27" s="97">
        <f t="shared" si="27"/>
        <v>0</v>
      </c>
      <c r="AQ27" s="96"/>
      <c r="AR27" s="97">
        <f t="shared" si="28"/>
        <v>0</v>
      </c>
      <c r="AS27" s="97">
        <f t="shared" si="29"/>
        <v>0</v>
      </c>
      <c r="AT27" s="97">
        <f t="shared" si="30"/>
        <v>0</v>
      </c>
      <c r="AU27" s="96"/>
      <c r="AV27" s="97">
        <f t="shared" si="31"/>
        <v>0</v>
      </c>
      <c r="AW27" s="97">
        <f t="shared" si="32"/>
        <v>0</v>
      </c>
      <c r="AX27" s="97">
        <f t="shared" si="33"/>
        <v>0</v>
      </c>
      <c r="AY27" s="96"/>
      <c r="AZ27" s="65">
        <f t="shared" si="34"/>
        <v>0</v>
      </c>
      <c r="BA27" s="65">
        <f t="shared" si="35"/>
        <v>0</v>
      </c>
      <c r="BB27" s="65">
        <f t="shared" si="36"/>
        <v>0</v>
      </c>
    </row>
    <row r="28" spans="1:54" x14ac:dyDescent="0.2">
      <c r="A28" s="71"/>
      <c r="B28" s="96" t="s">
        <v>52</v>
      </c>
      <c r="C28" s="96"/>
      <c r="D28" s="97">
        <f t="shared" si="0"/>
        <v>0</v>
      </c>
      <c r="E28" s="97">
        <f t="shared" si="37"/>
        <v>0</v>
      </c>
      <c r="F28" s="97">
        <f t="shared" si="38"/>
        <v>0</v>
      </c>
      <c r="G28" s="96"/>
      <c r="H28" s="97">
        <f t="shared" si="1"/>
        <v>0</v>
      </c>
      <c r="I28" s="97">
        <f t="shared" si="2"/>
        <v>0</v>
      </c>
      <c r="J28" s="97">
        <f t="shared" si="3"/>
        <v>0</v>
      </c>
      <c r="K28" s="96"/>
      <c r="L28" s="97">
        <f t="shared" si="4"/>
        <v>0</v>
      </c>
      <c r="M28" s="97">
        <f t="shared" si="5"/>
        <v>0</v>
      </c>
      <c r="N28" s="97">
        <f t="shared" si="6"/>
        <v>0</v>
      </c>
      <c r="O28" s="96"/>
      <c r="P28" s="97">
        <f t="shared" si="7"/>
        <v>0</v>
      </c>
      <c r="Q28" s="97">
        <f t="shared" si="8"/>
        <v>0</v>
      </c>
      <c r="R28" s="97">
        <f t="shared" si="9"/>
        <v>0</v>
      </c>
      <c r="S28" s="96"/>
      <c r="T28" s="97">
        <f t="shared" si="10"/>
        <v>0</v>
      </c>
      <c r="U28" s="97">
        <f t="shared" si="11"/>
        <v>0</v>
      </c>
      <c r="V28" s="97">
        <f t="shared" si="12"/>
        <v>0</v>
      </c>
      <c r="W28" s="96"/>
      <c r="X28" s="97">
        <f t="shared" si="13"/>
        <v>0</v>
      </c>
      <c r="Y28" s="97">
        <f t="shared" si="14"/>
        <v>0</v>
      </c>
      <c r="Z28" s="97">
        <f t="shared" si="15"/>
        <v>0</v>
      </c>
      <c r="AA28" s="96"/>
      <c r="AB28" s="97">
        <f t="shared" si="16"/>
        <v>0</v>
      </c>
      <c r="AC28" s="97">
        <f t="shared" si="17"/>
        <v>0</v>
      </c>
      <c r="AD28" s="97">
        <f t="shared" si="18"/>
        <v>0</v>
      </c>
      <c r="AE28" s="96"/>
      <c r="AF28" s="97">
        <f t="shared" si="19"/>
        <v>0</v>
      </c>
      <c r="AG28" s="97">
        <f t="shared" si="20"/>
        <v>0</v>
      </c>
      <c r="AH28" s="97">
        <f t="shared" si="21"/>
        <v>0</v>
      </c>
      <c r="AI28" s="96"/>
      <c r="AJ28" s="97">
        <f t="shared" si="22"/>
        <v>0</v>
      </c>
      <c r="AK28" s="97">
        <f t="shared" si="23"/>
        <v>0</v>
      </c>
      <c r="AL28" s="97">
        <f t="shared" si="24"/>
        <v>0</v>
      </c>
      <c r="AM28" s="96"/>
      <c r="AN28" s="97">
        <f t="shared" si="25"/>
        <v>0</v>
      </c>
      <c r="AO28" s="97">
        <f t="shared" si="26"/>
        <v>0</v>
      </c>
      <c r="AP28" s="97">
        <f t="shared" si="27"/>
        <v>0</v>
      </c>
      <c r="AQ28" s="96"/>
      <c r="AR28" s="97">
        <f t="shared" si="28"/>
        <v>0</v>
      </c>
      <c r="AS28" s="97">
        <f t="shared" si="29"/>
        <v>0</v>
      </c>
      <c r="AT28" s="97">
        <f t="shared" si="30"/>
        <v>0</v>
      </c>
      <c r="AU28" s="96"/>
      <c r="AV28" s="97">
        <f t="shared" si="31"/>
        <v>0</v>
      </c>
      <c r="AW28" s="97">
        <f t="shared" si="32"/>
        <v>0</v>
      </c>
      <c r="AX28" s="97">
        <f t="shared" si="33"/>
        <v>0</v>
      </c>
      <c r="AY28" s="96"/>
      <c r="AZ28" s="65">
        <f t="shared" si="34"/>
        <v>0</v>
      </c>
      <c r="BA28" s="65">
        <f t="shared" si="35"/>
        <v>0</v>
      </c>
      <c r="BB28" s="65">
        <f t="shared" si="36"/>
        <v>0</v>
      </c>
    </row>
    <row r="29" spans="1:54" x14ac:dyDescent="0.2">
      <c r="A29" s="71"/>
      <c r="B29" s="96" t="s">
        <v>52</v>
      </c>
      <c r="C29" s="96"/>
      <c r="D29" s="97">
        <f t="shared" si="0"/>
        <v>0</v>
      </c>
      <c r="E29" s="97">
        <f t="shared" si="37"/>
        <v>0</v>
      </c>
      <c r="F29" s="97">
        <f t="shared" si="38"/>
        <v>0</v>
      </c>
      <c r="G29" s="96"/>
      <c r="H29" s="97">
        <f t="shared" si="1"/>
        <v>0</v>
      </c>
      <c r="I29" s="97">
        <f t="shared" si="2"/>
        <v>0</v>
      </c>
      <c r="J29" s="97">
        <f t="shared" si="3"/>
        <v>0</v>
      </c>
      <c r="K29" s="96"/>
      <c r="L29" s="97">
        <f t="shared" si="4"/>
        <v>0</v>
      </c>
      <c r="M29" s="97">
        <f t="shared" si="5"/>
        <v>0</v>
      </c>
      <c r="N29" s="97">
        <f t="shared" si="6"/>
        <v>0</v>
      </c>
      <c r="O29" s="96"/>
      <c r="P29" s="97">
        <f t="shared" si="7"/>
        <v>0</v>
      </c>
      <c r="Q29" s="97">
        <f t="shared" si="8"/>
        <v>0</v>
      </c>
      <c r="R29" s="97">
        <f t="shared" si="9"/>
        <v>0</v>
      </c>
      <c r="S29" s="96"/>
      <c r="T29" s="97">
        <f t="shared" si="10"/>
        <v>0</v>
      </c>
      <c r="U29" s="97">
        <f t="shared" si="11"/>
        <v>0</v>
      </c>
      <c r="V29" s="97">
        <f t="shared" si="12"/>
        <v>0</v>
      </c>
      <c r="W29" s="96"/>
      <c r="X29" s="97">
        <f t="shared" si="13"/>
        <v>0</v>
      </c>
      <c r="Y29" s="97">
        <f t="shared" si="14"/>
        <v>0</v>
      </c>
      <c r="Z29" s="97">
        <f t="shared" si="15"/>
        <v>0</v>
      </c>
      <c r="AA29" s="96"/>
      <c r="AB29" s="97">
        <f t="shared" si="16"/>
        <v>0</v>
      </c>
      <c r="AC29" s="97">
        <f t="shared" si="17"/>
        <v>0</v>
      </c>
      <c r="AD29" s="97">
        <f t="shared" si="18"/>
        <v>0</v>
      </c>
      <c r="AE29" s="96"/>
      <c r="AF29" s="97">
        <f t="shared" si="19"/>
        <v>0</v>
      </c>
      <c r="AG29" s="97">
        <f t="shared" si="20"/>
        <v>0</v>
      </c>
      <c r="AH29" s="97">
        <f t="shared" si="21"/>
        <v>0</v>
      </c>
      <c r="AI29" s="96"/>
      <c r="AJ29" s="97">
        <f t="shared" si="22"/>
        <v>0</v>
      </c>
      <c r="AK29" s="97">
        <f t="shared" si="23"/>
        <v>0</v>
      </c>
      <c r="AL29" s="97">
        <f t="shared" si="24"/>
        <v>0</v>
      </c>
      <c r="AM29" s="96"/>
      <c r="AN29" s="97">
        <f t="shared" si="25"/>
        <v>0</v>
      </c>
      <c r="AO29" s="97">
        <f t="shared" si="26"/>
        <v>0</v>
      </c>
      <c r="AP29" s="97">
        <f t="shared" si="27"/>
        <v>0</v>
      </c>
      <c r="AQ29" s="96"/>
      <c r="AR29" s="97">
        <f t="shared" si="28"/>
        <v>0</v>
      </c>
      <c r="AS29" s="97">
        <f t="shared" si="29"/>
        <v>0</v>
      </c>
      <c r="AT29" s="97">
        <f t="shared" si="30"/>
        <v>0</v>
      </c>
      <c r="AU29" s="96"/>
      <c r="AV29" s="97">
        <f t="shared" si="31"/>
        <v>0</v>
      </c>
      <c r="AW29" s="97">
        <f t="shared" si="32"/>
        <v>0</v>
      </c>
      <c r="AX29" s="97">
        <f t="shared" si="33"/>
        <v>0</v>
      </c>
      <c r="AY29" s="96"/>
      <c r="AZ29" s="65">
        <f t="shared" si="34"/>
        <v>0</v>
      </c>
      <c r="BA29" s="65">
        <f t="shared" si="35"/>
        <v>0</v>
      </c>
      <c r="BB29" s="65">
        <f t="shared" si="36"/>
        <v>0</v>
      </c>
    </row>
    <row r="30" spans="1:54" x14ac:dyDescent="0.2">
      <c r="A30" s="71"/>
      <c r="B30" s="96" t="s">
        <v>52</v>
      </c>
      <c r="C30" s="96"/>
      <c r="D30" s="97">
        <f t="shared" si="0"/>
        <v>0</v>
      </c>
      <c r="E30" s="97">
        <f t="shared" si="37"/>
        <v>0</v>
      </c>
      <c r="F30" s="97">
        <f t="shared" si="38"/>
        <v>0</v>
      </c>
      <c r="G30" s="96"/>
      <c r="H30" s="97">
        <f t="shared" si="1"/>
        <v>0</v>
      </c>
      <c r="I30" s="97">
        <f t="shared" si="2"/>
        <v>0</v>
      </c>
      <c r="J30" s="97">
        <f t="shared" si="3"/>
        <v>0</v>
      </c>
      <c r="K30" s="96"/>
      <c r="L30" s="97">
        <f t="shared" si="4"/>
        <v>0</v>
      </c>
      <c r="M30" s="97">
        <f t="shared" si="5"/>
        <v>0</v>
      </c>
      <c r="N30" s="97">
        <f t="shared" si="6"/>
        <v>0</v>
      </c>
      <c r="O30" s="96"/>
      <c r="P30" s="97">
        <f t="shared" si="7"/>
        <v>0</v>
      </c>
      <c r="Q30" s="97">
        <f t="shared" si="8"/>
        <v>0</v>
      </c>
      <c r="R30" s="97">
        <f t="shared" si="9"/>
        <v>0</v>
      </c>
      <c r="S30" s="96"/>
      <c r="T30" s="97">
        <f t="shared" si="10"/>
        <v>0</v>
      </c>
      <c r="U30" s="97">
        <f t="shared" si="11"/>
        <v>0</v>
      </c>
      <c r="V30" s="97">
        <f t="shared" si="12"/>
        <v>0</v>
      </c>
      <c r="W30" s="96"/>
      <c r="X30" s="97">
        <f t="shared" si="13"/>
        <v>0</v>
      </c>
      <c r="Y30" s="97">
        <f t="shared" si="14"/>
        <v>0</v>
      </c>
      <c r="Z30" s="97">
        <f t="shared" si="15"/>
        <v>0</v>
      </c>
      <c r="AA30" s="96"/>
      <c r="AB30" s="97">
        <f t="shared" si="16"/>
        <v>0</v>
      </c>
      <c r="AC30" s="97">
        <f t="shared" si="17"/>
        <v>0</v>
      </c>
      <c r="AD30" s="97">
        <f t="shared" si="18"/>
        <v>0</v>
      </c>
      <c r="AE30" s="96"/>
      <c r="AF30" s="97">
        <f t="shared" si="19"/>
        <v>0</v>
      </c>
      <c r="AG30" s="97">
        <f t="shared" si="20"/>
        <v>0</v>
      </c>
      <c r="AH30" s="97">
        <f t="shared" si="21"/>
        <v>0</v>
      </c>
      <c r="AI30" s="96"/>
      <c r="AJ30" s="97">
        <f t="shared" si="22"/>
        <v>0</v>
      </c>
      <c r="AK30" s="97">
        <f t="shared" si="23"/>
        <v>0</v>
      </c>
      <c r="AL30" s="97">
        <f t="shared" si="24"/>
        <v>0</v>
      </c>
      <c r="AM30" s="96"/>
      <c r="AN30" s="97">
        <f t="shared" si="25"/>
        <v>0</v>
      </c>
      <c r="AO30" s="97">
        <f t="shared" si="26"/>
        <v>0</v>
      </c>
      <c r="AP30" s="97">
        <f t="shared" si="27"/>
        <v>0</v>
      </c>
      <c r="AQ30" s="96"/>
      <c r="AR30" s="97">
        <f t="shared" si="28"/>
        <v>0</v>
      </c>
      <c r="AS30" s="97">
        <f t="shared" si="29"/>
        <v>0</v>
      </c>
      <c r="AT30" s="97">
        <f t="shared" si="30"/>
        <v>0</v>
      </c>
      <c r="AU30" s="96"/>
      <c r="AV30" s="97">
        <f t="shared" si="31"/>
        <v>0</v>
      </c>
      <c r="AW30" s="97">
        <f t="shared" si="32"/>
        <v>0</v>
      </c>
      <c r="AX30" s="97">
        <f t="shared" si="33"/>
        <v>0</v>
      </c>
      <c r="AY30" s="96"/>
      <c r="AZ30" s="65">
        <f t="shared" si="34"/>
        <v>0</v>
      </c>
      <c r="BA30" s="65">
        <f t="shared" si="35"/>
        <v>0</v>
      </c>
      <c r="BB30" s="65">
        <f t="shared" si="36"/>
        <v>0</v>
      </c>
    </row>
    <row r="31" spans="1:54" x14ac:dyDescent="0.2">
      <c r="A31" s="71"/>
      <c r="B31" s="96" t="s">
        <v>52</v>
      </c>
      <c r="C31" s="96"/>
      <c r="D31" s="97">
        <f t="shared" si="0"/>
        <v>0</v>
      </c>
      <c r="E31" s="97">
        <f t="shared" si="37"/>
        <v>0</v>
      </c>
      <c r="F31" s="97">
        <f t="shared" si="38"/>
        <v>0</v>
      </c>
      <c r="G31" s="96"/>
      <c r="H31" s="97">
        <f t="shared" si="1"/>
        <v>0</v>
      </c>
      <c r="I31" s="97">
        <f t="shared" si="2"/>
        <v>0</v>
      </c>
      <c r="J31" s="97">
        <f t="shared" si="3"/>
        <v>0</v>
      </c>
      <c r="K31" s="96"/>
      <c r="L31" s="97">
        <f t="shared" si="4"/>
        <v>0</v>
      </c>
      <c r="M31" s="97">
        <f t="shared" si="5"/>
        <v>0</v>
      </c>
      <c r="N31" s="97">
        <f t="shared" si="6"/>
        <v>0</v>
      </c>
      <c r="O31" s="96"/>
      <c r="P31" s="97">
        <f t="shared" si="7"/>
        <v>0</v>
      </c>
      <c r="Q31" s="97">
        <f t="shared" si="8"/>
        <v>0</v>
      </c>
      <c r="R31" s="97">
        <f t="shared" si="9"/>
        <v>0</v>
      </c>
      <c r="S31" s="96"/>
      <c r="T31" s="97">
        <f t="shared" si="10"/>
        <v>0</v>
      </c>
      <c r="U31" s="97">
        <f t="shared" si="11"/>
        <v>0</v>
      </c>
      <c r="V31" s="97">
        <f t="shared" si="12"/>
        <v>0</v>
      </c>
      <c r="W31" s="96"/>
      <c r="X31" s="97">
        <f t="shared" si="13"/>
        <v>0</v>
      </c>
      <c r="Y31" s="97">
        <f t="shared" si="14"/>
        <v>0</v>
      </c>
      <c r="Z31" s="97">
        <f t="shared" si="15"/>
        <v>0</v>
      </c>
      <c r="AA31" s="96"/>
      <c r="AB31" s="97">
        <f t="shared" si="16"/>
        <v>0</v>
      </c>
      <c r="AC31" s="97">
        <f t="shared" si="17"/>
        <v>0</v>
      </c>
      <c r="AD31" s="97">
        <f t="shared" si="18"/>
        <v>0</v>
      </c>
      <c r="AE31" s="96"/>
      <c r="AF31" s="97">
        <f t="shared" si="19"/>
        <v>0</v>
      </c>
      <c r="AG31" s="97">
        <f t="shared" si="20"/>
        <v>0</v>
      </c>
      <c r="AH31" s="97">
        <f t="shared" si="21"/>
        <v>0</v>
      </c>
      <c r="AI31" s="96"/>
      <c r="AJ31" s="97">
        <f t="shared" si="22"/>
        <v>0</v>
      </c>
      <c r="AK31" s="97">
        <f t="shared" si="23"/>
        <v>0</v>
      </c>
      <c r="AL31" s="97">
        <f t="shared" si="24"/>
        <v>0</v>
      </c>
      <c r="AM31" s="96"/>
      <c r="AN31" s="97">
        <f t="shared" si="25"/>
        <v>0</v>
      </c>
      <c r="AO31" s="97">
        <f t="shared" si="26"/>
        <v>0</v>
      </c>
      <c r="AP31" s="97">
        <f t="shared" si="27"/>
        <v>0</v>
      </c>
      <c r="AQ31" s="96"/>
      <c r="AR31" s="97">
        <f t="shared" si="28"/>
        <v>0</v>
      </c>
      <c r="AS31" s="97">
        <f t="shared" si="29"/>
        <v>0</v>
      </c>
      <c r="AT31" s="97">
        <f t="shared" si="30"/>
        <v>0</v>
      </c>
      <c r="AU31" s="96"/>
      <c r="AV31" s="97">
        <f t="shared" si="31"/>
        <v>0</v>
      </c>
      <c r="AW31" s="97">
        <f t="shared" si="32"/>
        <v>0</v>
      </c>
      <c r="AX31" s="97">
        <f t="shared" si="33"/>
        <v>0</v>
      </c>
      <c r="AY31" s="96"/>
      <c r="AZ31" s="65">
        <f t="shared" si="34"/>
        <v>0</v>
      </c>
      <c r="BA31" s="65">
        <f t="shared" si="35"/>
        <v>0</v>
      </c>
      <c r="BB31" s="65">
        <f t="shared" si="36"/>
        <v>0</v>
      </c>
    </row>
    <row r="32" spans="1:54" x14ac:dyDescent="0.2">
      <c r="A32" s="71"/>
      <c r="B32" s="96" t="s">
        <v>52</v>
      </c>
      <c r="C32" s="96"/>
      <c r="D32" s="97">
        <f t="shared" si="0"/>
        <v>0</v>
      </c>
      <c r="E32" s="97">
        <f t="shared" si="37"/>
        <v>0</v>
      </c>
      <c r="F32" s="97">
        <f t="shared" si="38"/>
        <v>0</v>
      </c>
      <c r="G32" s="96"/>
      <c r="H32" s="97">
        <f t="shared" si="1"/>
        <v>0</v>
      </c>
      <c r="I32" s="97">
        <f t="shared" si="2"/>
        <v>0</v>
      </c>
      <c r="J32" s="97">
        <f t="shared" si="3"/>
        <v>0</v>
      </c>
      <c r="K32" s="96"/>
      <c r="L32" s="97">
        <f t="shared" si="4"/>
        <v>0</v>
      </c>
      <c r="M32" s="97">
        <f t="shared" si="5"/>
        <v>0</v>
      </c>
      <c r="N32" s="97">
        <f t="shared" si="6"/>
        <v>0</v>
      </c>
      <c r="O32" s="96"/>
      <c r="P32" s="97">
        <f t="shared" si="7"/>
        <v>0</v>
      </c>
      <c r="Q32" s="97">
        <f t="shared" si="8"/>
        <v>0</v>
      </c>
      <c r="R32" s="97">
        <f t="shared" si="9"/>
        <v>0</v>
      </c>
      <c r="S32" s="96"/>
      <c r="T32" s="97">
        <f t="shared" si="10"/>
        <v>0</v>
      </c>
      <c r="U32" s="97">
        <f t="shared" si="11"/>
        <v>0</v>
      </c>
      <c r="V32" s="97">
        <f t="shared" si="12"/>
        <v>0</v>
      </c>
      <c r="W32" s="96"/>
      <c r="X32" s="97">
        <f t="shared" si="13"/>
        <v>0</v>
      </c>
      <c r="Y32" s="97">
        <f t="shared" si="14"/>
        <v>0</v>
      </c>
      <c r="Z32" s="97">
        <f t="shared" si="15"/>
        <v>0</v>
      </c>
      <c r="AA32" s="96"/>
      <c r="AB32" s="97">
        <f t="shared" si="16"/>
        <v>0</v>
      </c>
      <c r="AC32" s="97">
        <f t="shared" si="17"/>
        <v>0</v>
      </c>
      <c r="AD32" s="97">
        <f t="shared" si="18"/>
        <v>0</v>
      </c>
      <c r="AE32" s="96"/>
      <c r="AF32" s="97">
        <f t="shared" si="19"/>
        <v>0</v>
      </c>
      <c r="AG32" s="97">
        <f t="shared" si="20"/>
        <v>0</v>
      </c>
      <c r="AH32" s="97">
        <f t="shared" si="21"/>
        <v>0</v>
      </c>
      <c r="AI32" s="96"/>
      <c r="AJ32" s="97">
        <f t="shared" si="22"/>
        <v>0</v>
      </c>
      <c r="AK32" s="97">
        <f t="shared" si="23"/>
        <v>0</v>
      </c>
      <c r="AL32" s="97">
        <f t="shared" si="24"/>
        <v>0</v>
      </c>
      <c r="AM32" s="96"/>
      <c r="AN32" s="97">
        <f t="shared" si="25"/>
        <v>0</v>
      </c>
      <c r="AO32" s="97">
        <f t="shared" si="26"/>
        <v>0</v>
      </c>
      <c r="AP32" s="97">
        <f t="shared" si="27"/>
        <v>0</v>
      </c>
      <c r="AQ32" s="96"/>
      <c r="AR32" s="97">
        <f t="shared" si="28"/>
        <v>0</v>
      </c>
      <c r="AS32" s="97">
        <f t="shared" si="29"/>
        <v>0</v>
      </c>
      <c r="AT32" s="97">
        <f t="shared" si="30"/>
        <v>0</v>
      </c>
      <c r="AU32" s="96"/>
      <c r="AV32" s="97">
        <f t="shared" si="31"/>
        <v>0</v>
      </c>
      <c r="AW32" s="97">
        <f t="shared" si="32"/>
        <v>0</v>
      </c>
      <c r="AX32" s="97">
        <f t="shared" si="33"/>
        <v>0</v>
      </c>
      <c r="AY32" s="96"/>
      <c r="AZ32" s="65">
        <f t="shared" si="34"/>
        <v>0</v>
      </c>
      <c r="BA32" s="65">
        <f t="shared" si="35"/>
        <v>0</v>
      </c>
      <c r="BB32" s="65">
        <f t="shared" si="36"/>
        <v>0</v>
      </c>
    </row>
    <row r="33" spans="1:54" x14ac:dyDescent="0.2">
      <c r="A33" s="71"/>
      <c r="B33" s="96" t="s">
        <v>52</v>
      </c>
      <c r="C33" s="96"/>
      <c r="D33" s="97">
        <f t="shared" si="0"/>
        <v>0</v>
      </c>
      <c r="E33" s="97">
        <f t="shared" si="37"/>
        <v>0</v>
      </c>
      <c r="F33" s="97">
        <f t="shared" si="38"/>
        <v>0</v>
      </c>
      <c r="G33" s="96"/>
      <c r="H33" s="97">
        <f t="shared" si="1"/>
        <v>0</v>
      </c>
      <c r="I33" s="97">
        <f t="shared" si="2"/>
        <v>0</v>
      </c>
      <c r="J33" s="97">
        <f t="shared" si="3"/>
        <v>0</v>
      </c>
      <c r="K33" s="96"/>
      <c r="L33" s="97">
        <f t="shared" si="4"/>
        <v>0</v>
      </c>
      <c r="M33" s="97">
        <f t="shared" si="5"/>
        <v>0</v>
      </c>
      <c r="N33" s="97">
        <f t="shared" si="6"/>
        <v>0</v>
      </c>
      <c r="O33" s="96"/>
      <c r="P33" s="97">
        <f t="shared" si="7"/>
        <v>0</v>
      </c>
      <c r="Q33" s="97">
        <f t="shared" si="8"/>
        <v>0</v>
      </c>
      <c r="R33" s="97">
        <f t="shared" si="9"/>
        <v>0</v>
      </c>
      <c r="S33" s="96"/>
      <c r="T33" s="97">
        <f t="shared" si="10"/>
        <v>0</v>
      </c>
      <c r="U33" s="97">
        <f t="shared" si="11"/>
        <v>0</v>
      </c>
      <c r="V33" s="97">
        <f t="shared" si="12"/>
        <v>0</v>
      </c>
      <c r="W33" s="96"/>
      <c r="X33" s="97">
        <f t="shared" si="13"/>
        <v>0</v>
      </c>
      <c r="Y33" s="97">
        <f t="shared" si="14"/>
        <v>0</v>
      </c>
      <c r="Z33" s="97">
        <f t="shared" si="15"/>
        <v>0</v>
      </c>
      <c r="AA33" s="96"/>
      <c r="AB33" s="97">
        <f t="shared" si="16"/>
        <v>0</v>
      </c>
      <c r="AC33" s="97">
        <f t="shared" si="17"/>
        <v>0</v>
      </c>
      <c r="AD33" s="97">
        <f t="shared" si="18"/>
        <v>0</v>
      </c>
      <c r="AE33" s="96"/>
      <c r="AF33" s="97">
        <f t="shared" si="19"/>
        <v>0</v>
      </c>
      <c r="AG33" s="97">
        <f t="shared" si="20"/>
        <v>0</v>
      </c>
      <c r="AH33" s="97">
        <f t="shared" si="21"/>
        <v>0</v>
      </c>
      <c r="AI33" s="96"/>
      <c r="AJ33" s="97">
        <f t="shared" si="22"/>
        <v>0</v>
      </c>
      <c r="AK33" s="97">
        <f t="shared" si="23"/>
        <v>0</v>
      </c>
      <c r="AL33" s="97">
        <f t="shared" si="24"/>
        <v>0</v>
      </c>
      <c r="AM33" s="96"/>
      <c r="AN33" s="97">
        <f t="shared" si="25"/>
        <v>0</v>
      </c>
      <c r="AO33" s="97">
        <f t="shared" si="26"/>
        <v>0</v>
      </c>
      <c r="AP33" s="97">
        <f t="shared" si="27"/>
        <v>0</v>
      </c>
      <c r="AQ33" s="96"/>
      <c r="AR33" s="97">
        <f t="shared" si="28"/>
        <v>0</v>
      </c>
      <c r="AS33" s="97">
        <f t="shared" si="29"/>
        <v>0</v>
      </c>
      <c r="AT33" s="97">
        <f t="shared" si="30"/>
        <v>0</v>
      </c>
      <c r="AU33" s="96"/>
      <c r="AV33" s="97">
        <f t="shared" si="31"/>
        <v>0</v>
      </c>
      <c r="AW33" s="97">
        <f t="shared" si="32"/>
        <v>0</v>
      </c>
      <c r="AX33" s="97">
        <f t="shared" si="33"/>
        <v>0</v>
      </c>
      <c r="AY33" s="96"/>
      <c r="AZ33" s="65">
        <f t="shared" si="34"/>
        <v>0</v>
      </c>
      <c r="BA33" s="65">
        <f t="shared" si="35"/>
        <v>0</v>
      </c>
      <c r="BB33" s="65">
        <f t="shared" si="36"/>
        <v>0</v>
      </c>
    </row>
    <row r="34" spans="1:54" x14ac:dyDescent="0.2">
      <c r="A34" s="71"/>
      <c r="B34" s="96" t="s">
        <v>52</v>
      </c>
      <c r="C34" s="96"/>
      <c r="D34" s="97">
        <f t="shared" si="0"/>
        <v>0</v>
      </c>
      <c r="E34" s="97">
        <f t="shared" si="37"/>
        <v>0</v>
      </c>
      <c r="F34" s="97">
        <f t="shared" si="38"/>
        <v>0</v>
      </c>
      <c r="G34" s="96"/>
      <c r="H34" s="97">
        <f t="shared" si="1"/>
        <v>0</v>
      </c>
      <c r="I34" s="97">
        <f t="shared" si="2"/>
        <v>0</v>
      </c>
      <c r="J34" s="97">
        <f t="shared" si="3"/>
        <v>0</v>
      </c>
      <c r="K34" s="96"/>
      <c r="L34" s="97">
        <f t="shared" si="4"/>
        <v>0</v>
      </c>
      <c r="M34" s="97">
        <f t="shared" si="5"/>
        <v>0</v>
      </c>
      <c r="N34" s="97">
        <f t="shared" si="6"/>
        <v>0</v>
      </c>
      <c r="O34" s="96"/>
      <c r="P34" s="97">
        <f t="shared" si="7"/>
        <v>0</v>
      </c>
      <c r="Q34" s="97">
        <f t="shared" si="8"/>
        <v>0</v>
      </c>
      <c r="R34" s="97">
        <f t="shared" si="9"/>
        <v>0</v>
      </c>
      <c r="S34" s="96"/>
      <c r="T34" s="97">
        <f t="shared" si="10"/>
        <v>0</v>
      </c>
      <c r="U34" s="97">
        <f t="shared" si="11"/>
        <v>0</v>
      </c>
      <c r="V34" s="97">
        <f t="shared" si="12"/>
        <v>0</v>
      </c>
      <c r="W34" s="96"/>
      <c r="X34" s="97">
        <f t="shared" si="13"/>
        <v>0</v>
      </c>
      <c r="Y34" s="97">
        <f t="shared" si="14"/>
        <v>0</v>
      </c>
      <c r="Z34" s="97">
        <f t="shared" si="15"/>
        <v>0</v>
      </c>
      <c r="AA34" s="96"/>
      <c r="AB34" s="97">
        <f t="shared" si="16"/>
        <v>0</v>
      </c>
      <c r="AC34" s="97">
        <f t="shared" si="17"/>
        <v>0</v>
      </c>
      <c r="AD34" s="97">
        <f t="shared" si="18"/>
        <v>0</v>
      </c>
      <c r="AE34" s="96"/>
      <c r="AF34" s="97">
        <f t="shared" si="19"/>
        <v>0</v>
      </c>
      <c r="AG34" s="97">
        <f t="shared" si="20"/>
        <v>0</v>
      </c>
      <c r="AH34" s="97">
        <f t="shared" si="21"/>
        <v>0</v>
      </c>
      <c r="AI34" s="96"/>
      <c r="AJ34" s="97">
        <f t="shared" si="22"/>
        <v>0</v>
      </c>
      <c r="AK34" s="97">
        <f t="shared" si="23"/>
        <v>0</v>
      </c>
      <c r="AL34" s="97">
        <f t="shared" si="24"/>
        <v>0</v>
      </c>
      <c r="AM34" s="96"/>
      <c r="AN34" s="97">
        <f t="shared" si="25"/>
        <v>0</v>
      </c>
      <c r="AO34" s="97">
        <f t="shared" si="26"/>
        <v>0</v>
      </c>
      <c r="AP34" s="97">
        <f t="shared" si="27"/>
        <v>0</v>
      </c>
      <c r="AQ34" s="96"/>
      <c r="AR34" s="97">
        <f t="shared" si="28"/>
        <v>0</v>
      </c>
      <c r="AS34" s="97">
        <f t="shared" si="29"/>
        <v>0</v>
      </c>
      <c r="AT34" s="97">
        <f t="shared" si="30"/>
        <v>0</v>
      </c>
      <c r="AU34" s="96"/>
      <c r="AV34" s="97">
        <f t="shared" si="31"/>
        <v>0</v>
      </c>
      <c r="AW34" s="97">
        <f t="shared" si="32"/>
        <v>0</v>
      </c>
      <c r="AX34" s="97">
        <f t="shared" si="33"/>
        <v>0</v>
      </c>
      <c r="AY34" s="96"/>
      <c r="AZ34" s="65">
        <f t="shared" si="34"/>
        <v>0</v>
      </c>
      <c r="BA34" s="65">
        <f t="shared" si="35"/>
        <v>0</v>
      </c>
      <c r="BB34" s="65">
        <f t="shared" si="36"/>
        <v>0</v>
      </c>
    </row>
    <row r="35" spans="1:54" x14ac:dyDescent="0.2">
      <c r="A35" s="71"/>
      <c r="B35" s="96" t="s">
        <v>52</v>
      </c>
      <c r="C35" s="96"/>
      <c r="D35" s="97">
        <f t="shared" si="0"/>
        <v>0</v>
      </c>
      <c r="E35" s="97">
        <f t="shared" si="37"/>
        <v>0</v>
      </c>
      <c r="F35" s="97">
        <f t="shared" si="38"/>
        <v>0</v>
      </c>
      <c r="G35" s="96"/>
      <c r="H35" s="97">
        <f t="shared" si="1"/>
        <v>0</v>
      </c>
      <c r="I35" s="97">
        <f t="shared" si="2"/>
        <v>0</v>
      </c>
      <c r="J35" s="97">
        <f t="shared" si="3"/>
        <v>0</v>
      </c>
      <c r="K35" s="96"/>
      <c r="L35" s="97">
        <f t="shared" si="4"/>
        <v>0</v>
      </c>
      <c r="M35" s="97">
        <f t="shared" si="5"/>
        <v>0</v>
      </c>
      <c r="N35" s="97">
        <f t="shared" si="6"/>
        <v>0</v>
      </c>
      <c r="O35" s="96"/>
      <c r="P35" s="97">
        <f t="shared" si="7"/>
        <v>0</v>
      </c>
      <c r="Q35" s="97">
        <f t="shared" si="8"/>
        <v>0</v>
      </c>
      <c r="R35" s="97">
        <f t="shared" si="9"/>
        <v>0</v>
      </c>
      <c r="S35" s="96"/>
      <c r="T35" s="97">
        <f t="shared" si="10"/>
        <v>0</v>
      </c>
      <c r="U35" s="97">
        <f t="shared" si="11"/>
        <v>0</v>
      </c>
      <c r="V35" s="97">
        <f t="shared" si="12"/>
        <v>0</v>
      </c>
      <c r="W35" s="96"/>
      <c r="X35" s="97">
        <f t="shared" si="13"/>
        <v>0</v>
      </c>
      <c r="Y35" s="97">
        <f t="shared" si="14"/>
        <v>0</v>
      </c>
      <c r="Z35" s="97">
        <f t="shared" si="15"/>
        <v>0</v>
      </c>
      <c r="AA35" s="96"/>
      <c r="AB35" s="97">
        <f t="shared" si="16"/>
        <v>0</v>
      </c>
      <c r="AC35" s="97">
        <f t="shared" si="17"/>
        <v>0</v>
      </c>
      <c r="AD35" s="97">
        <f t="shared" si="18"/>
        <v>0</v>
      </c>
      <c r="AE35" s="96"/>
      <c r="AF35" s="97">
        <f t="shared" si="19"/>
        <v>0</v>
      </c>
      <c r="AG35" s="97">
        <f t="shared" si="20"/>
        <v>0</v>
      </c>
      <c r="AH35" s="97">
        <f t="shared" si="21"/>
        <v>0</v>
      </c>
      <c r="AI35" s="96"/>
      <c r="AJ35" s="97">
        <f t="shared" si="22"/>
        <v>0</v>
      </c>
      <c r="AK35" s="97">
        <f t="shared" si="23"/>
        <v>0</v>
      </c>
      <c r="AL35" s="97">
        <f t="shared" si="24"/>
        <v>0</v>
      </c>
      <c r="AM35" s="96"/>
      <c r="AN35" s="97">
        <f t="shared" si="25"/>
        <v>0</v>
      </c>
      <c r="AO35" s="97">
        <f t="shared" si="26"/>
        <v>0</v>
      </c>
      <c r="AP35" s="97">
        <f t="shared" si="27"/>
        <v>0</v>
      </c>
      <c r="AQ35" s="96"/>
      <c r="AR35" s="97">
        <f t="shared" si="28"/>
        <v>0</v>
      </c>
      <c r="AS35" s="97">
        <f t="shared" si="29"/>
        <v>0</v>
      </c>
      <c r="AT35" s="97">
        <f t="shared" si="30"/>
        <v>0</v>
      </c>
      <c r="AU35" s="96"/>
      <c r="AV35" s="97">
        <f t="shared" si="31"/>
        <v>0</v>
      </c>
      <c r="AW35" s="97">
        <f t="shared" si="32"/>
        <v>0</v>
      </c>
      <c r="AX35" s="97">
        <f t="shared" si="33"/>
        <v>0</v>
      </c>
      <c r="AY35" s="96"/>
      <c r="AZ35" s="65">
        <f t="shared" si="34"/>
        <v>0</v>
      </c>
      <c r="BA35" s="65">
        <f t="shared" si="35"/>
        <v>0</v>
      </c>
      <c r="BB35" s="65">
        <f t="shared" si="36"/>
        <v>0</v>
      </c>
    </row>
    <row r="36" spans="1:54" x14ac:dyDescent="0.2">
      <c r="A36" s="71"/>
      <c r="B36" s="96" t="s">
        <v>52</v>
      </c>
      <c r="C36" s="96"/>
      <c r="D36" s="97">
        <f t="shared" si="0"/>
        <v>0</v>
      </c>
      <c r="E36" s="97">
        <f t="shared" si="37"/>
        <v>0</v>
      </c>
      <c r="F36" s="97">
        <f t="shared" si="38"/>
        <v>0</v>
      </c>
      <c r="G36" s="96"/>
      <c r="H36" s="97">
        <f t="shared" si="1"/>
        <v>0</v>
      </c>
      <c r="I36" s="97">
        <f t="shared" si="2"/>
        <v>0</v>
      </c>
      <c r="J36" s="97">
        <f t="shared" si="3"/>
        <v>0</v>
      </c>
      <c r="K36" s="96"/>
      <c r="L36" s="97">
        <f t="shared" si="4"/>
        <v>0</v>
      </c>
      <c r="M36" s="97">
        <f t="shared" si="5"/>
        <v>0</v>
      </c>
      <c r="N36" s="97">
        <f t="shared" si="6"/>
        <v>0</v>
      </c>
      <c r="O36" s="96"/>
      <c r="P36" s="97">
        <f t="shared" si="7"/>
        <v>0</v>
      </c>
      <c r="Q36" s="97">
        <f t="shared" si="8"/>
        <v>0</v>
      </c>
      <c r="R36" s="97">
        <f t="shared" si="9"/>
        <v>0</v>
      </c>
      <c r="S36" s="96"/>
      <c r="T36" s="97">
        <f t="shared" si="10"/>
        <v>0</v>
      </c>
      <c r="U36" s="97">
        <f t="shared" si="11"/>
        <v>0</v>
      </c>
      <c r="V36" s="97">
        <f t="shared" si="12"/>
        <v>0</v>
      </c>
      <c r="W36" s="96"/>
      <c r="X36" s="97">
        <f t="shared" si="13"/>
        <v>0</v>
      </c>
      <c r="Y36" s="97">
        <f t="shared" si="14"/>
        <v>0</v>
      </c>
      <c r="Z36" s="97">
        <f t="shared" si="15"/>
        <v>0</v>
      </c>
      <c r="AA36" s="96"/>
      <c r="AB36" s="97">
        <f t="shared" si="16"/>
        <v>0</v>
      </c>
      <c r="AC36" s="97">
        <f t="shared" si="17"/>
        <v>0</v>
      </c>
      <c r="AD36" s="97">
        <f t="shared" si="18"/>
        <v>0</v>
      </c>
      <c r="AE36" s="96"/>
      <c r="AF36" s="97">
        <f t="shared" si="19"/>
        <v>0</v>
      </c>
      <c r="AG36" s="97">
        <f t="shared" si="20"/>
        <v>0</v>
      </c>
      <c r="AH36" s="97">
        <f t="shared" si="21"/>
        <v>0</v>
      </c>
      <c r="AI36" s="96"/>
      <c r="AJ36" s="97">
        <f t="shared" si="22"/>
        <v>0</v>
      </c>
      <c r="AK36" s="97">
        <f t="shared" si="23"/>
        <v>0</v>
      </c>
      <c r="AL36" s="97">
        <f t="shared" si="24"/>
        <v>0</v>
      </c>
      <c r="AM36" s="96"/>
      <c r="AN36" s="97">
        <f t="shared" si="25"/>
        <v>0</v>
      </c>
      <c r="AO36" s="97">
        <f t="shared" si="26"/>
        <v>0</v>
      </c>
      <c r="AP36" s="97">
        <f t="shared" si="27"/>
        <v>0</v>
      </c>
      <c r="AQ36" s="96"/>
      <c r="AR36" s="97">
        <f t="shared" si="28"/>
        <v>0</v>
      </c>
      <c r="AS36" s="97">
        <f t="shared" si="29"/>
        <v>0</v>
      </c>
      <c r="AT36" s="97">
        <f t="shared" si="30"/>
        <v>0</v>
      </c>
      <c r="AU36" s="96"/>
      <c r="AV36" s="97">
        <f t="shared" si="31"/>
        <v>0</v>
      </c>
      <c r="AW36" s="97">
        <f t="shared" si="32"/>
        <v>0</v>
      </c>
      <c r="AX36" s="97">
        <f t="shared" si="33"/>
        <v>0</v>
      </c>
      <c r="AY36" s="96"/>
      <c r="AZ36" s="65">
        <f t="shared" si="34"/>
        <v>0</v>
      </c>
      <c r="BA36" s="65">
        <f t="shared" si="35"/>
        <v>0</v>
      </c>
      <c r="BB36" s="65">
        <f t="shared" si="36"/>
        <v>0</v>
      </c>
    </row>
    <row r="37" spans="1:54" x14ac:dyDescent="0.2">
      <c r="A37" s="71"/>
      <c r="B37" s="96" t="s">
        <v>52</v>
      </c>
      <c r="C37" s="96"/>
      <c r="D37" s="97">
        <f t="shared" si="0"/>
        <v>0</v>
      </c>
      <c r="E37" s="97">
        <f t="shared" si="37"/>
        <v>0</v>
      </c>
      <c r="F37" s="97">
        <f t="shared" si="38"/>
        <v>0</v>
      </c>
      <c r="G37" s="96"/>
      <c r="H37" s="97">
        <f t="shared" si="1"/>
        <v>0</v>
      </c>
      <c r="I37" s="97">
        <f t="shared" si="2"/>
        <v>0</v>
      </c>
      <c r="J37" s="97">
        <f t="shared" si="3"/>
        <v>0</v>
      </c>
      <c r="K37" s="96"/>
      <c r="L37" s="97">
        <f t="shared" si="4"/>
        <v>0</v>
      </c>
      <c r="M37" s="97">
        <f t="shared" si="5"/>
        <v>0</v>
      </c>
      <c r="N37" s="97">
        <f t="shared" si="6"/>
        <v>0</v>
      </c>
      <c r="O37" s="96"/>
      <c r="P37" s="97">
        <f t="shared" si="7"/>
        <v>0</v>
      </c>
      <c r="Q37" s="97">
        <f t="shared" si="8"/>
        <v>0</v>
      </c>
      <c r="R37" s="97">
        <f t="shared" si="9"/>
        <v>0</v>
      </c>
      <c r="S37" s="96"/>
      <c r="T37" s="97">
        <f t="shared" si="10"/>
        <v>0</v>
      </c>
      <c r="U37" s="97">
        <f t="shared" si="11"/>
        <v>0</v>
      </c>
      <c r="V37" s="97">
        <f t="shared" si="12"/>
        <v>0</v>
      </c>
      <c r="W37" s="96"/>
      <c r="X37" s="97">
        <f t="shared" si="13"/>
        <v>0</v>
      </c>
      <c r="Y37" s="97">
        <f t="shared" si="14"/>
        <v>0</v>
      </c>
      <c r="Z37" s="97">
        <f t="shared" si="15"/>
        <v>0</v>
      </c>
      <c r="AA37" s="96"/>
      <c r="AB37" s="97">
        <f t="shared" si="16"/>
        <v>0</v>
      </c>
      <c r="AC37" s="97">
        <f t="shared" si="17"/>
        <v>0</v>
      </c>
      <c r="AD37" s="97">
        <f t="shared" si="18"/>
        <v>0</v>
      </c>
      <c r="AE37" s="96"/>
      <c r="AF37" s="97">
        <f t="shared" si="19"/>
        <v>0</v>
      </c>
      <c r="AG37" s="97">
        <f t="shared" si="20"/>
        <v>0</v>
      </c>
      <c r="AH37" s="97">
        <f t="shared" si="21"/>
        <v>0</v>
      </c>
      <c r="AI37" s="96"/>
      <c r="AJ37" s="97">
        <f t="shared" si="22"/>
        <v>0</v>
      </c>
      <c r="AK37" s="97">
        <f t="shared" si="23"/>
        <v>0</v>
      </c>
      <c r="AL37" s="97">
        <f t="shared" si="24"/>
        <v>0</v>
      </c>
      <c r="AM37" s="96"/>
      <c r="AN37" s="97">
        <f t="shared" si="25"/>
        <v>0</v>
      </c>
      <c r="AO37" s="97">
        <f t="shared" si="26"/>
        <v>0</v>
      </c>
      <c r="AP37" s="97">
        <f t="shared" si="27"/>
        <v>0</v>
      </c>
      <c r="AQ37" s="96"/>
      <c r="AR37" s="97">
        <f t="shared" si="28"/>
        <v>0</v>
      </c>
      <c r="AS37" s="97">
        <f t="shared" si="29"/>
        <v>0</v>
      </c>
      <c r="AT37" s="97">
        <f t="shared" si="30"/>
        <v>0</v>
      </c>
      <c r="AU37" s="96"/>
      <c r="AV37" s="97">
        <f t="shared" si="31"/>
        <v>0</v>
      </c>
      <c r="AW37" s="97">
        <f t="shared" si="32"/>
        <v>0</v>
      </c>
      <c r="AX37" s="97">
        <f t="shared" si="33"/>
        <v>0</v>
      </c>
      <c r="AY37" s="96"/>
      <c r="AZ37" s="65">
        <f t="shared" si="34"/>
        <v>0</v>
      </c>
      <c r="BA37" s="65">
        <f t="shared" si="35"/>
        <v>0</v>
      </c>
      <c r="BB37" s="65">
        <f t="shared" si="36"/>
        <v>0</v>
      </c>
    </row>
    <row r="38" spans="1:54" x14ac:dyDescent="0.2">
      <c r="A38" s="71"/>
      <c r="B38" s="96" t="s">
        <v>52</v>
      </c>
      <c r="C38" s="96"/>
      <c r="D38" s="97">
        <f t="shared" si="0"/>
        <v>0</v>
      </c>
      <c r="E38" s="97">
        <f t="shared" si="37"/>
        <v>0</v>
      </c>
      <c r="F38" s="97">
        <f t="shared" si="38"/>
        <v>0</v>
      </c>
      <c r="G38" s="96"/>
      <c r="H38" s="97">
        <f t="shared" si="1"/>
        <v>0</v>
      </c>
      <c r="I38" s="97">
        <f t="shared" si="2"/>
        <v>0</v>
      </c>
      <c r="J38" s="97">
        <f t="shared" si="3"/>
        <v>0</v>
      </c>
      <c r="K38" s="96"/>
      <c r="L38" s="97">
        <f t="shared" si="4"/>
        <v>0</v>
      </c>
      <c r="M38" s="97">
        <f t="shared" si="5"/>
        <v>0</v>
      </c>
      <c r="N38" s="97">
        <f t="shared" si="6"/>
        <v>0</v>
      </c>
      <c r="O38" s="96"/>
      <c r="P38" s="97">
        <f t="shared" si="7"/>
        <v>0</v>
      </c>
      <c r="Q38" s="97">
        <f t="shared" si="8"/>
        <v>0</v>
      </c>
      <c r="R38" s="97">
        <f t="shared" si="9"/>
        <v>0</v>
      </c>
      <c r="S38" s="96"/>
      <c r="T38" s="97">
        <f t="shared" si="10"/>
        <v>0</v>
      </c>
      <c r="U38" s="97">
        <f t="shared" si="11"/>
        <v>0</v>
      </c>
      <c r="V38" s="97">
        <f t="shared" si="12"/>
        <v>0</v>
      </c>
      <c r="W38" s="96"/>
      <c r="X38" s="97">
        <f t="shared" si="13"/>
        <v>0</v>
      </c>
      <c r="Y38" s="97">
        <f t="shared" si="14"/>
        <v>0</v>
      </c>
      <c r="Z38" s="97">
        <f t="shared" si="15"/>
        <v>0</v>
      </c>
      <c r="AA38" s="96"/>
      <c r="AB38" s="97">
        <f t="shared" si="16"/>
        <v>0</v>
      </c>
      <c r="AC38" s="97">
        <f t="shared" si="17"/>
        <v>0</v>
      </c>
      <c r="AD38" s="97">
        <f t="shared" si="18"/>
        <v>0</v>
      </c>
      <c r="AE38" s="96"/>
      <c r="AF38" s="97">
        <f t="shared" si="19"/>
        <v>0</v>
      </c>
      <c r="AG38" s="97">
        <f t="shared" si="20"/>
        <v>0</v>
      </c>
      <c r="AH38" s="97">
        <f t="shared" si="21"/>
        <v>0</v>
      </c>
      <c r="AI38" s="96"/>
      <c r="AJ38" s="97">
        <f t="shared" si="22"/>
        <v>0</v>
      </c>
      <c r="AK38" s="97">
        <f t="shared" si="23"/>
        <v>0</v>
      </c>
      <c r="AL38" s="97">
        <f t="shared" si="24"/>
        <v>0</v>
      </c>
      <c r="AM38" s="96"/>
      <c r="AN38" s="97">
        <f t="shared" si="25"/>
        <v>0</v>
      </c>
      <c r="AO38" s="97">
        <f t="shared" si="26"/>
        <v>0</v>
      </c>
      <c r="AP38" s="97">
        <f t="shared" si="27"/>
        <v>0</v>
      </c>
      <c r="AQ38" s="96"/>
      <c r="AR38" s="97">
        <f t="shared" si="28"/>
        <v>0</v>
      </c>
      <c r="AS38" s="97">
        <f t="shared" si="29"/>
        <v>0</v>
      </c>
      <c r="AT38" s="97">
        <f t="shared" si="30"/>
        <v>0</v>
      </c>
      <c r="AU38" s="96"/>
      <c r="AV38" s="97">
        <f t="shared" si="31"/>
        <v>0</v>
      </c>
      <c r="AW38" s="97">
        <f t="shared" si="32"/>
        <v>0</v>
      </c>
      <c r="AX38" s="97">
        <f t="shared" si="33"/>
        <v>0</v>
      </c>
      <c r="AY38" s="96"/>
      <c r="AZ38" s="65">
        <f t="shared" si="34"/>
        <v>0</v>
      </c>
      <c r="BA38" s="65">
        <f t="shared" si="35"/>
        <v>0</v>
      </c>
      <c r="BB38" s="65">
        <f t="shared" si="36"/>
        <v>0</v>
      </c>
    </row>
    <row r="39" spans="1:54" x14ac:dyDescent="0.2">
      <c r="A39" s="71"/>
      <c r="B39" s="96" t="s">
        <v>52</v>
      </c>
      <c r="C39" s="96"/>
      <c r="D39" s="97">
        <f t="shared" si="0"/>
        <v>0</v>
      </c>
      <c r="E39" s="97">
        <f t="shared" si="37"/>
        <v>0</v>
      </c>
      <c r="F39" s="97">
        <f t="shared" si="38"/>
        <v>0</v>
      </c>
      <c r="G39" s="96"/>
      <c r="H39" s="97">
        <f t="shared" si="1"/>
        <v>0</v>
      </c>
      <c r="I39" s="97">
        <f t="shared" si="2"/>
        <v>0</v>
      </c>
      <c r="J39" s="97">
        <f t="shared" si="3"/>
        <v>0</v>
      </c>
      <c r="K39" s="96"/>
      <c r="L39" s="97">
        <f t="shared" si="4"/>
        <v>0</v>
      </c>
      <c r="M39" s="97">
        <f t="shared" si="5"/>
        <v>0</v>
      </c>
      <c r="N39" s="97">
        <f t="shared" si="6"/>
        <v>0</v>
      </c>
      <c r="O39" s="96"/>
      <c r="P39" s="97">
        <f t="shared" si="7"/>
        <v>0</v>
      </c>
      <c r="Q39" s="97">
        <f t="shared" si="8"/>
        <v>0</v>
      </c>
      <c r="R39" s="97">
        <f t="shared" si="9"/>
        <v>0</v>
      </c>
      <c r="S39" s="96"/>
      <c r="T39" s="97">
        <f t="shared" si="10"/>
        <v>0</v>
      </c>
      <c r="U39" s="97">
        <f t="shared" si="11"/>
        <v>0</v>
      </c>
      <c r="V39" s="97">
        <f t="shared" si="12"/>
        <v>0</v>
      </c>
      <c r="W39" s="96"/>
      <c r="X39" s="97">
        <f t="shared" si="13"/>
        <v>0</v>
      </c>
      <c r="Y39" s="97">
        <f t="shared" si="14"/>
        <v>0</v>
      </c>
      <c r="Z39" s="97">
        <f t="shared" si="15"/>
        <v>0</v>
      </c>
      <c r="AA39" s="96"/>
      <c r="AB39" s="97">
        <f t="shared" si="16"/>
        <v>0</v>
      </c>
      <c r="AC39" s="97">
        <f t="shared" si="17"/>
        <v>0</v>
      </c>
      <c r="AD39" s="97">
        <f t="shared" si="18"/>
        <v>0</v>
      </c>
      <c r="AE39" s="96"/>
      <c r="AF39" s="97">
        <f t="shared" si="19"/>
        <v>0</v>
      </c>
      <c r="AG39" s="97">
        <f t="shared" si="20"/>
        <v>0</v>
      </c>
      <c r="AH39" s="97">
        <f t="shared" si="21"/>
        <v>0</v>
      </c>
      <c r="AI39" s="96"/>
      <c r="AJ39" s="97">
        <f t="shared" si="22"/>
        <v>0</v>
      </c>
      <c r="AK39" s="97">
        <f t="shared" si="23"/>
        <v>0</v>
      </c>
      <c r="AL39" s="97">
        <f t="shared" si="24"/>
        <v>0</v>
      </c>
      <c r="AM39" s="96"/>
      <c r="AN39" s="97">
        <f t="shared" si="25"/>
        <v>0</v>
      </c>
      <c r="AO39" s="97">
        <f t="shared" si="26"/>
        <v>0</v>
      </c>
      <c r="AP39" s="97">
        <f t="shared" si="27"/>
        <v>0</v>
      </c>
      <c r="AQ39" s="96"/>
      <c r="AR39" s="97">
        <f t="shared" si="28"/>
        <v>0</v>
      </c>
      <c r="AS39" s="97">
        <f t="shared" si="29"/>
        <v>0</v>
      </c>
      <c r="AT39" s="97">
        <f t="shared" si="30"/>
        <v>0</v>
      </c>
      <c r="AU39" s="96"/>
      <c r="AV39" s="97">
        <f t="shared" si="31"/>
        <v>0</v>
      </c>
      <c r="AW39" s="97">
        <f t="shared" si="32"/>
        <v>0</v>
      </c>
      <c r="AX39" s="97">
        <f t="shared" si="33"/>
        <v>0</v>
      </c>
      <c r="AY39" s="96"/>
      <c r="AZ39" s="65">
        <f t="shared" si="34"/>
        <v>0</v>
      </c>
      <c r="BA39" s="65">
        <f t="shared" si="35"/>
        <v>0</v>
      </c>
      <c r="BB39" s="65">
        <f t="shared" si="36"/>
        <v>0</v>
      </c>
    </row>
    <row r="40" spans="1:54" x14ac:dyDescent="0.2">
      <c r="A40" s="71"/>
      <c r="B40" s="96" t="s">
        <v>52</v>
      </c>
      <c r="C40" s="96"/>
      <c r="D40" s="97">
        <f t="shared" si="0"/>
        <v>0</v>
      </c>
      <c r="E40" s="97">
        <f t="shared" si="37"/>
        <v>0</v>
      </c>
      <c r="F40" s="97">
        <f t="shared" si="38"/>
        <v>0</v>
      </c>
      <c r="G40" s="96"/>
      <c r="H40" s="97">
        <f t="shared" si="1"/>
        <v>0</v>
      </c>
      <c r="I40" s="97">
        <f t="shared" si="2"/>
        <v>0</v>
      </c>
      <c r="J40" s="97">
        <f t="shared" si="3"/>
        <v>0</v>
      </c>
      <c r="K40" s="96"/>
      <c r="L40" s="97">
        <f t="shared" si="4"/>
        <v>0</v>
      </c>
      <c r="M40" s="97">
        <f t="shared" si="5"/>
        <v>0</v>
      </c>
      <c r="N40" s="97">
        <f t="shared" si="6"/>
        <v>0</v>
      </c>
      <c r="O40" s="96"/>
      <c r="P40" s="97">
        <f t="shared" si="7"/>
        <v>0</v>
      </c>
      <c r="Q40" s="97">
        <f t="shared" si="8"/>
        <v>0</v>
      </c>
      <c r="R40" s="97">
        <f t="shared" si="9"/>
        <v>0</v>
      </c>
      <c r="S40" s="96"/>
      <c r="T40" s="97">
        <f t="shared" si="10"/>
        <v>0</v>
      </c>
      <c r="U40" s="97">
        <f t="shared" si="11"/>
        <v>0</v>
      </c>
      <c r="V40" s="97">
        <f t="shared" si="12"/>
        <v>0</v>
      </c>
      <c r="W40" s="96"/>
      <c r="X40" s="97">
        <f t="shared" si="13"/>
        <v>0</v>
      </c>
      <c r="Y40" s="97">
        <f t="shared" si="14"/>
        <v>0</v>
      </c>
      <c r="Z40" s="97">
        <f t="shared" si="15"/>
        <v>0</v>
      </c>
      <c r="AA40" s="96"/>
      <c r="AB40" s="97">
        <f t="shared" si="16"/>
        <v>0</v>
      </c>
      <c r="AC40" s="97">
        <f t="shared" si="17"/>
        <v>0</v>
      </c>
      <c r="AD40" s="97">
        <f t="shared" si="18"/>
        <v>0</v>
      </c>
      <c r="AE40" s="96"/>
      <c r="AF40" s="97">
        <f t="shared" si="19"/>
        <v>0</v>
      </c>
      <c r="AG40" s="97">
        <f t="shared" si="20"/>
        <v>0</v>
      </c>
      <c r="AH40" s="97">
        <f t="shared" si="21"/>
        <v>0</v>
      </c>
      <c r="AI40" s="96"/>
      <c r="AJ40" s="97">
        <f t="shared" si="22"/>
        <v>0</v>
      </c>
      <c r="AK40" s="97">
        <f t="shared" si="23"/>
        <v>0</v>
      </c>
      <c r="AL40" s="97">
        <f t="shared" si="24"/>
        <v>0</v>
      </c>
      <c r="AM40" s="96"/>
      <c r="AN40" s="97">
        <f t="shared" si="25"/>
        <v>0</v>
      </c>
      <c r="AO40" s="97">
        <f t="shared" si="26"/>
        <v>0</v>
      </c>
      <c r="AP40" s="97">
        <f t="shared" si="27"/>
        <v>0</v>
      </c>
      <c r="AQ40" s="96"/>
      <c r="AR40" s="97">
        <f t="shared" si="28"/>
        <v>0</v>
      </c>
      <c r="AS40" s="97">
        <f t="shared" si="29"/>
        <v>0</v>
      </c>
      <c r="AT40" s="97">
        <f t="shared" si="30"/>
        <v>0</v>
      </c>
      <c r="AU40" s="96"/>
      <c r="AV40" s="97">
        <f t="shared" si="31"/>
        <v>0</v>
      </c>
      <c r="AW40" s="97">
        <f t="shared" si="32"/>
        <v>0</v>
      </c>
      <c r="AX40" s="97">
        <f t="shared" si="33"/>
        <v>0</v>
      </c>
      <c r="AY40" s="96"/>
      <c r="AZ40" s="65">
        <f t="shared" si="34"/>
        <v>0</v>
      </c>
      <c r="BA40" s="65">
        <f t="shared" si="35"/>
        <v>0</v>
      </c>
      <c r="BB40" s="65">
        <f t="shared" si="36"/>
        <v>0</v>
      </c>
    </row>
    <row r="41" spans="1:54" x14ac:dyDescent="0.2">
      <c r="A41" s="71"/>
      <c r="B41" s="96" t="s">
        <v>52</v>
      </c>
      <c r="C41" s="96"/>
      <c r="D41" s="97">
        <f t="shared" si="0"/>
        <v>0</v>
      </c>
      <c r="E41" s="97">
        <f t="shared" si="37"/>
        <v>0</v>
      </c>
      <c r="F41" s="97">
        <f t="shared" si="38"/>
        <v>0</v>
      </c>
      <c r="G41" s="96"/>
      <c r="H41" s="97">
        <f t="shared" si="1"/>
        <v>0</v>
      </c>
      <c r="I41" s="97">
        <f t="shared" si="2"/>
        <v>0</v>
      </c>
      <c r="J41" s="97">
        <f t="shared" si="3"/>
        <v>0</v>
      </c>
      <c r="K41" s="96"/>
      <c r="L41" s="97">
        <f t="shared" si="4"/>
        <v>0</v>
      </c>
      <c r="M41" s="97">
        <f t="shared" si="5"/>
        <v>0</v>
      </c>
      <c r="N41" s="97">
        <f t="shared" si="6"/>
        <v>0</v>
      </c>
      <c r="O41" s="96"/>
      <c r="P41" s="97">
        <f t="shared" si="7"/>
        <v>0</v>
      </c>
      <c r="Q41" s="97">
        <f t="shared" si="8"/>
        <v>0</v>
      </c>
      <c r="R41" s="97">
        <f t="shared" si="9"/>
        <v>0</v>
      </c>
      <c r="S41" s="96"/>
      <c r="T41" s="97">
        <f t="shared" si="10"/>
        <v>0</v>
      </c>
      <c r="U41" s="97">
        <f t="shared" si="11"/>
        <v>0</v>
      </c>
      <c r="V41" s="97">
        <f t="shared" si="12"/>
        <v>0</v>
      </c>
      <c r="W41" s="96"/>
      <c r="X41" s="97">
        <f t="shared" si="13"/>
        <v>0</v>
      </c>
      <c r="Y41" s="97">
        <f t="shared" si="14"/>
        <v>0</v>
      </c>
      <c r="Z41" s="97">
        <f t="shared" si="15"/>
        <v>0</v>
      </c>
      <c r="AA41" s="96"/>
      <c r="AB41" s="97">
        <f t="shared" si="16"/>
        <v>0</v>
      </c>
      <c r="AC41" s="97">
        <f t="shared" si="17"/>
        <v>0</v>
      </c>
      <c r="AD41" s="97">
        <f t="shared" si="18"/>
        <v>0</v>
      </c>
      <c r="AE41" s="96"/>
      <c r="AF41" s="97">
        <f t="shared" si="19"/>
        <v>0</v>
      </c>
      <c r="AG41" s="97">
        <f t="shared" si="20"/>
        <v>0</v>
      </c>
      <c r="AH41" s="97">
        <f t="shared" si="21"/>
        <v>0</v>
      </c>
      <c r="AI41" s="96"/>
      <c r="AJ41" s="97">
        <f t="shared" si="22"/>
        <v>0</v>
      </c>
      <c r="AK41" s="97">
        <f t="shared" si="23"/>
        <v>0</v>
      </c>
      <c r="AL41" s="97">
        <f t="shared" si="24"/>
        <v>0</v>
      </c>
      <c r="AM41" s="96"/>
      <c r="AN41" s="97">
        <f t="shared" si="25"/>
        <v>0</v>
      </c>
      <c r="AO41" s="97">
        <f t="shared" si="26"/>
        <v>0</v>
      </c>
      <c r="AP41" s="97">
        <f t="shared" si="27"/>
        <v>0</v>
      </c>
      <c r="AQ41" s="96"/>
      <c r="AR41" s="97">
        <f t="shared" si="28"/>
        <v>0</v>
      </c>
      <c r="AS41" s="97">
        <f t="shared" si="29"/>
        <v>0</v>
      </c>
      <c r="AT41" s="97">
        <f t="shared" si="30"/>
        <v>0</v>
      </c>
      <c r="AU41" s="96"/>
      <c r="AV41" s="97">
        <f t="shared" si="31"/>
        <v>0</v>
      </c>
      <c r="AW41" s="97">
        <f t="shared" si="32"/>
        <v>0</v>
      </c>
      <c r="AX41" s="97">
        <f t="shared" si="33"/>
        <v>0</v>
      </c>
      <c r="AY41" s="96"/>
      <c r="AZ41" s="65">
        <f t="shared" si="34"/>
        <v>0</v>
      </c>
      <c r="BA41" s="65">
        <f t="shared" si="35"/>
        <v>0</v>
      </c>
      <c r="BB41" s="65">
        <f t="shared" si="36"/>
        <v>0</v>
      </c>
    </row>
    <row r="42" spans="1:54" x14ac:dyDescent="0.2">
      <c r="A42" s="71"/>
      <c r="B42" s="96" t="s">
        <v>52</v>
      </c>
      <c r="C42" s="96"/>
      <c r="D42" s="97">
        <f t="shared" si="0"/>
        <v>0</v>
      </c>
      <c r="E42" s="97">
        <f t="shared" si="37"/>
        <v>0</v>
      </c>
      <c r="F42" s="97">
        <f t="shared" si="38"/>
        <v>0</v>
      </c>
      <c r="G42" s="96"/>
      <c r="H42" s="97">
        <f t="shared" si="1"/>
        <v>0</v>
      </c>
      <c r="I42" s="97">
        <f t="shared" si="2"/>
        <v>0</v>
      </c>
      <c r="J42" s="97">
        <f t="shared" si="3"/>
        <v>0</v>
      </c>
      <c r="K42" s="96"/>
      <c r="L42" s="97">
        <f t="shared" si="4"/>
        <v>0</v>
      </c>
      <c r="M42" s="97">
        <f t="shared" si="5"/>
        <v>0</v>
      </c>
      <c r="N42" s="97">
        <f t="shared" si="6"/>
        <v>0</v>
      </c>
      <c r="O42" s="96"/>
      <c r="P42" s="97">
        <f t="shared" si="7"/>
        <v>0</v>
      </c>
      <c r="Q42" s="97">
        <f t="shared" si="8"/>
        <v>0</v>
      </c>
      <c r="R42" s="97">
        <f t="shared" si="9"/>
        <v>0</v>
      </c>
      <c r="S42" s="96"/>
      <c r="T42" s="97">
        <f t="shared" si="10"/>
        <v>0</v>
      </c>
      <c r="U42" s="97">
        <f t="shared" si="11"/>
        <v>0</v>
      </c>
      <c r="V42" s="97">
        <f t="shared" si="12"/>
        <v>0</v>
      </c>
      <c r="W42" s="96"/>
      <c r="X42" s="97">
        <f t="shared" si="13"/>
        <v>0</v>
      </c>
      <c r="Y42" s="97">
        <f t="shared" si="14"/>
        <v>0</v>
      </c>
      <c r="Z42" s="97">
        <f t="shared" si="15"/>
        <v>0</v>
      </c>
      <c r="AA42" s="96"/>
      <c r="AB42" s="97">
        <f t="shared" si="16"/>
        <v>0</v>
      </c>
      <c r="AC42" s="97">
        <f t="shared" si="17"/>
        <v>0</v>
      </c>
      <c r="AD42" s="97">
        <f t="shared" si="18"/>
        <v>0</v>
      </c>
      <c r="AE42" s="96"/>
      <c r="AF42" s="97">
        <f t="shared" si="19"/>
        <v>0</v>
      </c>
      <c r="AG42" s="97">
        <f t="shared" si="20"/>
        <v>0</v>
      </c>
      <c r="AH42" s="97">
        <f t="shared" si="21"/>
        <v>0</v>
      </c>
      <c r="AI42" s="96"/>
      <c r="AJ42" s="97">
        <f t="shared" si="22"/>
        <v>0</v>
      </c>
      <c r="AK42" s="97">
        <f t="shared" si="23"/>
        <v>0</v>
      </c>
      <c r="AL42" s="97">
        <f t="shared" si="24"/>
        <v>0</v>
      </c>
      <c r="AM42" s="96"/>
      <c r="AN42" s="97">
        <f t="shared" si="25"/>
        <v>0</v>
      </c>
      <c r="AO42" s="97">
        <f t="shared" si="26"/>
        <v>0</v>
      </c>
      <c r="AP42" s="97">
        <f t="shared" si="27"/>
        <v>0</v>
      </c>
      <c r="AQ42" s="96"/>
      <c r="AR42" s="97">
        <f t="shared" si="28"/>
        <v>0</v>
      </c>
      <c r="AS42" s="97">
        <f t="shared" si="29"/>
        <v>0</v>
      </c>
      <c r="AT42" s="97">
        <f t="shared" si="30"/>
        <v>0</v>
      </c>
      <c r="AU42" s="96"/>
      <c r="AV42" s="97">
        <f t="shared" si="31"/>
        <v>0</v>
      </c>
      <c r="AW42" s="97">
        <f t="shared" si="32"/>
        <v>0</v>
      </c>
      <c r="AX42" s="97">
        <f t="shared" si="33"/>
        <v>0</v>
      </c>
      <c r="AY42" s="96"/>
      <c r="AZ42" s="65">
        <f t="shared" si="34"/>
        <v>0</v>
      </c>
      <c r="BA42" s="65">
        <f t="shared" si="35"/>
        <v>0</v>
      </c>
      <c r="BB42" s="65">
        <f t="shared" si="36"/>
        <v>0</v>
      </c>
    </row>
    <row r="43" spans="1:54" x14ac:dyDescent="0.2">
      <c r="A43" s="71"/>
      <c r="B43" s="96" t="s">
        <v>52</v>
      </c>
      <c r="C43" s="96"/>
      <c r="D43" s="97">
        <f t="shared" si="0"/>
        <v>0</v>
      </c>
      <c r="E43" s="97">
        <f t="shared" si="37"/>
        <v>0</v>
      </c>
      <c r="F43" s="97">
        <f t="shared" si="38"/>
        <v>0</v>
      </c>
      <c r="G43" s="96"/>
      <c r="H43" s="97">
        <f t="shared" si="1"/>
        <v>0</v>
      </c>
      <c r="I43" s="97">
        <f t="shared" si="2"/>
        <v>0</v>
      </c>
      <c r="J43" s="97">
        <f t="shared" si="3"/>
        <v>0</v>
      </c>
      <c r="K43" s="96"/>
      <c r="L43" s="97">
        <f t="shared" si="4"/>
        <v>0</v>
      </c>
      <c r="M43" s="97">
        <f t="shared" si="5"/>
        <v>0</v>
      </c>
      <c r="N43" s="97">
        <f t="shared" si="6"/>
        <v>0</v>
      </c>
      <c r="O43" s="96"/>
      <c r="P43" s="97">
        <f t="shared" si="7"/>
        <v>0</v>
      </c>
      <c r="Q43" s="97">
        <f t="shared" si="8"/>
        <v>0</v>
      </c>
      <c r="R43" s="97">
        <f t="shared" si="9"/>
        <v>0</v>
      </c>
      <c r="S43" s="96"/>
      <c r="T43" s="97">
        <f t="shared" si="10"/>
        <v>0</v>
      </c>
      <c r="U43" s="97">
        <f t="shared" si="11"/>
        <v>0</v>
      </c>
      <c r="V43" s="97">
        <f t="shared" si="12"/>
        <v>0</v>
      </c>
      <c r="W43" s="96"/>
      <c r="X43" s="97">
        <f t="shared" si="13"/>
        <v>0</v>
      </c>
      <c r="Y43" s="97">
        <f t="shared" si="14"/>
        <v>0</v>
      </c>
      <c r="Z43" s="97">
        <f t="shared" si="15"/>
        <v>0</v>
      </c>
      <c r="AA43" s="96"/>
      <c r="AB43" s="97">
        <f t="shared" si="16"/>
        <v>0</v>
      </c>
      <c r="AC43" s="97">
        <f t="shared" si="17"/>
        <v>0</v>
      </c>
      <c r="AD43" s="97">
        <f t="shared" si="18"/>
        <v>0</v>
      </c>
      <c r="AE43" s="96"/>
      <c r="AF43" s="97">
        <f t="shared" si="19"/>
        <v>0</v>
      </c>
      <c r="AG43" s="97">
        <f t="shared" si="20"/>
        <v>0</v>
      </c>
      <c r="AH43" s="97">
        <f t="shared" si="21"/>
        <v>0</v>
      </c>
      <c r="AI43" s="96"/>
      <c r="AJ43" s="97">
        <f t="shared" si="22"/>
        <v>0</v>
      </c>
      <c r="AK43" s="97">
        <f t="shared" si="23"/>
        <v>0</v>
      </c>
      <c r="AL43" s="97">
        <f t="shared" si="24"/>
        <v>0</v>
      </c>
      <c r="AM43" s="96"/>
      <c r="AN43" s="97">
        <f t="shared" si="25"/>
        <v>0</v>
      </c>
      <c r="AO43" s="97">
        <f t="shared" si="26"/>
        <v>0</v>
      </c>
      <c r="AP43" s="97">
        <f t="shared" si="27"/>
        <v>0</v>
      </c>
      <c r="AQ43" s="96"/>
      <c r="AR43" s="97">
        <f t="shared" si="28"/>
        <v>0</v>
      </c>
      <c r="AS43" s="97">
        <f t="shared" si="29"/>
        <v>0</v>
      </c>
      <c r="AT43" s="97">
        <f t="shared" si="30"/>
        <v>0</v>
      </c>
      <c r="AU43" s="96"/>
      <c r="AV43" s="97">
        <f t="shared" si="31"/>
        <v>0</v>
      </c>
      <c r="AW43" s="97">
        <f t="shared" si="32"/>
        <v>0</v>
      </c>
      <c r="AX43" s="97">
        <f t="shared" si="33"/>
        <v>0</v>
      </c>
      <c r="AY43" s="96"/>
      <c r="AZ43" s="65">
        <f t="shared" si="34"/>
        <v>0</v>
      </c>
      <c r="BA43" s="65">
        <f t="shared" si="35"/>
        <v>0</v>
      </c>
      <c r="BB43" s="65">
        <f t="shared" si="36"/>
        <v>0</v>
      </c>
    </row>
    <row r="44" spans="1:54" x14ac:dyDescent="0.2">
      <c r="A44" s="71"/>
      <c r="B44" s="96" t="s">
        <v>52</v>
      </c>
      <c r="C44" s="96"/>
      <c r="D44" s="97">
        <f t="shared" si="0"/>
        <v>0</v>
      </c>
      <c r="E44" s="97">
        <f t="shared" si="37"/>
        <v>0</v>
      </c>
      <c r="F44" s="97">
        <f t="shared" si="38"/>
        <v>0</v>
      </c>
      <c r="G44" s="96"/>
      <c r="H44" s="97">
        <f t="shared" si="1"/>
        <v>0</v>
      </c>
      <c r="I44" s="97">
        <f t="shared" si="2"/>
        <v>0</v>
      </c>
      <c r="J44" s="97">
        <f t="shared" si="3"/>
        <v>0</v>
      </c>
      <c r="K44" s="96"/>
      <c r="L44" s="97">
        <f t="shared" si="4"/>
        <v>0</v>
      </c>
      <c r="M44" s="97">
        <f t="shared" si="5"/>
        <v>0</v>
      </c>
      <c r="N44" s="97">
        <f t="shared" si="6"/>
        <v>0</v>
      </c>
      <c r="O44" s="96"/>
      <c r="P44" s="97">
        <f t="shared" si="7"/>
        <v>0</v>
      </c>
      <c r="Q44" s="97">
        <f t="shared" si="8"/>
        <v>0</v>
      </c>
      <c r="R44" s="97">
        <f t="shared" si="9"/>
        <v>0</v>
      </c>
      <c r="S44" s="96"/>
      <c r="T44" s="97">
        <f t="shared" si="10"/>
        <v>0</v>
      </c>
      <c r="U44" s="97">
        <f t="shared" si="11"/>
        <v>0</v>
      </c>
      <c r="V44" s="97">
        <f t="shared" si="12"/>
        <v>0</v>
      </c>
      <c r="W44" s="96"/>
      <c r="X44" s="97">
        <f t="shared" si="13"/>
        <v>0</v>
      </c>
      <c r="Y44" s="97">
        <f t="shared" si="14"/>
        <v>0</v>
      </c>
      <c r="Z44" s="97">
        <f t="shared" si="15"/>
        <v>0</v>
      </c>
      <c r="AA44" s="96"/>
      <c r="AB44" s="97">
        <f t="shared" si="16"/>
        <v>0</v>
      </c>
      <c r="AC44" s="97">
        <f t="shared" si="17"/>
        <v>0</v>
      </c>
      <c r="AD44" s="97">
        <f t="shared" si="18"/>
        <v>0</v>
      </c>
      <c r="AE44" s="96"/>
      <c r="AF44" s="97">
        <f t="shared" si="19"/>
        <v>0</v>
      </c>
      <c r="AG44" s="97">
        <f t="shared" si="20"/>
        <v>0</v>
      </c>
      <c r="AH44" s="97">
        <f t="shared" si="21"/>
        <v>0</v>
      </c>
      <c r="AI44" s="96"/>
      <c r="AJ44" s="97">
        <f t="shared" si="22"/>
        <v>0</v>
      </c>
      <c r="AK44" s="97">
        <f t="shared" si="23"/>
        <v>0</v>
      </c>
      <c r="AL44" s="97">
        <f t="shared" si="24"/>
        <v>0</v>
      </c>
      <c r="AM44" s="96"/>
      <c r="AN44" s="97">
        <f t="shared" si="25"/>
        <v>0</v>
      </c>
      <c r="AO44" s="97">
        <f t="shared" si="26"/>
        <v>0</v>
      </c>
      <c r="AP44" s="97">
        <f t="shared" si="27"/>
        <v>0</v>
      </c>
      <c r="AQ44" s="96"/>
      <c r="AR44" s="97">
        <f t="shared" si="28"/>
        <v>0</v>
      </c>
      <c r="AS44" s="97">
        <f t="shared" si="29"/>
        <v>0</v>
      </c>
      <c r="AT44" s="97">
        <f t="shared" si="30"/>
        <v>0</v>
      </c>
      <c r="AU44" s="96"/>
      <c r="AV44" s="97">
        <f t="shared" si="31"/>
        <v>0</v>
      </c>
      <c r="AW44" s="97">
        <f t="shared" si="32"/>
        <v>0</v>
      </c>
      <c r="AX44" s="97">
        <f t="shared" si="33"/>
        <v>0</v>
      </c>
      <c r="AY44" s="96"/>
      <c r="AZ44" s="65">
        <f t="shared" si="34"/>
        <v>0</v>
      </c>
      <c r="BA44" s="65">
        <f t="shared" si="35"/>
        <v>0</v>
      </c>
      <c r="BB44" s="65">
        <f t="shared" si="36"/>
        <v>0</v>
      </c>
    </row>
    <row r="45" spans="1:54" x14ac:dyDescent="0.2">
      <c r="A45" s="71"/>
      <c r="B45" s="96" t="s">
        <v>52</v>
      </c>
      <c r="C45" s="96"/>
      <c r="D45" s="97">
        <f t="shared" si="0"/>
        <v>0</v>
      </c>
      <c r="E45" s="97">
        <f t="shared" si="37"/>
        <v>0</v>
      </c>
      <c r="F45" s="97">
        <f t="shared" si="38"/>
        <v>0</v>
      </c>
      <c r="G45" s="96"/>
      <c r="H45" s="97">
        <f t="shared" si="1"/>
        <v>0</v>
      </c>
      <c r="I45" s="97">
        <f t="shared" si="2"/>
        <v>0</v>
      </c>
      <c r="J45" s="97">
        <f t="shared" si="3"/>
        <v>0</v>
      </c>
      <c r="K45" s="96"/>
      <c r="L45" s="97">
        <f t="shared" si="4"/>
        <v>0</v>
      </c>
      <c r="M45" s="97">
        <f t="shared" si="5"/>
        <v>0</v>
      </c>
      <c r="N45" s="97">
        <f t="shared" si="6"/>
        <v>0</v>
      </c>
      <c r="O45" s="96"/>
      <c r="P45" s="97">
        <f t="shared" si="7"/>
        <v>0</v>
      </c>
      <c r="Q45" s="97">
        <f t="shared" si="8"/>
        <v>0</v>
      </c>
      <c r="R45" s="97">
        <f t="shared" si="9"/>
        <v>0</v>
      </c>
      <c r="S45" s="96"/>
      <c r="T45" s="97">
        <f t="shared" si="10"/>
        <v>0</v>
      </c>
      <c r="U45" s="97">
        <f t="shared" si="11"/>
        <v>0</v>
      </c>
      <c r="V45" s="97">
        <f t="shared" si="12"/>
        <v>0</v>
      </c>
      <c r="W45" s="96"/>
      <c r="X45" s="97">
        <f t="shared" si="13"/>
        <v>0</v>
      </c>
      <c r="Y45" s="97">
        <f t="shared" si="14"/>
        <v>0</v>
      </c>
      <c r="Z45" s="97">
        <f t="shared" si="15"/>
        <v>0</v>
      </c>
      <c r="AA45" s="96"/>
      <c r="AB45" s="97">
        <f t="shared" si="16"/>
        <v>0</v>
      </c>
      <c r="AC45" s="97">
        <f t="shared" si="17"/>
        <v>0</v>
      </c>
      <c r="AD45" s="97">
        <f t="shared" si="18"/>
        <v>0</v>
      </c>
      <c r="AE45" s="96"/>
      <c r="AF45" s="97">
        <f t="shared" si="19"/>
        <v>0</v>
      </c>
      <c r="AG45" s="97">
        <f t="shared" si="20"/>
        <v>0</v>
      </c>
      <c r="AH45" s="97">
        <f t="shared" si="21"/>
        <v>0</v>
      </c>
      <c r="AI45" s="96"/>
      <c r="AJ45" s="97">
        <f t="shared" si="22"/>
        <v>0</v>
      </c>
      <c r="AK45" s="97">
        <f t="shared" si="23"/>
        <v>0</v>
      </c>
      <c r="AL45" s="97">
        <f t="shared" si="24"/>
        <v>0</v>
      </c>
      <c r="AM45" s="96"/>
      <c r="AN45" s="97">
        <f t="shared" si="25"/>
        <v>0</v>
      </c>
      <c r="AO45" s="97">
        <f t="shared" si="26"/>
        <v>0</v>
      </c>
      <c r="AP45" s="97">
        <f t="shared" si="27"/>
        <v>0</v>
      </c>
      <c r="AQ45" s="96"/>
      <c r="AR45" s="97">
        <f t="shared" si="28"/>
        <v>0</v>
      </c>
      <c r="AS45" s="97">
        <f t="shared" si="29"/>
        <v>0</v>
      </c>
      <c r="AT45" s="97">
        <f t="shared" si="30"/>
        <v>0</v>
      </c>
      <c r="AU45" s="96"/>
      <c r="AV45" s="97">
        <f t="shared" si="31"/>
        <v>0</v>
      </c>
      <c r="AW45" s="97">
        <f t="shared" si="32"/>
        <v>0</v>
      </c>
      <c r="AX45" s="97">
        <f t="shared" si="33"/>
        <v>0</v>
      </c>
      <c r="AY45" s="96"/>
      <c r="AZ45" s="65">
        <f t="shared" si="34"/>
        <v>0</v>
      </c>
      <c r="BA45" s="65">
        <f t="shared" si="35"/>
        <v>0</v>
      </c>
      <c r="BB45" s="65">
        <f t="shared" si="36"/>
        <v>0</v>
      </c>
    </row>
    <row r="46" spans="1:54" x14ac:dyDescent="0.2">
      <c r="A46" s="71"/>
      <c r="B46" s="96" t="s">
        <v>52</v>
      </c>
      <c r="C46" s="96"/>
      <c r="D46" s="97">
        <f t="shared" si="0"/>
        <v>0</v>
      </c>
      <c r="E46" s="97">
        <f t="shared" si="37"/>
        <v>0</v>
      </c>
      <c r="F46" s="97">
        <f t="shared" si="38"/>
        <v>0</v>
      </c>
      <c r="G46" s="96"/>
      <c r="H46" s="97">
        <f t="shared" si="1"/>
        <v>0</v>
      </c>
      <c r="I46" s="97">
        <f t="shared" si="2"/>
        <v>0</v>
      </c>
      <c r="J46" s="97">
        <f t="shared" si="3"/>
        <v>0</v>
      </c>
      <c r="K46" s="96"/>
      <c r="L46" s="97">
        <f t="shared" si="4"/>
        <v>0</v>
      </c>
      <c r="M46" s="97">
        <f t="shared" si="5"/>
        <v>0</v>
      </c>
      <c r="N46" s="97">
        <f t="shared" si="6"/>
        <v>0</v>
      </c>
      <c r="O46" s="96"/>
      <c r="P46" s="97">
        <f t="shared" si="7"/>
        <v>0</v>
      </c>
      <c r="Q46" s="97">
        <f t="shared" si="8"/>
        <v>0</v>
      </c>
      <c r="R46" s="97">
        <f t="shared" si="9"/>
        <v>0</v>
      </c>
      <c r="S46" s="96"/>
      <c r="T46" s="97">
        <f t="shared" si="10"/>
        <v>0</v>
      </c>
      <c r="U46" s="97">
        <f t="shared" si="11"/>
        <v>0</v>
      </c>
      <c r="V46" s="97">
        <f t="shared" si="12"/>
        <v>0</v>
      </c>
      <c r="W46" s="96"/>
      <c r="X46" s="97">
        <f t="shared" si="13"/>
        <v>0</v>
      </c>
      <c r="Y46" s="97">
        <f t="shared" si="14"/>
        <v>0</v>
      </c>
      <c r="Z46" s="97">
        <f t="shared" si="15"/>
        <v>0</v>
      </c>
      <c r="AA46" s="96"/>
      <c r="AB46" s="97">
        <f t="shared" si="16"/>
        <v>0</v>
      </c>
      <c r="AC46" s="97">
        <f t="shared" si="17"/>
        <v>0</v>
      </c>
      <c r="AD46" s="97">
        <f t="shared" si="18"/>
        <v>0</v>
      </c>
      <c r="AE46" s="96"/>
      <c r="AF46" s="97">
        <f t="shared" si="19"/>
        <v>0</v>
      </c>
      <c r="AG46" s="97">
        <f t="shared" si="20"/>
        <v>0</v>
      </c>
      <c r="AH46" s="97">
        <f t="shared" si="21"/>
        <v>0</v>
      </c>
      <c r="AI46" s="96"/>
      <c r="AJ46" s="97">
        <f t="shared" si="22"/>
        <v>0</v>
      </c>
      <c r="AK46" s="97">
        <f t="shared" si="23"/>
        <v>0</v>
      </c>
      <c r="AL46" s="97">
        <f t="shared" si="24"/>
        <v>0</v>
      </c>
      <c r="AM46" s="96"/>
      <c r="AN46" s="97">
        <f t="shared" si="25"/>
        <v>0</v>
      </c>
      <c r="AO46" s="97">
        <f t="shared" si="26"/>
        <v>0</v>
      </c>
      <c r="AP46" s="97">
        <f t="shared" si="27"/>
        <v>0</v>
      </c>
      <c r="AQ46" s="96"/>
      <c r="AR46" s="97">
        <f t="shared" si="28"/>
        <v>0</v>
      </c>
      <c r="AS46" s="97">
        <f t="shared" si="29"/>
        <v>0</v>
      </c>
      <c r="AT46" s="97">
        <f t="shared" si="30"/>
        <v>0</v>
      </c>
      <c r="AU46" s="96"/>
      <c r="AV46" s="97">
        <f t="shared" si="31"/>
        <v>0</v>
      </c>
      <c r="AW46" s="97">
        <f t="shared" si="32"/>
        <v>0</v>
      </c>
      <c r="AX46" s="97">
        <f t="shared" si="33"/>
        <v>0</v>
      </c>
      <c r="AY46" s="96"/>
      <c r="AZ46" s="65">
        <f t="shared" si="34"/>
        <v>0</v>
      </c>
      <c r="BA46" s="65">
        <f t="shared" si="35"/>
        <v>0</v>
      </c>
      <c r="BB46" s="65">
        <f t="shared" si="36"/>
        <v>0</v>
      </c>
    </row>
    <row r="47" spans="1:54" x14ac:dyDescent="0.2">
      <c r="A47" s="71"/>
      <c r="B47" s="96" t="s">
        <v>52</v>
      </c>
      <c r="C47" s="96"/>
      <c r="D47" s="97">
        <f t="shared" si="0"/>
        <v>0</v>
      </c>
      <c r="E47" s="97">
        <f t="shared" si="37"/>
        <v>0</v>
      </c>
      <c r="F47" s="97">
        <f t="shared" si="38"/>
        <v>0</v>
      </c>
      <c r="G47" s="96"/>
      <c r="H47" s="97">
        <f t="shared" si="1"/>
        <v>0</v>
      </c>
      <c r="I47" s="97">
        <f t="shared" si="2"/>
        <v>0</v>
      </c>
      <c r="J47" s="97">
        <f t="shared" si="3"/>
        <v>0</v>
      </c>
      <c r="K47" s="96"/>
      <c r="L47" s="97">
        <f t="shared" si="4"/>
        <v>0</v>
      </c>
      <c r="M47" s="97">
        <f t="shared" si="5"/>
        <v>0</v>
      </c>
      <c r="N47" s="97">
        <f t="shared" si="6"/>
        <v>0</v>
      </c>
      <c r="O47" s="96"/>
      <c r="P47" s="97">
        <f t="shared" si="7"/>
        <v>0</v>
      </c>
      <c r="Q47" s="97">
        <f t="shared" si="8"/>
        <v>0</v>
      </c>
      <c r="R47" s="97">
        <f t="shared" si="9"/>
        <v>0</v>
      </c>
      <c r="S47" s="96"/>
      <c r="T47" s="97">
        <f t="shared" si="10"/>
        <v>0</v>
      </c>
      <c r="U47" s="97">
        <f t="shared" si="11"/>
        <v>0</v>
      </c>
      <c r="V47" s="97">
        <f t="shared" si="12"/>
        <v>0</v>
      </c>
      <c r="W47" s="96"/>
      <c r="X47" s="97">
        <f t="shared" si="13"/>
        <v>0</v>
      </c>
      <c r="Y47" s="97">
        <f t="shared" si="14"/>
        <v>0</v>
      </c>
      <c r="Z47" s="97">
        <f t="shared" si="15"/>
        <v>0</v>
      </c>
      <c r="AA47" s="96"/>
      <c r="AB47" s="97">
        <f t="shared" si="16"/>
        <v>0</v>
      </c>
      <c r="AC47" s="97">
        <f t="shared" si="17"/>
        <v>0</v>
      </c>
      <c r="AD47" s="97">
        <f t="shared" si="18"/>
        <v>0</v>
      </c>
      <c r="AE47" s="96"/>
      <c r="AF47" s="97">
        <f t="shared" si="19"/>
        <v>0</v>
      </c>
      <c r="AG47" s="97">
        <f t="shared" si="20"/>
        <v>0</v>
      </c>
      <c r="AH47" s="97">
        <f t="shared" si="21"/>
        <v>0</v>
      </c>
      <c r="AI47" s="96"/>
      <c r="AJ47" s="97">
        <f t="shared" si="22"/>
        <v>0</v>
      </c>
      <c r="AK47" s="97">
        <f t="shared" si="23"/>
        <v>0</v>
      </c>
      <c r="AL47" s="97">
        <f t="shared" si="24"/>
        <v>0</v>
      </c>
      <c r="AM47" s="96"/>
      <c r="AN47" s="97">
        <f t="shared" si="25"/>
        <v>0</v>
      </c>
      <c r="AO47" s="97">
        <f t="shared" si="26"/>
        <v>0</v>
      </c>
      <c r="AP47" s="97">
        <f t="shared" si="27"/>
        <v>0</v>
      </c>
      <c r="AQ47" s="96"/>
      <c r="AR47" s="97">
        <f t="shared" si="28"/>
        <v>0</v>
      </c>
      <c r="AS47" s="97">
        <f t="shared" si="29"/>
        <v>0</v>
      </c>
      <c r="AT47" s="97">
        <f t="shared" si="30"/>
        <v>0</v>
      </c>
      <c r="AU47" s="96"/>
      <c r="AV47" s="97">
        <f t="shared" si="31"/>
        <v>0</v>
      </c>
      <c r="AW47" s="97">
        <f t="shared" si="32"/>
        <v>0</v>
      </c>
      <c r="AX47" s="97">
        <f t="shared" si="33"/>
        <v>0</v>
      </c>
      <c r="AY47" s="96"/>
      <c r="AZ47" s="65">
        <f t="shared" si="34"/>
        <v>0</v>
      </c>
      <c r="BA47" s="65">
        <f t="shared" si="35"/>
        <v>0</v>
      </c>
      <c r="BB47" s="65">
        <f t="shared" si="36"/>
        <v>0</v>
      </c>
    </row>
    <row r="48" spans="1:54" x14ac:dyDescent="0.2">
      <c r="A48" s="71"/>
      <c r="B48" s="96" t="s">
        <v>52</v>
      </c>
      <c r="C48" s="96"/>
      <c r="D48" s="97">
        <f t="shared" si="0"/>
        <v>0</v>
      </c>
      <c r="E48" s="97">
        <f t="shared" si="37"/>
        <v>0</v>
      </c>
      <c r="F48" s="97">
        <f t="shared" si="38"/>
        <v>0</v>
      </c>
      <c r="G48" s="96"/>
      <c r="H48" s="97">
        <f t="shared" si="1"/>
        <v>0</v>
      </c>
      <c r="I48" s="97">
        <f t="shared" si="2"/>
        <v>0</v>
      </c>
      <c r="J48" s="97">
        <f t="shared" si="3"/>
        <v>0</v>
      </c>
      <c r="K48" s="96"/>
      <c r="L48" s="97">
        <f t="shared" si="4"/>
        <v>0</v>
      </c>
      <c r="M48" s="97">
        <f t="shared" si="5"/>
        <v>0</v>
      </c>
      <c r="N48" s="97">
        <f t="shared" si="6"/>
        <v>0</v>
      </c>
      <c r="O48" s="96"/>
      <c r="P48" s="97">
        <f t="shared" si="7"/>
        <v>0</v>
      </c>
      <c r="Q48" s="97">
        <f t="shared" si="8"/>
        <v>0</v>
      </c>
      <c r="R48" s="97">
        <f t="shared" si="9"/>
        <v>0</v>
      </c>
      <c r="S48" s="96"/>
      <c r="T48" s="97">
        <f t="shared" si="10"/>
        <v>0</v>
      </c>
      <c r="U48" s="97">
        <f t="shared" si="11"/>
        <v>0</v>
      </c>
      <c r="V48" s="97">
        <f t="shared" si="12"/>
        <v>0</v>
      </c>
      <c r="W48" s="96"/>
      <c r="X48" s="97">
        <f t="shared" si="13"/>
        <v>0</v>
      </c>
      <c r="Y48" s="97">
        <f t="shared" si="14"/>
        <v>0</v>
      </c>
      <c r="Z48" s="97">
        <f t="shared" si="15"/>
        <v>0</v>
      </c>
      <c r="AA48" s="96"/>
      <c r="AB48" s="97">
        <f t="shared" si="16"/>
        <v>0</v>
      </c>
      <c r="AC48" s="97">
        <f t="shared" si="17"/>
        <v>0</v>
      </c>
      <c r="AD48" s="97">
        <f t="shared" si="18"/>
        <v>0</v>
      </c>
      <c r="AE48" s="96"/>
      <c r="AF48" s="97">
        <f t="shared" si="19"/>
        <v>0</v>
      </c>
      <c r="AG48" s="97">
        <f t="shared" si="20"/>
        <v>0</v>
      </c>
      <c r="AH48" s="97">
        <f t="shared" si="21"/>
        <v>0</v>
      </c>
      <c r="AI48" s="96"/>
      <c r="AJ48" s="97">
        <f t="shared" si="22"/>
        <v>0</v>
      </c>
      <c r="AK48" s="97">
        <f t="shared" si="23"/>
        <v>0</v>
      </c>
      <c r="AL48" s="97">
        <f t="shared" si="24"/>
        <v>0</v>
      </c>
      <c r="AM48" s="96"/>
      <c r="AN48" s="97">
        <f t="shared" si="25"/>
        <v>0</v>
      </c>
      <c r="AO48" s="97">
        <f t="shared" si="26"/>
        <v>0</v>
      </c>
      <c r="AP48" s="97">
        <f t="shared" si="27"/>
        <v>0</v>
      </c>
      <c r="AQ48" s="96"/>
      <c r="AR48" s="97">
        <f t="shared" si="28"/>
        <v>0</v>
      </c>
      <c r="AS48" s="97">
        <f t="shared" si="29"/>
        <v>0</v>
      </c>
      <c r="AT48" s="97">
        <f t="shared" si="30"/>
        <v>0</v>
      </c>
      <c r="AU48" s="96"/>
      <c r="AV48" s="97">
        <f t="shared" si="31"/>
        <v>0</v>
      </c>
      <c r="AW48" s="97">
        <f t="shared" si="32"/>
        <v>0</v>
      </c>
      <c r="AX48" s="97">
        <f t="shared" si="33"/>
        <v>0</v>
      </c>
      <c r="AY48" s="96"/>
      <c r="AZ48" s="65">
        <f t="shared" si="34"/>
        <v>0</v>
      </c>
      <c r="BA48" s="65">
        <f t="shared" si="35"/>
        <v>0</v>
      </c>
      <c r="BB48" s="65">
        <f t="shared" si="36"/>
        <v>0</v>
      </c>
    </row>
    <row r="49" spans="1:54" x14ac:dyDescent="0.2">
      <c r="A49" s="71"/>
      <c r="B49" s="96" t="s">
        <v>52</v>
      </c>
      <c r="C49" s="96"/>
      <c r="D49" s="97">
        <f t="shared" si="0"/>
        <v>0</v>
      </c>
      <c r="E49" s="97">
        <f t="shared" si="37"/>
        <v>0</v>
      </c>
      <c r="F49" s="97">
        <f t="shared" si="38"/>
        <v>0</v>
      </c>
      <c r="G49" s="96"/>
      <c r="H49" s="97">
        <f t="shared" si="1"/>
        <v>0</v>
      </c>
      <c r="I49" s="97">
        <f t="shared" si="2"/>
        <v>0</v>
      </c>
      <c r="J49" s="97">
        <f t="shared" si="3"/>
        <v>0</v>
      </c>
      <c r="K49" s="96"/>
      <c r="L49" s="97">
        <f t="shared" si="4"/>
        <v>0</v>
      </c>
      <c r="M49" s="97">
        <f t="shared" si="5"/>
        <v>0</v>
      </c>
      <c r="N49" s="97">
        <f t="shared" si="6"/>
        <v>0</v>
      </c>
      <c r="O49" s="96"/>
      <c r="P49" s="97">
        <f t="shared" si="7"/>
        <v>0</v>
      </c>
      <c r="Q49" s="97">
        <f t="shared" si="8"/>
        <v>0</v>
      </c>
      <c r="R49" s="97">
        <f t="shared" si="9"/>
        <v>0</v>
      </c>
      <c r="S49" s="96"/>
      <c r="T49" s="97">
        <f t="shared" si="10"/>
        <v>0</v>
      </c>
      <c r="U49" s="97">
        <f t="shared" si="11"/>
        <v>0</v>
      </c>
      <c r="V49" s="97">
        <f t="shared" si="12"/>
        <v>0</v>
      </c>
      <c r="W49" s="96"/>
      <c r="X49" s="97">
        <f t="shared" si="13"/>
        <v>0</v>
      </c>
      <c r="Y49" s="97">
        <f t="shared" si="14"/>
        <v>0</v>
      </c>
      <c r="Z49" s="97">
        <f t="shared" si="15"/>
        <v>0</v>
      </c>
      <c r="AA49" s="96"/>
      <c r="AB49" s="97">
        <f t="shared" si="16"/>
        <v>0</v>
      </c>
      <c r="AC49" s="97">
        <f t="shared" si="17"/>
        <v>0</v>
      </c>
      <c r="AD49" s="97">
        <f t="shared" si="18"/>
        <v>0</v>
      </c>
      <c r="AE49" s="96"/>
      <c r="AF49" s="97">
        <f t="shared" si="19"/>
        <v>0</v>
      </c>
      <c r="AG49" s="97">
        <f t="shared" si="20"/>
        <v>0</v>
      </c>
      <c r="AH49" s="97">
        <f t="shared" si="21"/>
        <v>0</v>
      </c>
      <c r="AI49" s="96"/>
      <c r="AJ49" s="97">
        <f t="shared" si="22"/>
        <v>0</v>
      </c>
      <c r="AK49" s="97">
        <f t="shared" si="23"/>
        <v>0</v>
      </c>
      <c r="AL49" s="97">
        <f t="shared" si="24"/>
        <v>0</v>
      </c>
      <c r="AM49" s="96"/>
      <c r="AN49" s="97">
        <f t="shared" si="25"/>
        <v>0</v>
      </c>
      <c r="AO49" s="97">
        <f t="shared" si="26"/>
        <v>0</v>
      </c>
      <c r="AP49" s="97">
        <f t="shared" si="27"/>
        <v>0</v>
      </c>
      <c r="AQ49" s="96"/>
      <c r="AR49" s="97">
        <f t="shared" si="28"/>
        <v>0</v>
      </c>
      <c r="AS49" s="97">
        <f t="shared" si="29"/>
        <v>0</v>
      </c>
      <c r="AT49" s="97">
        <f t="shared" si="30"/>
        <v>0</v>
      </c>
      <c r="AU49" s="96"/>
      <c r="AV49" s="97">
        <f t="shared" si="31"/>
        <v>0</v>
      </c>
      <c r="AW49" s="97">
        <f t="shared" si="32"/>
        <v>0</v>
      </c>
      <c r="AX49" s="97">
        <f t="shared" si="33"/>
        <v>0</v>
      </c>
      <c r="AY49" s="96"/>
      <c r="AZ49" s="65">
        <f t="shared" si="34"/>
        <v>0</v>
      </c>
      <c r="BA49" s="65">
        <f t="shared" si="35"/>
        <v>0</v>
      </c>
      <c r="BB49" s="65">
        <f t="shared" si="36"/>
        <v>0</v>
      </c>
    </row>
    <row r="50" spans="1:54" x14ac:dyDescent="0.2">
      <c r="A50" s="71"/>
      <c r="B50" s="96" t="s">
        <v>52</v>
      </c>
      <c r="C50" s="96"/>
      <c r="D50" s="97">
        <f t="shared" si="0"/>
        <v>0</v>
      </c>
      <c r="E50" s="97">
        <f t="shared" si="37"/>
        <v>0</v>
      </c>
      <c r="F50" s="97">
        <f t="shared" si="38"/>
        <v>0</v>
      </c>
      <c r="G50" s="96"/>
      <c r="H50" s="97">
        <f t="shared" si="1"/>
        <v>0</v>
      </c>
      <c r="I50" s="97">
        <f t="shared" si="2"/>
        <v>0</v>
      </c>
      <c r="J50" s="97">
        <f t="shared" si="3"/>
        <v>0</v>
      </c>
      <c r="K50" s="96"/>
      <c r="L50" s="97">
        <f t="shared" si="4"/>
        <v>0</v>
      </c>
      <c r="M50" s="97">
        <f t="shared" si="5"/>
        <v>0</v>
      </c>
      <c r="N50" s="97">
        <f t="shared" si="6"/>
        <v>0</v>
      </c>
      <c r="O50" s="96"/>
      <c r="P50" s="97">
        <f t="shared" si="7"/>
        <v>0</v>
      </c>
      <c r="Q50" s="97">
        <f t="shared" si="8"/>
        <v>0</v>
      </c>
      <c r="R50" s="97">
        <f t="shared" si="9"/>
        <v>0</v>
      </c>
      <c r="S50" s="96"/>
      <c r="T50" s="97">
        <f t="shared" si="10"/>
        <v>0</v>
      </c>
      <c r="U50" s="97">
        <f t="shared" si="11"/>
        <v>0</v>
      </c>
      <c r="V50" s="97">
        <f t="shared" si="12"/>
        <v>0</v>
      </c>
      <c r="W50" s="96"/>
      <c r="X50" s="97">
        <f t="shared" si="13"/>
        <v>0</v>
      </c>
      <c r="Y50" s="97">
        <f t="shared" si="14"/>
        <v>0</v>
      </c>
      <c r="Z50" s="97">
        <f t="shared" si="15"/>
        <v>0</v>
      </c>
      <c r="AA50" s="96"/>
      <c r="AB50" s="97">
        <f t="shared" si="16"/>
        <v>0</v>
      </c>
      <c r="AC50" s="97">
        <f t="shared" si="17"/>
        <v>0</v>
      </c>
      <c r="AD50" s="97">
        <f t="shared" si="18"/>
        <v>0</v>
      </c>
      <c r="AE50" s="96"/>
      <c r="AF50" s="97">
        <f t="shared" si="19"/>
        <v>0</v>
      </c>
      <c r="AG50" s="97">
        <f t="shared" si="20"/>
        <v>0</v>
      </c>
      <c r="AH50" s="97">
        <f t="shared" si="21"/>
        <v>0</v>
      </c>
      <c r="AI50" s="96"/>
      <c r="AJ50" s="97">
        <f t="shared" si="22"/>
        <v>0</v>
      </c>
      <c r="AK50" s="97">
        <f t="shared" si="23"/>
        <v>0</v>
      </c>
      <c r="AL50" s="97">
        <f t="shared" si="24"/>
        <v>0</v>
      </c>
      <c r="AM50" s="96"/>
      <c r="AN50" s="97">
        <f t="shared" si="25"/>
        <v>0</v>
      </c>
      <c r="AO50" s="97">
        <f t="shared" si="26"/>
        <v>0</v>
      </c>
      <c r="AP50" s="97">
        <f t="shared" si="27"/>
        <v>0</v>
      </c>
      <c r="AQ50" s="96"/>
      <c r="AR50" s="97">
        <f t="shared" si="28"/>
        <v>0</v>
      </c>
      <c r="AS50" s="97">
        <f t="shared" si="29"/>
        <v>0</v>
      </c>
      <c r="AT50" s="97">
        <f t="shared" si="30"/>
        <v>0</v>
      </c>
      <c r="AU50" s="96"/>
      <c r="AV50" s="97">
        <f t="shared" si="31"/>
        <v>0</v>
      </c>
      <c r="AW50" s="97">
        <f t="shared" si="32"/>
        <v>0</v>
      </c>
      <c r="AX50" s="97">
        <f t="shared" si="33"/>
        <v>0</v>
      </c>
      <c r="AY50" s="96"/>
      <c r="AZ50" s="65">
        <f t="shared" si="34"/>
        <v>0</v>
      </c>
      <c r="BA50" s="65">
        <f t="shared" si="35"/>
        <v>0</v>
      </c>
      <c r="BB50" s="65">
        <f t="shared" si="36"/>
        <v>0</v>
      </c>
    </row>
    <row r="51" spans="1:54" x14ac:dyDescent="0.2">
      <c r="A51" s="71"/>
      <c r="B51" s="96" t="s">
        <v>52</v>
      </c>
      <c r="C51" s="96"/>
      <c r="D51" s="97">
        <f t="shared" si="0"/>
        <v>0</v>
      </c>
      <c r="E51" s="97">
        <f t="shared" si="37"/>
        <v>0</v>
      </c>
      <c r="F51" s="97">
        <f t="shared" si="38"/>
        <v>0</v>
      </c>
      <c r="G51" s="96"/>
      <c r="H51" s="97">
        <f t="shared" si="1"/>
        <v>0</v>
      </c>
      <c r="I51" s="97">
        <f t="shared" si="2"/>
        <v>0</v>
      </c>
      <c r="J51" s="97">
        <f t="shared" si="3"/>
        <v>0</v>
      </c>
      <c r="K51" s="96"/>
      <c r="L51" s="97">
        <f t="shared" si="4"/>
        <v>0</v>
      </c>
      <c r="M51" s="97">
        <f t="shared" si="5"/>
        <v>0</v>
      </c>
      <c r="N51" s="97">
        <f t="shared" si="6"/>
        <v>0</v>
      </c>
      <c r="O51" s="96"/>
      <c r="P51" s="97">
        <f t="shared" si="7"/>
        <v>0</v>
      </c>
      <c r="Q51" s="97">
        <f t="shared" si="8"/>
        <v>0</v>
      </c>
      <c r="R51" s="97">
        <f t="shared" si="9"/>
        <v>0</v>
      </c>
      <c r="S51" s="96"/>
      <c r="T51" s="97">
        <f t="shared" si="10"/>
        <v>0</v>
      </c>
      <c r="U51" s="97">
        <f t="shared" si="11"/>
        <v>0</v>
      </c>
      <c r="V51" s="97">
        <f t="shared" si="12"/>
        <v>0</v>
      </c>
      <c r="W51" s="96"/>
      <c r="X51" s="97">
        <f t="shared" si="13"/>
        <v>0</v>
      </c>
      <c r="Y51" s="97">
        <f t="shared" si="14"/>
        <v>0</v>
      </c>
      <c r="Z51" s="97">
        <f t="shared" si="15"/>
        <v>0</v>
      </c>
      <c r="AA51" s="96"/>
      <c r="AB51" s="97">
        <f t="shared" si="16"/>
        <v>0</v>
      </c>
      <c r="AC51" s="97">
        <f t="shared" si="17"/>
        <v>0</v>
      </c>
      <c r="AD51" s="97">
        <f t="shared" si="18"/>
        <v>0</v>
      </c>
      <c r="AE51" s="96"/>
      <c r="AF51" s="97">
        <f t="shared" si="19"/>
        <v>0</v>
      </c>
      <c r="AG51" s="97">
        <f t="shared" si="20"/>
        <v>0</v>
      </c>
      <c r="AH51" s="97">
        <f t="shared" si="21"/>
        <v>0</v>
      </c>
      <c r="AI51" s="96"/>
      <c r="AJ51" s="97">
        <f t="shared" si="22"/>
        <v>0</v>
      </c>
      <c r="AK51" s="97">
        <f t="shared" si="23"/>
        <v>0</v>
      </c>
      <c r="AL51" s="97">
        <f t="shared" si="24"/>
        <v>0</v>
      </c>
      <c r="AM51" s="96"/>
      <c r="AN51" s="97">
        <f t="shared" si="25"/>
        <v>0</v>
      </c>
      <c r="AO51" s="97">
        <f t="shared" si="26"/>
        <v>0</v>
      </c>
      <c r="AP51" s="97">
        <f t="shared" si="27"/>
        <v>0</v>
      </c>
      <c r="AQ51" s="96"/>
      <c r="AR51" s="97">
        <f t="shared" si="28"/>
        <v>0</v>
      </c>
      <c r="AS51" s="97">
        <f t="shared" si="29"/>
        <v>0</v>
      </c>
      <c r="AT51" s="97">
        <f t="shared" si="30"/>
        <v>0</v>
      </c>
      <c r="AU51" s="96"/>
      <c r="AV51" s="97">
        <f t="shared" si="31"/>
        <v>0</v>
      </c>
      <c r="AW51" s="97">
        <f t="shared" si="32"/>
        <v>0</v>
      </c>
      <c r="AX51" s="97">
        <f t="shared" si="33"/>
        <v>0</v>
      </c>
      <c r="AY51" s="96"/>
      <c r="AZ51" s="65">
        <f t="shared" si="34"/>
        <v>0</v>
      </c>
      <c r="BA51" s="65">
        <f t="shared" si="35"/>
        <v>0</v>
      </c>
      <c r="BB51" s="65">
        <f t="shared" si="36"/>
        <v>0</v>
      </c>
    </row>
    <row r="52" spans="1:54" x14ac:dyDescent="0.2">
      <c r="A52" s="71"/>
      <c r="B52" s="96" t="s">
        <v>52</v>
      </c>
      <c r="C52" s="96"/>
      <c r="D52" s="97">
        <f t="shared" si="0"/>
        <v>0</v>
      </c>
      <c r="E52" s="97">
        <f t="shared" si="37"/>
        <v>0</v>
      </c>
      <c r="F52" s="97">
        <f t="shared" si="38"/>
        <v>0</v>
      </c>
      <c r="G52" s="96"/>
      <c r="H52" s="97">
        <f t="shared" si="1"/>
        <v>0</v>
      </c>
      <c r="I52" s="97">
        <f t="shared" si="2"/>
        <v>0</v>
      </c>
      <c r="J52" s="97">
        <f t="shared" si="3"/>
        <v>0</v>
      </c>
      <c r="K52" s="96"/>
      <c r="L52" s="97">
        <f t="shared" si="4"/>
        <v>0</v>
      </c>
      <c r="M52" s="97">
        <f t="shared" si="5"/>
        <v>0</v>
      </c>
      <c r="N52" s="97">
        <f t="shared" si="6"/>
        <v>0</v>
      </c>
      <c r="O52" s="96"/>
      <c r="P52" s="97">
        <f t="shared" si="7"/>
        <v>0</v>
      </c>
      <c r="Q52" s="97">
        <f t="shared" si="8"/>
        <v>0</v>
      </c>
      <c r="R52" s="97">
        <f t="shared" si="9"/>
        <v>0</v>
      </c>
      <c r="S52" s="96"/>
      <c r="T52" s="97">
        <f t="shared" si="10"/>
        <v>0</v>
      </c>
      <c r="U52" s="97">
        <f t="shared" si="11"/>
        <v>0</v>
      </c>
      <c r="V52" s="97">
        <f t="shared" si="12"/>
        <v>0</v>
      </c>
      <c r="W52" s="96"/>
      <c r="X52" s="97">
        <f t="shared" si="13"/>
        <v>0</v>
      </c>
      <c r="Y52" s="97">
        <f t="shared" si="14"/>
        <v>0</v>
      </c>
      <c r="Z52" s="97">
        <f t="shared" si="15"/>
        <v>0</v>
      </c>
      <c r="AA52" s="96"/>
      <c r="AB52" s="97">
        <f t="shared" si="16"/>
        <v>0</v>
      </c>
      <c r="AC52" s="97">
        <f t="shared" si="17"/>
        <v>0</v>
      </c>
      <c r="AD52" s="97">
        <f t="shared" si="18"/>
        <v>0</v>
      </c>
      <c r="AE52" s="96"/>
      <c r="AF52" s="97">
        <f t="shared" si="19"/>
        <v>0</v>
      </c>
      <c r="AG52" s="97">
        <f t="shared" si="20"/>
        <v>0</v>
      </c>
      <c r="AH52" s="97">
        <f t="shared" si="21"/>
        <v>0</v>
      </c>
      <c r="AI52" s="96"/>
      <c r="AJ52" s="97">
        <f t="shared" si="22"/>
        <v>0</v>
      </c>
      <c r="AK52" s="97">
        <f t="shared" si="23"/>
        <v>0</v>
      </c>
      <c r="AL52" s="97">
        <f t="shared" si="24"/>
        <v>0</v>
      </c>
      <c r="AM52" s="96"/>
      <c r="AN52" s="97">
        <f t="shared" si="25"/>
        <v>0</v>
      </c>
      <c r="AO52" s="97">
        <f t="shared" si="26"/>
        <v>0</v>
      </c>
      <c r="AP52" s="97">
        <f t="shared" si="27"/>
        <v>0</v>
      </c>
      <c r="AQ52" s="96"/>
      <c r="AR52" s="97">
        <f t="shared" si="28"/>
        <v>0</v>
      </c>
      <c r="AS52" s="97">
        <f t="shared" si="29"/>
        <v>0</v>
      </c>
      <c r="AT52" s="97">
        <f t="shared" si="30"/>
        <v>0</v>
      </c>
      <c r="AU52" s="96"/>
      <c r="AV52" s="97">
        <f t="shared" si="31"/>
        <v>0</v>
      </c>
      <c r="AW52" s="97">
        <f t="shared" si="32"/>
        <v>0</v>
      </c>
      <c r="AX52" s="97">
        <f t="shared" si="33"/>
        <v>0</v>
      </c>
      <c r="AY52" s="96"/>
      <c r="AZ52" s="65">
        <f t="shared" si="34"/>
        <v>0</v>
      </c>
      <c r="BA52" s="65">
        <f t="shared" si="35"/>
        <v>0</v>
      </c>
      <c r="BB52" s="65">
        <f t="shared" si="36"/>
        <v>0</v>
      </c>
    </row>
    <row r="53" spans="1:54" x14ac:dyDescent="0.2">
      <c r="A53" s="71"/>
      <c r="B53" s="96" t="s">
        <v>52</v>
      </c>
      <c r="C53" s="96"/>
      <c r="D53" s="97">
        <f t="shared" si="0"/>
        <v>0</v>
      </c>
      <c r="E53" s="97">
        <f t="shared" si="37"/>
        <v>0</v>
      </c>
      <c r="F53" s="97">
        <f t="shared" si="38"/>
        <v>0</v>
      </c>
      <c r="G53" s="96"/>
      <c r="H53" s="97">
        <f t="shared" si="1"/>
        <v>0</v>
      </c>
      <c r="I53" s="97">
        <f t="shared" si="2"/>
        <v>0</v>
      </c>
      <c r="J53" s="97">
        <f t="shared" si="3"/>
        <v>0</v>
      </c>
      <c r="K53" s="96"/>
      <c r="L53" s="97">
        <f t="shared" si="4"/>
        <v>0</v>
      </c>
      <c r="M53" s="97">
        <f t="shared" si="5"/>
        <v>0</v>
      </c>
      <c r="N53" s="97">
        <f t="shared" si="6"/>
        <v>0</v>
      </c>
      <c r="O53" s="96"/>
      <c r="P53" s="97">
        <f t="shared" si="7"/>
        <v>0</v>
      </c>
      <c r="Q53" s="97">
        <f t="shared" si="8"/>
        <v>0</v>
      </c>
      <c r="R53" s="97">
        <f t="shared" si="9"/>
        <v>0</v>
      </c>
      <c r="S53" s="96"/>
      <c r="T53" s="97">
        <f t="shared" si="10"/>
        <v>0</v>
      </c>
      <c r="U53" s="97">
        <f t="shared" si="11"/>
        <v>0</v>
      </c>
      <c r="V53" s="97">
        <f t="shared" si="12"/>
        <v>0</v>
      </c>
      <c r="W53" s="96"/>
      <c r="X53" s="97">
        <f t="shared" si="13"/>
        <v>0</v>
      </c>
      <c r="Y53" s="97">
        <f t="shared" si="14"/>
        <v>0</v>
      </c>
      <c r="Z53" s="97">
        <f t="shared" si="15"/>
        <v>0</v>
      </c>
      <c r="AA53" s="96"/>
      <c r="AB53" s="97">
        <f t="shared" si="16"/>
        <v>0</v>
      </c>
      <c r="AC53" s="97">
        <f t="shared" si="17"/>
        <v>0</v>
      </c>
      <c r="AD53" s="97">
        <f t="shared" si="18"/>
        <v>0</v>
      </c>
      <c r="AE53" s="96"/>
      <c r="AF53" s="97">
        <f t="shared" si="19"/>
        <v>0</v>
      </c>
      <c r="AG53" s="97">
        <f t="shared" si="20"/>
        <v>0</v>
      </c>
      <c r="AH53" s="97">
        <f t="shared" si="21"/>
        <v>0</v>
      </c>
      <c r="AI53" s="96"/>
      <c r="AJ53" s="97">
        <f t="shared" si="22"/>
        <v>0</v>
      </c>
      <c r="AK53" s="97">
        <f t="shared" si="23"/>
        <v>0</v>
      </c>
      <c r="AL53" s="97">
        <f t="shared" si="24"/>
        <v>0</v>
      </c>
      <c r="AM53" s="96"/>
      <c r="AN53" s="97">
        <f t="shared" si="25"/>
        <v>0</v>
      </c>
      <c r="AO53" s="97">
        <f t="shared" si="26"/>
        <v>0</v>
      </c>
      <c r="AP53" s="97">
        <f t="shared" si="27"/>
        <v>0</v>
      </c>
      <c r="AQ53" s="96"/>
      <c r="AR53" s="97">
        <f t="shared" si="28"/>
        <v>0</v>
      </c>
      <c r="AS53" s="97">
        <f t="shared" si="29"/>
        <v>0</v>
      </c>
      <c r="AT53" s="97">
        <f t="shared" si="30"/>
        <v>0</v>
      </c>
      <c r="AU53" s="96"/>
      <c r="AV53" s="97">
        <f t="shared" si="31"/>
        <v>0</v>
      </c>
      <c r="AW53" s="97">
        <f t="shared" si="32"/>
        <v>0</v>
      </c>
      <c r="AX53" s="97">
        <f t="shared" si="33"/>
        <v>0</v>
      </c>
      <c r="AY53" s="96"/>
      <c r="AZ53" s="65">
        <f t="shared" si="34"/>
        <v>0</v>
      </c>
      <c r="BA53" s="65">
        <f t="shared" si="35"/>
        <v>0</v>
      </c>
      <c r="BB53" s="65">
        <f t="shared" si="36"/>
        <v>0</v>
      </c>
    </row>
    <row r="54" spans="1:54" x14ac:dyDescent="0.2">
      <c r="A54" s="71"/>
      <c r="B54" s="96" t="s">
        <v>52</v>
      </c>
      <c r="C54" s="96"/>
      <c r="D54" s="97">
        <f t="shared" si="0"/>
        <v>0</v>
      </c>
      <c r="E54" s="97">
        <f t="shared" si="37"/>
        <v>0</v>
      </c>
      <c r="F54" s="97">
        <f t="shared" si="38"/>
        <v>0</v>
      </c>
      <c r="G54" s="96"/>
      <c r="H54" s="97">
        <f t="shared" si="1"/>
        <v>0</v>
      </c>
      <c r="I54" s="97">
        <f t="shared" si="2"/>
        <v>0</v>
      </c>
      <c r="J54" s="97">
        <f t="shared" si="3"/>
        <v>0</v>
      </c>
      <c r="K54" s="96"/>
      <c r="L54" s="97">
        <f t="shared" si="4"/>
        <v>0</v>
      </c>
      <c r="M54" s="97">
        <f t="shared" si="5"/>
        <v>0</v>
      </c>
      <c r="N54" s="97">
        <f t="shared" si="6"/>
        <v>0</v>
      </c>
      <c r="O54" s="96"/>
      <c r="P54" s="97">
        <f t="shared" si="7"/>
        <v>0</v>
      </c>
      <c r="Q54" s="97">
        <f t="shared" si="8"/>
        <v>0</v>
      </c>
      <c r="R54" s="97">
        <f t="shared" si="9"/>
        <v>0</v>
      </c>
      <c r="S54" s="96"/>
      <c r="T54" s="97">
        <f t="shared" si="10"/>
        <v>0</v>
      </c>
      <c r="U54" s="97">
        <f t="shared" si="11"/>
        <v>0</v>
      </c>
      <c r="V54" s="97">
        <f t="shared" si="12"/>
        <v>0</v>
      </c>
      <c r="W54" s="96"/>
      <c r="X54" s="97">
        <f t="shared" si="13"/>
        <v>0</v>
      </c>
      <c r="Y54" s="97">
        <f t="shared" si="14"/>
        <v>0</v>
      </c>
      <c r="Z54" s="97">
        <f t="shared" si="15"/>
        <v>0</v>
      </c>
      <c r="AA54" s="96"/>
      <c r="AB54" s="97">
        <f t="shared" si="16"/>
        <v>0</v>
      </c>
      <c r="AC54" s="97">
        <f t="shared" si="17"/>
        <v>0</v>
      </c>
      <c r="AD54" s="97">
        <f t="shared" si="18"/>
        <v>0</v>
      </c>
      <c r="AE54" s="96"/>
      <c r="AF54" s="97">
        <f t="shared" si="19"/>
        <v>0</v>
      </c>
      <c r="AG54" s="97">
        <f t="shared" si="20"/>
        <v>0</v>
      </c>
      <c r="AH54" s="97">
        <f t="shared" si="21"/>
        <v>0</v>
      </c>
      <c r="AI54" s="96"/>
      <c r="AJ54" s="97">
        <f t="shared" si="22"/>
        <v>0</v>
      </c>
      <c r="AK54" s="97">
        <f t="shared" si="23"/>
        <v>0</v>
      </c>
      <c r="AL54" s="97">
        <f t="shared" si="24"/>
        <v>0</v>
      </c>
      <c r="AM54" s="96"/>
      <c r="AN54" s="97">
        <f t="shared" si="25"/>
        <v>0</v>
      </c>
      <c r="AO54" s="97">
        <f t="shared" si="26"/>
        <v>0</v>
      </c>
      <c r="AP54" s="97">
        <f t="shared" si="27"/>
        <v>0</v>
      </c>
      <c r="AQ54" s="96"/>
      <c r="AR54" s="97">
        <f t="shared" si="28"/>
        <v>0</v>
      </c>
      <c r="AS54" s="97">
        <f t="shared" si="29"/>
        <v>0</v>
      </c>
      <c r="AT54" s="97">
        <f t="shared" si="30"/>
        <v>0</v>
      </c>
      <c r="AU54" s="96"/>
      <c r="AV54" s="97">
        <f t="shared" si="31"/>
        <v>0</v>
      </c>
      <c r="AW54" s="97">
        <f t="shared" si="32"/>
        <v>0</v>
      </c>
      <c r="AX54" s="97">
        <f t="shared" si="33"/>
        <v>0</v>
      </c>
      <c r="AY54" s="96"/>
      <c r="AZ54" s="65">
        <f t="shared" si="34"/>
        <v>0</v>
      </c>
      <c r="BA54" s="65">
        <f t="shared" si="35"/>
        <v>0</v>
      </c>
      <c r="BB54" s="65">
        <f t="shared" si="36"/>
        <v>0</v>
      </c>
    </row>
    <row r="55" spans="1:54" x14ac:dyDescent="0.2">
      <c r="A55" s="71"/>
      <c r="B55" s="96" t="s">
        <v>52</v>
      </c>
      <c r="C55" s="96"/>
      <c r="D55" s="97">
        <f t="shared" si="0"/>
        <v>0</v>
      </c>
      <c r="E55" s="97">
        <f t="shared" si="37"/>
        <v>0</v>
      </c>
      <c r="F55" s="97">
        <f t="shared" si="38"/>
        <v>0</v>
      </c>
      <c r="G55" s="96"/>
      <c r="H55" s="97">
        <f t="shared" si="1"/>
        <v>0</v>
      </c>
      <c r="I55" s="97">
        <f t="shared" si="2"/>
        <v>0</v>
      </c>
      <c r="J55" s="97">
        <f t="shared" si="3"/>
        <v>0</v>
      </c>
      <c r="K55" s="96"/>
      <c r="L55" s="97">
        <f t="shared" si="4"/>
        <v>0</v>
      </c>
      <c r="M55" s="97">
        <f t="shared" si="5"/>
        <v>0</v>
      </c>
      <c r="N55" s="97">
        <f t="shared" si="6"/>
        <v>0</v>
      </c>
      <c r="O55" s="96"/>
      <c r="P55" s="97">
        <f t="shared" si="7"/>
        <v>0</v>
      </c>
      <c r="Q55" s="97">
        <f t="shared" si="8"/>
        <v>0</v>
      </c>
      <c r="R55" s="97">
        <f t="shared" si="9"/>
        <v>0</v>
      </c>
      <c r="S55" s="96"/>
      <c r="T55" s="97">
        <f t="shared" si="10"/>
        <v>0</v>
      </c>
      <c r="U55" s="97">
        <f t="shared" si="11"/>
        <v>0</v>
      </c>
      <c r="V55" s="97">
        <f t="shared" si="12"/>
        <v>0</v>
      </c>
      <c r="W55" s="96"/>
      <c r="X55" s="97">
        <f t="shared" si="13"/>
        <v>0</v>
      </c>
      <c r="Y55" s="97">
        <f t="shared" si="14"/>
        <v>0</v>
      </c>
      <c r="Z55" s="97">
        <f t="shared" si="15"/>
        <v>0</v>
      </c>
      <c r="AA55" s="96"/>
      <c r="AB55" s="97">
        <f t="shared" si="16"/>
        <v>0</v>
      </c>
      <c r="AC55" s="97">
        <f t="shared" si="17"/>
        <v>0</v>
      </c>
      <c r="AD55" s="97">
        <f t="shared" si="18"/>
        <v>0</v>
      </c>
      <c r="AE55" s="96"/>
      <c r="AF55" s="97">
        <f t="shared" si="19"/>
        <v>0</v>
      </c>
      <c r="AG55" s="97">
        <f t="shared" si="20"/>
        <v>0</v>
      </c>
      <c r="AH55" s="97">
        <f t="shared" si="21"/>
        <v>0</v>
      </c>
      <c r="AI55" s="96"/>
      <c r="AJ55" s="97">
        <f t="shared" si="22"/>
        <v>0</v>
      </c>
      <c r="AK55" s="97">
        <f t="shared" si="23"/>
        <v>0</v>
      </c>
      <c r="AL55" s="97">
        <f t="shared" si="24"/>
        <v>0</v>
      </c>
      <c r="AM55" s="96"/>
      <c r="AN55" s="97">
        <f t="shared" si="25"/>
        <v>0</v>
      </c>
      <c r="AO55" s="97">
        <f t="shared" si="26"/>
        <v>0</v>
      </c>
      <c r="AP55" s="97">
        <f t="shared" si="27"/>
        <v>0</v>
      </c>
      <c r="AQ55" s="96"/>
      <c r="AR55" s="97">
        <f t="shared" si="28"/>
        <v>0</v>
      </c>
      <c r="AS55" s="97">
        <f t="shared" si="29"/>
        <v>0</v>
      </c>
      <c r="AT55" s="97">
        <f t="shared" si="30"/>
        <v>0</v>
      </c>
      <c r="AU55" s="96"/>
      <c r="AV55" s="97">
        <f t="shared" si="31"/>
        <v>0</v>
      </c>
      <c r="AW55" s="97">
        <f t="shared" si="32"/>
        <v>0</v>
      </c>
      <c r="AX55" s="97">
        <f t="shared" si="33"/>
        <v>0</v>
      </c>
      <c r="AY55" s="96"/>
      <c r="AZ55" s="65">
        <f t="shared" si="34"/>
        <v>0</v>
      </c>
      <c r="BA55" s="65">
        <f t="shared" si="35"/>
        <v>0</v>
      </c>
      <c r="BB55" s="65">
        <f t="shared" si="36"/>
        <v>0</v>
      </c>
    </row>
    <row r="56" spans="1:54" x14ac:dyDescent="0.2">
      <c r="A56" s="71"/>
      <c r="B56" s="96" t="s">
        <v>52</v>
      </c>
      <c r="C56" s="96"/>
      <c r="D56" s="97">
        <f t="shared" si="0"/>
        <v>0</v>
      </c>
      <c r="E56" s="97">
        <f t="shared" si="37"/>
        <v>0</v>
      </c>
      <c r="F56" s="97">
        <f t="shared" si="38"/>
        <v>0</v>
      </c>
      <c r="G56" s="96"/>
      <c r="H56" s="97">
        <f t="shared" si="1"/>
        <v>0</v>
      </c>
      <c r="I56" s="97">
        <f t="shared" si="2"/>
        <v>0</v>
      </c>
      <c r="J56" s="97">
        <f t="shared" si="3"/>
        <v>0</v>
      </c>
      <c r="K56" s="96"/>
      <c r="L56" s="97">
        <f t="shared" si="4"/>
        <v>0</v>
      </c>
      <c r="M56" s="97">
        <f t="shared" si="5"/>
        <v>0</v>
      </c>
      <c r="N56" s="97">
        <f t="shared" si="6"/>
        <v>0</v>
      </c>
      <c r="O56" s="96"/>
      <c r="P56" s="97">
        <f t="shared" si="7"/>
        <v>0</v>
      </c>
      <c r="Q56" s="97">
        <f t="shared" si="8"/>
        <v>0</v>
      </c>
      <c r="R56" s="97">
        <f t="shared" si="9"/>
        <v>0</v>
      </c>
      <c r="S56" s="96"/>
      <c r="T56" s="97">
        <f t="shared" si="10"/>
        <v>0</v>
      </c>
      <c r="U56" s="97">
        <f t="shared" si="11"/>
        <v>0</v>
      </c>
      <c r="V56" s="97">
        <f t="shared" si="12"/>
        <v>0</v>
      </c>
      <c r="W56" s="96"/>
      <c r="X56" s="97">
        <f t="shared" si="13"/>
        <v>0</v>
      </c>
      <c r="Y56" s="97">
        <f t="shared" si="14"/>
        <v>0</v>
      </c>
      <c r="Z56" s="97">
        <f t="shared" si="15"/>
        <v>0</v>
      </c>
      <c r="AA56" s="96"/>
      <c r="AB56" s="97">
        <f t="shared" si="16"/>
        <v>0</v>
      </c>
      <c r="AC56" s="97">
        <f t="shared" si="17"/>
        <v>0</v>
      </c>
      <c r="AD56" s="97">
        <f t="shared" si="18"/>
        <v>0</v>
      </c>
      <c r="AE56" s="96"/>
      <c r="AF56" s="97">
        <f t="shared" si="19"/>
        <v>0</v>
      </c>
      <c r="AG56" s="97">
        <f t="shared" si="20"/>
        <v>0</v>
      </c>
      <c r="AH56" s="97">
        <f t="shared" si="21"/>
        <v>0</v>
      </c>
      <c r="AI56" s="96"/>
      <c r="AJ56" s="97">
        <f t="shared" si="22"/>
        <v>0</v>
      </c>
      <c r="AK56" s="97">
        <f t="shared" si="23"/>
        <v>0</v>
      </c>
      <c r="AL56" s="97">
        <f t="shared" si="24"/>
        <v>0</v>
      </c>
      <c r="AM56" s="96"/>
      <c r="AN56" s="97">
        <f t="shared" si="25"/>
        <v>0</v>
      </c>
      <c r="AO56" s="97">
        <f t="shared" si="26"/>
        <v>0</v>
      </c>
      <c r="AP56" s="97">
        <f t="shared" si="27"/>
        <v>0</v>
      </c>
      <c r="AQ56" s="96"/>
      <c r="AR56" s="97">
        <f t="shared" si="28"/>
        <v>0</v>
      </c>
      <c r="AS56" s="97">
        <f t="shared" si="29"/>
        <v>0</v>
      </c>
      <c r="AT56" s="97">
        <f t="shared" si="30"/>
        <v>0</v>
      </c>
      <c r="AU56" s="96"/>
      <c r="AV56" s="97">
        <f t="shared" si="31"/>
        <v>0</v>
      </c>
      <c r="AW56" s="97">
        <f t="shared" si="32"/>
        <v>0</v>
      </c>
      <c r="AX56" s="97">
        <f t="shared" si="33"/>
        <v>0</v>
      </c>
      <c r="AY56" s="96"/>
      <c r="AZ56" s="65">
        <f t="shared" si="34"/>
        <v>0</v>
      </c>
      <c r="BA56" s="65">
        <f t="shared" si="35"/>
        <v>0</v>
      </c>
      <c r="BB56" s="65">
        <f t="shared" si="36"/>
        <v>0</v>
      </c>
    </row>
    <row r="57" spans="1:54" x14ac:dyDescent="0.2">
      <c r="A57" s="71"/>
      <c r="B57" s="96" t="s">
        <v>52</v>
      </c>
      <c r="C57" s="96"/>
      <c r="D57" s="97">
        <f t="shared" si="0"/>
        <v>0</v>
      </c>
      <c r="E57" s="97">
        <f t="shared" si="37"/>
        <v>0</v>
      </c>
      <c r="F57" s="97">
        <f t="shared" si="38"/>
        <v>0</v>
      </c>
      <c r="G57" s="96"/>
      <c r="H57" s="97">
        <f t="shared" si="1"/>
        <v>0</v>
      </c>
      <c r="I57" s="97">
        <f t="shared" si="2"/>
        <v>0</v>
      </c>
      <c r="J57" s="97">
        <f t="shared" si="3"/>
        <v>0</v>
      </c>
      <c r="K57" s="96"/>
      <c r="L57" s="97">
        <f t="shared" si="4"/>
        <v>0</v>
      </c>
      <c r="M57" s="97">
        <f t="shared" si="5"/>
        <v>0</v>
      </c>
      <c r="N57" s="97">
        <f t="shared" si="6"/>
        <v>0</v>
      </c>
      <c r="O57" s="96"/>
      <c r="P57" s="97">
        <f t="shared" si="7"/>
        <v>0</v>
      </c>
      <c r="Q57" s="97">
        <f t="shared" si="8"/>
        <v>0</v>
      </c>
      <c r="R57" s="97">
        <f t="shared" si="9"/>
        <v>0</v>
      </c>
      <c r="S57" s="96"/>
      <c r="T57" s="97">
        <f t="shared" si="10"/>
        <v>0</v>
      </c>
      <c r="U57" s="97">
        <f t="shared" si="11"/>
        <v>0</v>
      </c>
      <c r="V57" s="97">
        <f t="shared" si="12"/>
        <v>0</v>
      </c>
      <c r="W57" s="96"/>
      <c r="X57" s="97">
        <f t="shared" si="13"/>
        <v>0</v>
      </c>
      <c r="Y57" s="97">
        <f t="shared" si="14"/>
        <v>0</v>
      </c>
      <c r="Z57" s="97">
        <f t="shared" si="15"/>
        <v>0</v>
      </c>
      <c r="AA57" s="96"/>
      <c r="AB57" s="97">
        <f t="shared" si="16"/>
        <v>0</v>
      </c>
      <c r="AC57" s="97">
        <f t="shared" si="17"/>
        <v>0</v>
      </c>
      <c r="AD57" s="97">
        <f t="shared" si="18"/>
        <v>0</v>
      </c>
      <c r="AE57" s="96"/>
      <c r="AF57" s="97">
        <f t="shared" si="19"/>
        <v>0</v>
      </c>
      <c r="AG57" s="97">
        <f t="shared" si="20"/>
        <v>0</v>
      </c>
      <c r="AH57" s="97">
        <f t="shared" si="21"/>
        <v>0</v>
      </c>
      <c r="AI57" s="96"/>
      <c r="AJ57" s="97">
        <f t="shared" si="22"/>
        <v>0</v>
      </c>
      <c r="AK57" s="97">
        <f t="shared" si="23"/>
        <v>0</v>
      </c>
      <c r="AL57" s="97">
        <f t="shared" si="24"/>
        <v>0</v>
      </c>
      <c r="AM57" s="96"/>
      <c r="AN57" s="97">
        <f t="shared" si="25"/>
        <v>0</v>
      </c>
      <c r="AO57" s="97">
        <f t="shared" si="26"/>
        <v>0</v>
      </c>
      <c r="AP57" s="97">
        <f t="shared" si="27"/>
        <v>0</v>
      </c>
      <c r="AQ57" s="96"/>
      <c r="AR57" s="97">
        <f t="shared" si="28"/>
        <v>0</v>
      </c>
      <c r="AS57" s="97">
        <f t="shared" si="29"/>
        <v>0</v>
      </c>
      <c r="AT57" s="97">
        <f t="shared" si="30"/>
        <v>0</v>
      </c>
      <c r="AU57" s="96"/>
      <c r="AV57" s="97">
        <f t="shared" si="31"/>
        <v>0</v>
      </c>
      <c r="AW57" s="97">
        <f t="shared" si="32"/>
        <v>0</v>
      </c>
      <c r="AX57" s="97">
        <f t="shared" si="33"/>
        <v>0</v>
      </c>
      <c r="AY57" s="96"/>
      <c r="AZ57" s="65">
        <f t="shared" si="34"/>
        <v>0</v>
      </c>
      <c r="BA57" s="65">
        <f t="shared" si="35"/>
        <v>0</v>
      </c>
      <c r="BB57" s="65">
        <f t="shared" si="36"/>
        <v>0</v>
      </c>
    </row>
    <row r="58" spans="1:54" x14ac:dyDescent="0.2">
      <c r="A58" s="71"/>
      <c r="B58" s="96" t="s">
        <v>52</v>
      </c>
      <c r="C58" s="96"/>
      <c r="D58" s="97">
        <f t="shared" si="0"/>
        <v>0</v>
      </c>
      <c r="E58" s="97">
        <f t="shared" si="37"/>
        <v>0</v>
      </c>
      <c r="F58" s="97">
        <f t="shared" si="38"/>
        <v>0</v>
      </c>
      <c r="G58" s="96"/>
      <c r="H58" s="97">
        <f t="shared" si="1"/>
        <v>0</v>
      </c>
      <c r="I58" s="97">
        <f t="shared" si="2"/>
        <v>0</v>
      </c>
      <c r="J58" s="97">
        <f t="shared" si="3"/>
        <v>0</v>
      </c>
      <c r="K58" s="96"/>
      <c r="L58" s="97">
        <f t="shared" si="4"/>
        <v>0</v>
      </c>
      <c r="M58" s="97">
        <f t="shared" si="5"/>
        <v>0</v>
      </c>
      <c r="N58" s="97">
        <f t="shared" si="6"/>
        <v>0</v>
      </c>
      <c r="O58" s="96"/>
      <c r="P58" s="97">
        <f t="shared" si="7"/>
        <v>0</v>
      </c>
      <c r="Q58" s="97">
        <f t="shared" si="8"/>
        <v>0</v>
      </c>
      <c r="R58" s="97">
        <f t="shared" si="9"/>
        <v>0</v>
      </c>
      <c r="S58" s="96"/>
      <c r="T58" s="97">
        <f t="shared" si="10"/>
        <v>0</v>
      </c>
      <c r="U58" s="97">
        <f t="shared" si="11"/>
        <v>0</v>
      </c>
      <c r="V58" s="97">
        <f t="shared" si="12"/>
        <v>0</v>
      </c>
      <c r="W58" s="96"/>
      <c r="X58" s="97">
        <f t="shared" si="13"/>
        <v>0</v>
      </c>
      <c r="Y58" s="97">
        <f t="shared" si="14"/>
        <v>0</v>
      </c>
      <c r="Z58" s="97">
        <f t="shared" si="15"/>
        <v>0</v>
      </c>
      <c r="AA58" s="96"/>
      <c r="AB58" s="97">
        <f t="shared" si="16"/>
        <v>0</v>
      </c>
      <c r="AC58" s="97">
        <f t="shared" si="17"/>
        <v>0</v>
      </c>
      <c r="AD58" s="97">
        <f t="shared" si="18"/>
        <v>0</v>
      </c>
      <c r="AE58" s="96"/>
      <c r="AF58" s="97">
        <f t="shared" si="19"/>
        <v>0</v>
      </c>
      <c r="AG58" s="97">
        <f t="shared" si="20"/>
        <v>0</v>
      </c>
      <c r="AH58" s="97">
        <f t="shared" si="21"/>
        <v>0</v>
      </c>
      <c r="AI58" s="96"/>
      <c r="AJ58" s="97">
        <f t="shared" si="22"/>
        <v>0</v>
      </c>
      <c r="AK58" s="97">
        <f t="shared" si="23"/>
        <v>0</v>
      </c>
      <c r="AL58" s="97">
        <f t="shared" si="24"/>
        <v>0</v>
      </c>
      <c r="AM58" s="96"/>
      <c r="AN58" s="97">
        <f t="shared" si="25"/>
        <v>0</v>
      </c>
      <c r="AO58" s="97">
        <f t="shared" si="26"/>
        <v>0</v>
      </c>
      <c r="AP58" s="97">
        <f t="shared" si="27"/>
        <v>0</v>
      </c>
      <c r="AQ58" s="96"/>
      <c r="AR58" s="97">
        <f t="shared" si="28"/>
        <v>0</v>
      </c>
      <c r="AS58" s="97">
        <f t="shared" si="29"/>
        <v>0</v>
      </c>
      <c r="AT58" s="97">
        <f t="shared" si="30"/>
        <v>0</v>
      </c>
      <c r="AU58" s="96"/>
      <c r="AV58" s="97">
        <f t="shared" si="31"/>
        <v>0</v>
      </c>
      <c r="AW58" s="97">
        <f t="shared" si="32"/>
        <v>0</v>
      </c>
      <c r="AX58" s="97">
        <f t="shared" si="33"/>
        <v>0</v>
      </c>
      <c r="AY58" s="96"/>
      <c r="AZ58" s="65">
        <f t="shared" si="34"/>
        <v>0</v>
      </c>
      <c r="BA58" s="65">
        <f t="shared" si="35"/>
        <v>0</v>
      </c>
      <c r="BB58" s="65">
        <f t="shared" si="36"/>
        <v>0</v>
      </c>
    </row>
    <row r="59" spans="1:54" x14ac:dyDescent="0.2">
      <c r="A59" s="71"/>
      <c r="B59" s="96" t="s">
        <v>52</v>
      </c>
      <c r="C59" s="96"/>
      <c r="D59" s="97">
        <f t="shared" si="0"/>
        <v>0</v>
      </c>
      <c r="E59" s="97">
        <f t="shared" si="37"/>
        <v>0</v>
      </c>
      <c r="F59" s="97">
        <f t="shared" si="38"/>
        <v>0</v>
      </c>
      <c r="G59" s="96"/>
      <c r="H59" s="97">
        <f t="shared" si="1"/>
        <v>0</v>
      </c>
      <c r="I59" s="97">
        <f t="shared" si="2"/>
        <v>0</v>
      </c>
      <c r="J59" s="97">
        <f t="shared" si="3"/>
        <v>0</v>
      </c>
      <c r="K59" s="96"/>
      <c r="L59" s="97">
        <f t="shared" si="4"/>
        <v>0</v>
      </c>
      <c r="M59" s="97">
        <f t="shared" si="5"/>
        <v>0</v>
      </c>
      <c r="N59" s="97">
        <f t="shared" si="6"/>
        <v>0</v>
      </c>
      <c r="O59" s="96"/>
      <c r="P59" s="97">
        <f t="shared" si="7"/>
        <v>0</v>
      </c>
      <c r="Q59" s="97">
        <f t="shared" si="8"/>
        <v>0</v>
      </c>
      <c r="R59" s="97">
        <f t="shared" si="9"/>
        <v>0</v>
      </c>
      <c r="S59" s="96"/>
      <c r="T59" s="97">
        <f t="shared" si="10"/>
        <v>0</v>
      </c>
      <c r="U59" s="97">
        <f t="shared" si="11"/>
        <v>0</v>
      </c>
      <c r="V59" s="97">
        <f t="shared" si="12"/>
        <v>0</v>
      </c>
      <c r="W59" s="96"/>
      <c r="X59" s="97">
        <f t="shared" si="13"/>
        <v>0</v>
      </c>
      <c r="Y59" s="97">
        <f t="shared" si="14"/>
        <v>0</v>
      </c>
      <c r="Z59" s="97">
        <f t="shared" si="15"/>
        <v>0</v>
      </c>
      <c r="AA59" s="96"/>
      <c r="AB59" s="97">
        <f t="shared" si="16"/>
        <v>0</v>
      </c>
      <c r="AC59" s="97">
        <f t="shared" si="17"/>
        <v>0</v>
      </c>
      <c r="AD59" s="97">
        <f t="shared" si="18"/>
        <v>0</v>
      </c>
      <c r="AE59" s="96"/>
      <c r="AF59" s="97">
        <f t="shared" si="19"/>
        <v>0</v>
      </c>
      <c r="AG59" s="97">
        <f t="shared" si="20"/>
        <v>0</v>
      </c>
      <c r="AH59" s="97">
        <f t="shared" si="21"/>
        <v>0</v>
      </c>
      <c r="AI59" s="96"/>
      <c r="AJ59" s="97">
        <f t="shared" si="22"/>
        <v>0</v>
      </c>
      <c r="AK59" s="97">
        <f t="shared" si="23"/>
        <v>0</v>
      </c>
      <c r="AL59" s="97">
        <f t="shared" si="24"/>
        <v>0</v>
      </c>
      <c r="AM59" s="96"/>
      <c r="AN59" s="97">
        <f t="shared" si="25"/>
        <v>0</v>
      </c>
      <c r="AO59" s="97">
        <f t="shared" si="26"/>
        <v>0</v>
      </c>
      <c r="AP59" s="97">
        <f t="shared" si="27"/>
        <v>0</v>
      </c>
      <c r="AQ59" s="96"/>
      <c r="AR59" s="97">
        <f t="shared" si="28"/>
        <v>0</v>
      </c>
      <c r="AS59" s="97">
        <f t="shared" si="29"/>
        <v>0</v>
      </c>
      <c r="AT59" s="97">
        <f t="shared" si="30"/>
        <v>0</v>
      </c>
      <c r="AU59" s="96"/>
      <c r="AV59" s="97">
        <f t="shared" si="31"/>
        <v>0</v>
      </c>
      <c r="AW59" s="97">
        <f t="shared" si="32"/>
        <v>0</v>
      </c>
      <c r="AX59" s="97">
        <f t="shared" si="33"/>
        <v>0</v>
      </c>
      <c r="AY59" s="96"/>
      <c r="AZ59" s="65">
        <f t="shared" si="34"/>
        <v>0</v>
      </c>
      <c r="BA59" s="65">
        <f t="shared" si="35"/>
        <v>0</v>
      </c>
      <c r="BB59" s="65">
        <f t="shared" si="36"/>
        <v>0</v>
      </c>
    </row>
    <row r="60" spans="1:54" x14ac:dyDescent="0.2">
      <c r="A60" s="71"/>
      <c r="B60" s="96" t="s">
        <v>52</v>
      </c>
      <c r="C60" s="96"/>
      <c r="D60" s="97">
        <f t="shared" si="0"/>
        <v>0</v>
      </c>
      <c r="E60" s="97">
        <f t="shared" si="37"/>
        <v>0</v>
      </c>
      <c r="F60" s="97">
        <f t="shared" si="38"/>
        <v>0</v>
      </c>
      <c r="G60" s="96"/>
      <c r="H60" s="97">
        <f t="shared" si="1"/>
        <v>0</v>
      </c>
      <c r="I60" s="97">
        <f t="shared" si="2"/>
        <v>0</v>
      </c>
      <c r="J60" s="97">
        <f t="shared" si="3"/>
        <v>0</v>
      </c>
      <c r="K60" s="96"/>
      <c r="L60" s="97">
        <f t="shared" si="4"/>
        <v>0</v>
      </c>
      <c r="M60" s="97">
        <f t="shared" si="5"/>
        <v>0</v>
      </c>
      <c r="N60" s="97">
        <f t="shared" si="6"/>
        <v>0</v>
      </c>
      <c r="O60" s="96"/>
      <c r="P60" s="97">
        <f t="shared" si="7"/>
        <v>0</v>
      </c>
      <c r="Q60" s="97">
        <f t="shared" si="8"/>
        <v>0</v>
      </c>
      <c r="R60" s="97">
        <f t="shared" si="9"/>
        <v>0</v>
      </c>
      <c r="S60" s="96"/>
      <c r="T60" s="97">
        <f t="shared" si="10"/>
        <v>0</v>
      </c>
      <c r="U60" s="97">
        <f t="shared" si="11"/>
        <v>0</v>
      </c>
      <c r="V60" s="97">
        <f t="shared" si="12"/>
        <v>0</v>
      </c>
      <c r="W60" s="96"/>
      <c r="X60" s="97">
        <f t="shared" si="13"/>
        <v>0</v>
      </c>
      <c r="Y60" s="97">
        <f t="shared" si="14"/>
        <v>0</v>
      </c>
      <c r="Z60" s="97">
        <f t="shared" si="15"/>
        <v>0</v>
      </c>
      <c r="AA60" s="96"/>
      <c r="AB60" s="97">
        <f t="shared" si="16"/>
        <v>0</v>
      </c>
      <c r="AC60" s="97">
        <f t="shared" si="17"/>
        <v>0</v>
      </c>
      <c r="AD60" s="97">
        <f t="shared" si="18"/>
        <v>0</v>
      </c>
      <c r="AE60" s="96"/>
      <c r="AF60" s="97">
        <f t="shared" si="19"/>
        <v>0</v>
      </c>
      <c r="AG60" s="97">
        <f t="shared" si="20"/>
        <v>0</v>
      </c>
      <c r="AH60" s="97">
        <f t="shared" si="21"/>
        <v>0</v>
      </c>
      <c r="AI60" s="96"/>
      <c r="AJ60" s="97">
        <f t="shared" si="22"/>
        <v>0</v>
      </c>
      <c r="AK60" s="97">
        <f t="shared" si="23"/>
        <v>0</v>
      </c>
      <c r="AL60" s="97">
        <f t="shared" si="24"/>
        <v>0</v>
      </c>
      <c r="AM60" s="96"/>
      <c r="AN60" s="97">
        <f t="shared" si="25"/>
        <v>0</v>
      </c>
      <c r="AO60" s="97">
        <f t="shared" si="26"/>
        <v>0</v>
      </c>
      <c r="AP60" s="97">
        <f t="shared" si="27"/>
        <v>0</v>
      </c>
      <c r="AQ60" s="96"/>
      <c r="AR60" s="97">
        <f t="shared" si="28"/>
        <v>0</v>
      </c>
      <c r="AS60" s="97">
        <f t="shared" si="29"/>
        <v>0</v>
      </c>
      <c r="AT60" s="97">
        <f t="shared" si="30"/>
        <v>0</v>
      </c>
      <c r="AU60" s="96"/>
      <c r="AV60" s="97">
        <f t="shared" si="31"/>
        <v>0</v>
      </c>
      <c r="AW60" s="97">
        <f t="shared" si="32"/>
        <v>0</v>
      </c>
      <c r="AX60" s="97">
        <f t="shared" si="33"/>
        <v>0</v>
      </c>
      <c r="AY60" s="96"/>
      <c r="AZ60" s="65">
        <f t="shared" si="34"/>
        <v>0</v>
      </c>
      <c r="BA60" s="65">
        <f t="shared" si="35"/>
        <v>0</v>
      </c>
      <c r="BB60" s="65">
        <f t="shared" si="36"/>
        <v>0</v>
      </c>
    </row>
    <row r="61" spans="1:54" x14ac:dyDescent="0.2">
      <c r="A61" s="71"/>
      <c r="B61" s="96" t="s">
        <v>52</v>
      </c>
      <c r="C61" s="96"/>
      <c r="D61" s="97">
        <f t="shared" si="0"/>
        <v>0</v>
      </c>
      <c r="E61" s="97">
        <f t="shared" si="37"/>
        <v>0</v>
      </c>
      <c r="F61" s="97">
        <f t="shared" si="38"/>
        <v>0</v>
      </c>
      <c r="G61" s="96"/>
      <c r="H61" s="97">
        <f t="shared" si="1"/>
        <v>0</v>
      </c>
      <c r="I61" s="97">
        <f t="shared" si="2"/>
        <v>0</v>
      </c>
      <c r="J61" s="97">
        <f t="shared" si="3"/>
        <v>0</v>
      </c>
      <c r="K61" s="96"/>
      <c r="L61" s="97">
        <f t="shared" si="4"/>
        <v>0</v>
      </c>
      <c r="M61" s="97">
        <f t="shared" si="5"/>
        <v>0</v>
      </c>
      <c r="N61" s="97">
        <f t="shared" si="6"/>
        <v>0</v>
      </c>
      <c r="O61" s="96"/>
      <c r="P61" s="97">
        <f t="shared" si="7"/>
        <v>0</v>
      </c>
      <c r="Q61" s="97">
        <f t="shared" si="8"/>
        <v>0</v>
      </c>
      <c r="R61" s="97">
        <f t="shared" si="9"/>
        <v>0</v>
      </c>
      <c r="S61" s="96"/>
      <c r="T61" s="97">
        <f t="shared" si="10"/>
        <v>0</v>
      </c>
      <c r="U61" s="97">
        <f t="shared" si="11"/>
        <v>0</v>
      </c>
      <c r="V61" s="97">
        <f t="shared" si="12"/>
        <v>0</v>
      </c>
      <c r="W61" s="96"/>
      <c r="X61" s="97">
        <f t="shared" si="13"/>
        <v>0</v>
      </c>
      <c r="Y61" s="97">
        <f t="shared" si="14"/>
        <v>0</v>
      </c>
      <c r="Z61" s="97">
        <f t="shared" si="15"/>
        <v>0</v>
      </c>
      <c r="AA61" s="96"/>
      <c r="AB61" s="97">
        <f t="shared" si="16"/>
        <v>0</v>
      </c>
      <c r="AC61" s="97">
        <f t="shared" si="17"/>
        <v>0</v>
      </c>
      <c r="AD61" s="97">
        <f t="shared" si="18"/>
        <v>0</v>
      </c>
      <c r="AE61" s="96"/>
      <c r="AF61" s="97">
        <f t="shared" si="19"/>
        <v>0</v>
      </c>
      <c r="AG61" s="97">
        <f t="shared" si="20"/>
        <v>0</v>
      </c>
      <c r="AH61" s="97">
        <f t="shared" si="21"/>
        <v>0</v>
      </c>
      <c r="AI61" s="96"/>
      <c r="AJ61" s="97">
        <f t="shared" si="22"/>
        <v>0</v>
      </c>
      <c r="AK61" s="97">
        <f t="shared" si="23"/>
        <v>0</v>
      </c>
      <c r="AL61" s="97">
        <f t="shared" si="24"/>
        <v>0</v>
      </c>
      <c r="AM61" s="96"/>
      <c r="AN61" s="97">
        <f t="shared" si="25"/>
        <v>0</v>
      </c>
      <c r="AO61" s="97">
        <f t="shared" si="26"/>
        <v>0</v>
      </c>
      <c r="AP61" s="97">
        <f t="shared" si="27"/>
        <v>0</v>
      </c>
      <c r="AQ61" s="96"/>
      <c r="AR61" s="97">
        <f t="shared" si="28"/>
        <v>0</v>
      </c>
      <c r="AS61" s="97">
        <f t="shared" si="29"/>
        <v>0</v>
      </c>
      <c r="AT61" s="97">
        <f t="shared" si="30"/>
        <v>0</v>
      </c>
      <c r="AU61" s="96"/>
      <c r="AV61" s="97">
        <f t="shared" si="31"/>
        <v>0</v>
      </c>
      <c r="AW61" s="97">
        <f t="shared" si="32"/>
        <v>0</v>
      </c>
      <c r="AX61" s="97">
        <f t="shared" si="33"/>
        <v>0</v>
      </c>
      <c r="AY61" s="96"/>
      <c r="AZ61" s="65">
        <f t="shared" si="34"/>
        <v>0</v>
      </c>
      <c r="BA61" s="65">
        <f t="shared" si="35"/>
        <v>0</v>
      </c>
      <c r="BB61" s="65">
        <f t="shared" si="36"/>
        <v>0</v>
      </c>
    </row>
    <row r="62" spans="1:54" x14ac:dyDescent="0.2">
      <c r="A62" s="71"/>
      <c r="B62" s="96" t="s">
        <v>52</v>
      </c>
      <c r="C62" s="96"/>
      <c r="D62" s="97">
        <f t="shared" si="0"/>
        <v>0</v>
      </c>
      <c r="E62" s="97">
        <f t="shared" si="37"/>
        <v>0</v>
      </c>
      <c r="F62" s="97">
        <f t="shared" si="38"/>
        <v>0</v>
      </c>
      <c r="G62" s="96"/>
      <c r="H62" s="97">
        <f t="shared" si="1"/>
        <v>0</v>
      </c>
      <c r="I62" s="97">
        <f t="shared" si="2"/>
        <v>0</v>
      </c>
      <c r="J62" s="97">
        <f t="shared" si="3"/>
        <v>0</v>
      </c>
      <c r="K62" s="96"/>
      <c r="L62" s="97">
        <f t="shared" si="4"/>
        <v>0</v>
      </c>
      <c r="M62" s="97">
        <f t="shared" si="5"/>
        <v>0</v>
      </c>
      <c r="N62" s="97">
        <f t="shared" si="6"/>
        <v>0</v>
      </c>
      <c r="O62" s="96"/>
      <c r="P62" s="97">
        <f t="shared" si="7"/>
        <v>0</v>
      </c>
      <c r="Q62" s="97">
        <f t="shared" si="8"/>
        <v>0</v>
      </c>
      <c r="R62" s="97">
        <f t="shared" si="9"/>
        <v>0</v>
      </c>
      <c r="S62" s="96"/>
      <c r="T62" s="97">
        <f t="shared" si="10"/>
        <v>0</v>
      </c>
      <c r="U62" s="97">
        <f t="shared" si="11"/>
        <v>0</v>
      </c>
      <c r="V62" s="97">
        <f t="shared" si="12"/>
        <v>0</v>
      </c>
      <c r="W62" s="96"/>
      <c r="X62" s="97">
        <f t="shared" si="13"/>
        <v>0</v>
      </c>
      <c r="Y62" s="97">
        <f t="shared" si="14"/>
        <v>0</v>
      </c>
      <c r="Z62" s="97">
        <f t="shared" si="15"/>
        <v>0</v>
      </c>
      <c r="AA62" s="96"/>
      <c r="AB62" s="97">
        <f t="shared" si="16"/>
        <v>0</v>
      </c>
      <c r="AC62" s="97">
        <f t="shared" si="17"/>
        <v>0</v>
      </c>
      <c r="AD62" s="97">
        <f t="shared" si="18"/>
        <v>0</v>
      </c>
      <c r="AE62" s="96"/>
      <c r="AF62" s="97">
        <f t="shared" si="19"/>
        <v>0</v>
      </c>
      <c r="AG62" s="97">
        <f t="shared" si="20"/>
        <v>0</v>
      </c>
      <c r="AH62" s="97">
        <f t="shared" si="21"/>
        <v>0</v>
      </c>
      <c r="AI62" s="96"/>
      <c r="AJ62" s="97">
        <f t="shared" si="22"/>
        <v>0</v>
      </c>
      <c r="AK62" s="97">
        <f t="shared" si="23"/>
        <v>0</v>
      </c>
      <c r="AL62" s="97">
        <f t="shared" si="24"/>
        <v>0</v>
      </c>
      <c r="AM62" s="96"/>
      <c r="AN62" s="97">
        <f t="shared" si="25"/>
        <v>0</v>
      </c>
      <c r="AO62" s="97">
        <f t="shared" si="26"/>
        <v>0</v>
      </c>
      <c r="AP62" s="97">
        <f t="shared" si="27"/>
        <v>0</v>
      </c>
      <c r="AQ62" s="96"/>
      <c r="AR62" s="97">
        <f t="shared" si="28"/>
        <v>0</v>
      </c>
      <c r="AS62" s="97">
        <f t="shared" si="29"/>
        <v>0</v>
      </c>
      <c r="AT62" s="97">
        <f t="shared" si="30"/>
        <v>0</v>
      </c>
      <c r="AU62" s="96"/>
      <c r="AV62" s="97">
        <f t="shared" si="31"/>
        <v>0</v>
      </c>
      <c r="AW62" s="97">
        <f t="shared" si="32"/>
        <v>0</v>
      </c>
      <c r="AX62" s="97">
        <f t="shared" si="33"/>
        <v>0</v>
      </c>
      <c r="AY62" s="96"/>
      <c r="AZ62" s="65">
        <f t="shared" si="34"/>
        <v>0</v>
      </c>
      <c r="BA62" s="65">
        <f t="shared" si="35"/>
        <v>0</v>
      </c>
      <c r="BB62" s="65">
        <f t="shared" si="36"/>
        <v>0</v>
      </c>
    </row>
    <row r="63" spans="1:54" x14ac:dyDescent="0.2">
      <c r="A63" s="71"/>
      <c r="B63" s="96" t="s">
        <v>52</v>
      </c>
      <c r="C63" s="96"/>
      <c r="D63" s="97">
        <f t="shared" si="0"/>
        <v>0</v>
      </c>
      <c r="E63" s="97">
        <f t="shared" si="37"/>
        <v>0</v>
      </c>
      <c r="F63" s="97">
        <f t="shared" si="38"/>
        <v>0</v>
      </c>
      <c r="G63" s="96"/>
      <c r="H63" s="97">
        <f t="shared" si="1"/>
        <v>0</v>
      </c>
      <c r="I63" s="97">
        <f t="shared" si="2"/>
        <v>0</v>
      </c>
      <c r="J63" s="97">
        <f t="shared" si="3"/>
        <v>0</v>
      </c>
      <c r="K63" s="96"/>
      <c r="L63" s="97">
        <f t="shared" si="4"/>
        <v>0</v>
      </c>
      <c r="M63" s="97">
        <f t="shared" si="5"/>
        <v>0</v>
      </c>
      <c r="N63" s="97">
        <f t="shared" si="6"/>
        <v>0</v>
      </c>
      <c r="O63" s="96"/>
      <c r="P63" s="97">
        <f t="shared" si="7"/>
        <v>0</v>
      </c>
      <c r="Q63" s="97">
        <f t="shared" si="8"/>
        <v>0</v>
      </c>
      <c r="R63" s="97">
        <f t="shared" si="9"/>
        <v>0</v>
      </c>
      <c r="S63" s="96"/>
      <c r="T63" s="97">
        <f t="shared" si="10"/>
        <v>0</v>
      </c>
      <c r="U63" s="97">
        <f t="shared" si="11"/>
        <v>0</v>
      </c>
      <c r="V63" s="97">
        <f t="shared" si="12"/>
        <v>0</v>
      </c>
      <c r="W63" s="96"/>
      <c r="X63" s="97">
        <f t="shared" si="13"/>
        <v>0</v>
      </c>
      <c r="Y63" s="97">
        <f t="shared" si="14"/>
        <v>0</v>
      </c>
      <c r="Z63" s="97">
        <f t="shared" si="15"/>
        <v>0</v>
      </c>
      <c r="AA63" s="96"/>
      <c r="AB63" s="97">
        <f t="shared" si="16"/>
        <v>0</v>
      </c>
      <c r="AC63" s="97">
        <f t="shared" si="17"/>
        <v>0</v>
      </c>
      <c r="AD63" s="97">
        <f t="shared" si="18"/>
        <v>0</v>
      </c>
      <c r="AE63" s="96"/>
      <c r="AF63" s="97">
        <f t="shared" si="19"/>
        <v>0</v>
      </c>
      <c r="AG63" s="97">
        <f t="shared" si="20"/>
        <v>0</v>
      </c>
      <c r="AH63" s="97">
        <f t="shared" si="21"/>
        <v>0</v>
      </c>
      <c r="AI63" s="96"/>
      <c r="AJ63" s="97">
        <f t="shared" si="22"/>
        <v>0</v>
      </c>
      <c r="AK63" s="97">
        <f t="shared" si="23"/>
        <v>0</v>
      </c>
      <c r="AL63" s="97">
        <f t="shared" si="24"/>
        <v>0</v>
      </c>
      <c r="AM63" s="96"/>
      <c r="AN63" s="97">
        <f t="shared" si="25"/>
        <v>0</v>
      </c>
      <c r="AO63" s="97">
        <f t="shared" si="26"/>
        <v>0</v>
      </c>
      <c r="AP63" s="97">
        <f t="shared" si="27"/>
        <v>0</v>
      </c>
      <c r="AQ63" s="96"/>
      <c r="AR63" s="97">
        <f t="shared" si="28"/>
        <v>0</v>
      </c>
      <c r="AS63" s="97">
        <f t="shared" si="29"/>
        <v>0</v>
      </c>
      <c r="AT63" s="97">
        <f t="shared" si="30"/>
        <v>0</v>
      </c>
      <c r="AU63" s="96"/>
      <c r="AV63" s="97">
        <f t="shared" si="31"/>
        <v>0</v>
      </c>
      <c r="AW63" s="97">
        <f t="shared" si="32"/>
        <v>0</v>
      </c>
      <c r="AX63" s="97">
        <f t="shared" si="33"/>
        <v>0</v>
      </c>
      <c r="AY63" s="96"/>
      <c r="AZ63" s="65">
        <f t="shared" si="34"/>
        <v>0</v>
      </c>
      <c r="BA63" s="65">
        <f t="shared" si="35"/>
        <v>0</v>
      </c>
      <c r="BB63" s="65">
        <f t="shared" si="36"/>
        <v>0</v>
      </c>
    </row>
    <row r="64" spans="1:54" x14ac:dyDescent="0.2">
      <c r="A64" s="71"/>
      <c r="B64" s="96" t="s">
        <v>52</v>
      </c>
      <c r="C64" s="96"/>
      <c r="D64" s="97">
        <f t="shared" si="0"/>
        <v>0</v>
      </c>
      <c r="E64" s="97">
        <f t="shared" si="37"/>
        <v>0</v>
      </c>
      <c r="F64" s="97">
        <f t="shared" si="38"/>
        <v>0</v>
      </c>
      <c r="G64" s="96"/>
      <c r="H64" s="97">
        <f t="shared" si="1"/>
        <v>0</v>
      </c>
      <c r="I64" s="97">
        <f t="shared" si="2"/>
        <v>0</v>
      </c>
      <c r="J64" s="97">
        <f t="shared" si="3"/>
        <v>0</v>
      </c>
      <c r="K64" s="96"/>
      <c r="L64" s="97">
        <f t="shared" si="4"/>
        <v>0</v>
      </c>
      <c r="M64" s="97">
        <f t="shared" si="5"/>
        <v>0</v>
      </c>
      <c r="N64" s="97">
        <f t="shared" si="6"/>
        <v>0</v>
      </c>
      <c r="O64" s="96"/>
      <c r="P64" s="97">
        <f t="shared" si="7"/>
        <v>0</v>
      </c>
      <c r="Q64" s="97">
        <f t="shared" si="8"/>
        <v>0</v>
      </c>
      <c r="R64" s="97">
        <f t="shared" si="9"/>
        <v>0</v>
      </c>
      <c r="S64" s="96"/>
      <c r="T64" s="97">
        <f t="shared" si="10"/>
        <v>0</v>
      </c>
      <c r="U64" s="97">
        <f t="shared" si="11"/>
        <v>0</v>
      </c>
      <c r="V64" s="97">
        <f t="shared" si="12"/>
        <v>0</v>
      </c>
      <c r="W64" s="96"/>
      <c r="X64" s="97">
        <f t="shared" si="13"/>
        <v>0</v>
      </c>
      <c r="Y64" s="97">
        <f t="shared" si="14"/>
        <v>0</v>
      </c>
      <c r="Z64" s="97">
        <f t="shared" si="15"/>
        <v>0</v>
      </c>
      <c r="AA64" s="96"/>
      <c r="AB64" s="97">
        <f t="shared" si="16"/>
        <v>0</v>
      </c>
      <c r="AC64" s="97">
        <f t="shared" si="17"/>
        <v>0</v>
      </c>
      <c r="AD64" s="97">
        <f t="shared" si="18"/>
        <v>0</v>
      </c>
      <c r="AE64" s="96"/>
      <c r="AF64" s="97">
        <f t="shared" si="19"/>
        <v>0</v>
      </c>
      <c r="AG64" s="97">
        <f t="shared" si="20"/>
        <v>0</v>
      </c>
      <c r="AH64" s="97">
        <f t="shared" si="21"/>
        <v>0</v>
      </c>
      <c r="AI64" s="96"/>
      <c r="AJ64" s="97">
        <f t="shared" si="22"/>
        <v>0</v>
      </c>
      <c r="AK64" s="97">
        <f t="shared" si="23"/>
        <v>0</v>
      </c>
      <c r="AL64" s="97">
        <f t="shared" si="24"/>
        <v>0</v>
      </c>
      <c r="AM64" s="96"/>
      <c r="AN64" s="97">
        <f t="shared" si="25"/>
        <v>0</v>
      </c>
      <c r="AO64" s="97">
        <f t="shared" si="26"/>
        <v>0</v>
      </c>
      <c r="AP64" s="97">
        <f t="shared" si="27"/>
        <v>0</v>
      </c>
      <c r="AQ64" s="96"/>
      <c r="AR64" s="97">
        <f t="shared" si="28"/>
        <v>0</v>
      </c>
      <c r="AS64" s="97">
        <f t="shared" si="29"/>
        <v>0</v>
      </c>
      <c r="AT64" s="97">
        <f t="shared" si="30"/>
        <v>0</v>
      </c>
      <c r="AU64" s="96"/>
      <c r="AV64" s="97">
        <f t="shared" si="31"/>
        <v>0</v>
      </c>
      <c r="AW64" s="97">
        <f t="shared" si="32"/>
        <v>0</v>
      </c>
      <c r="AX64" s="97">
        <f t="shared" si="33"/>
        <v>0</v>
      </c>
      <c r="AY64" s="96"/>
      <c r="AZ64" s="65">
        <f t="shared" si="34"/>
        <v>0</v>
      </c>
      <c r="BA64" s="65">
        <f t="shared" si="35"/>
        <v>0</v>
      </c>
      <c r="BB64" s="65">
        <f t="shared" si="36"/>
        <v>0</v>
      </c>
    </row>
    <row r="65" spans="1:54" x14ac:dyDescent="0.2">
      <c r="A65" s="71"/>
      <c r="B65" s="96" t="s">
        <v>52</v>
      </c>
      <c r="C65" s="96"/>
      <c r="D65" s="97">
        <f t="shared" si="0"/>
        <v>0</v>
      </c>
      <c r="E65" s="97">
        <f t="shared" si="37"/>
        <v>0</v>
      </c>
      <c r="F65" s="97">
        <f t="shared" si="38"/>
        <v>0</v>
      </c>
      <c r="G65" s="96"/>
      <c r="H65" s="97">
        <f t="shared" si="1"/>
        <v>0</v>
      </c>
      <c r="I65" s="97">
        <f t="shared" si="2"/>
        <v>0</v>
      </c>
      <c r="J65" s="97">
        <f t="shared" si="3"/>
        <v>0</v>
      </c>
      <c r="K65" s="96"/>
      <c r="L65" s="97">
        <f t="shared" si="4"/>
        <v>0</v>
      </c>
      <c r="M65" s="97">
        <f t="shared" si="5"/>
        <v>0</v>
      </c>
      <c r="N65" s="97">
        <f t="shared" si="6"/>
        <v>0</v>
      </c>
      <c r="O65" s="96"/>
      <c r="P65" s="97">
        <f t="shared" si="7"/>
        <v>0</v>
      </c>
      <c r="Q65" s="97">
        <f t="shared" si="8"/>
        <v>0</v>
      </c>
      <c r="R65" s="97">
        <f t="shared" si="9"/>
        <v>0</v>
      </c>
      <c r="S65" s="96"/>
      <c r="T65" s="97">
        <f t="shared" si="10"/>
        <v>0</v>
      </c>
      <c r="U65" s="97">
        <f t="shared" si="11"/>
        <v>0</v>
      </c>
      <c r="V65" s="97">
        <f t="shared" si="12"/>
        <v>0</v>
      </c>
      <c r="W65" s="96"/>
      <c r="X65" s="97">
        <f t="shared" si="13"/>
        <v>0</v>
      </c>
      <c r="Y65" s="97">
        <f t="shared" si="14"/>
        <v>0</v>
      </c>
      <c r="Z65" s="97">
        <f t="shared" si="15"/>
        <v>0</v>
      </c>
      <c r="AA65" s="96"/>
      <c r="AB65" s="97">
        <f t="shared" si="16"/>
        <v>0</v>
      </c>
      <c r="AC65" s="97">
        <f t="shared" si="17"/>
        <v>0</v>
      </c>
      <c r="AD65" s="97">
        <f t="shared" si="18"/>
        <v>0</v>
      </c>
      <c r="AE65" s="96"/>
      <c r="AF65" s="97">
        <f t="shared" si="19"/>
        <v>0</v>
      </c>
      <c r="AG65" s="97">
        <f t="shared" si="20"/>
        <v>0</v>
      </c>
      <c r="AH65" s="97">
        <f t="shared" si="21"/>
        <v>0</v>
      </c>
      <c r="AI65" s="96"/>
      <c r="AJ65" s="97">
        <f t="shared" si="22"/>
        <v>0</v>
      </c>
      <c r="AK65" s="97">
        <f t="shared" si="23"/>
        <v>0</v>
      </c>
      <c r="AL65" s="97">
        <f t="shared" si="24"/>
        <v>0</v>
      </c>
      <c r="AM65" s="96"/>
      <c r="AN65" s="97">
        <f t="shared" si="25"/>
        <v>0</v>
      </c>
      <c r="AO65" s="97">
        <f t="shared" si="26"/>
        <v>0</v>
      </c>
      <c r="AP65" s="97">
        <f t="shared" si="27"/>
        <v>0</v>
      </c>
      <c r="AQ65" s="96"/>
      <c r="AR65" s="97">
        <f t="shared" si="28"/>
        <v>0</v>
      </c>
      <c r="AS65" s="97">
        <f t="shared" si="29"/>
        <v>0</v>
      </c>
      <c r="AT65" s="97">
        <f t="shared" si="30"/>
        <v>0</v>
      </c>
      <c r="AU65" s="96"/>
      <c r="AV65" s="97">
        <f t="shared" si="31"/>
        <v>0</v>
      </c>
      <c r="AW65" s="97">
        <f t="shared" si="32"/>
        <v>0</v>
      </c>
      <c r="AX65" s="97">
        <f t="shared" si="33"/>
        <v>0</v>
      </c>
      <c r="AY65" s="96"/>
      <c r="AZ65" s="65">
        <f t="shared" si="34"/>
        <v>0</v>
      </c>
      <c r="BA65" s="65">
        <f t="shared" si="35"/>
        <v>0</v>
      </c>
      <c r="BB65" s="65">
        <f t="shared" si="36"/>
        <v>0</v>
      </c>
    </row>
    <row r="66" spans="1:54" x14ac:dyDescent="0.2">
      <c r="A66" s="71"/>
      <c r="B66" s="96" t="s">
        <v>52</v>
      </c>
      <c r="C66" s="96"/>
      <c r="D66" s="97">
        <f t="shared" si="0"/>
        <v>0</v>
      </c>
      <c r="E66" s="97">
        <f t="shared" si="37"/>
        <v>0</v>
      </c>
      <c r="F66" s="97">
        <f t="shared" si="38"/>
        <v>0</v>
      </c>
      <c r="G66" s="96"/>
      <c r="H66" s="97">
        <f t="shared" si="1"/>
        <v>0</v>
      </c>
      <c r="I66" s="97">
        <f t="shared" si="2"/>
        <v>0</v>
      </c>
      <c r="J66" s="97">
        <f t="shared" si="3"/>
        <v>0</v>
      </c>
      <c r="K66" s="96"/>
      <c r="L66" s="97">
        <f t="shared" si="4"/>
        <v>0</v>
      </c>
      <c r="M66" s="97">
        <f t="shared" si="5"/>
        <v>0</v>
      </c>
      <c r="N66" s="97">
        <f t="shared" si="6"/>
        <v>0</v>
      </c>
      <c r="O66" s="96"/>
      <c r="P66" s="97">
        <f t="shared" si="7"/>
        <v>0</v>
      </c>
      <c r="Q66" s="97">
        <f t="shared" si="8"/>
        <v>0</v>
      </c>
      <c r="R66" s="97">
        <f t="shared" si="9"/>
        <v>0</v>
      </c>
      <c r="S66" s="96"/>
      <c r="T66" s="97">
        <f t="shared" si="10"/>
        <v>0</v>
      </c>
      <c r="U66" s="97">
        <f t="shared" si="11"/>
        <v>0</v>
      </c>
      <c r="V66" s="97">
        <f t="shared" si="12"/>
        <v>0</v>
      </c>
      <c r="W66" s="96"/>
      <c r="X66" s="97">
        <f t="shared" si="13"/>
        <v>0</v>
      </c>
      <c r="Y66" s="97">
        <f t="shared" si="14"/>
        <v>0</v>
      </c>
      <c r="Z66" s="97">
        <f t="shared" si="15"/>
        <v>0</v>
      </c>
      <c r="AA66" s="96"/>
      <c r="AB66" s="97">
        <f t="shared" si="16"/>
        <v>0</v>
      </c>
      <c r="AC66" s="97">
        <f t="shared" si="17"/>
        <v>0</v>
      </c>
      <c r="AD66" s="97">
        <f t="shared" si="18"/>
        <v>0</v>
      </c>
      <c r="AE66" s="96"/>
      <c r="AF66" s="97">
        <f t="shared" si="19"/>
        <v>0</v>
      </c>
      <c r="AG66" s="97">
        <f t="shared" si="20"/>
        <v>0</v>
      </c>
      <c r="AH66" s="97">
        <f t="shared" si="21"/>
        <v>0</v>
      </c>
      <c r="AI66" s="96"/>
      <c r="AJ66" s="97">
        <f t="shared" si="22"/>
        <v>0</v>
      </c>
      <c r="AK66" s="97">
        <f t="shared" si="23"/>
        <v>0</v>
      </c>
      <c r="AL66" s="97">
        <f t="shared" si="24"/>
        <v>0</v>
      </c>
      <c r="AM66" s="96"/>
      <c r="AN66" s="97">
        <f t="shared" si="25"/>
        <v>0</v>
      </c>
      <c r="AO66" s="97">
        <f t="shared" si="26"/>
        <v>0</v>
      </c>
      <c r="AP66" s="97">
        <f t="shared" si="27"/>
        <v>0</v>
      </c>
      <c r="AQ66" s="96"/>
      <c r="AR66" s="97">
        <f t="shared" si="28"/>
        <v>0</v>
      </c>
      <c r="AS66" s="97">
        <f t="shared" si="29"/>
        <v>0</v>
      </c>
      <c r="AT66" s="97">
        <f t="shared" si="30"/>
        <v>0</v>
      </c>
      <c r="AU66" s="96"/>
      <c r="AV66" s="97">
        <f t="shared" si="31"/>
        <v>0</v>
      </c>
      <c r="AW66" s="97">
        <f t="shared" si="32"/>
        <v>0</v>
      </c>
      <c r="AX66" s="97">
        <f t="shared" si="33"/>
        <v>0</v>
      </c>
      <c r="AY66" s="96"/>
      <c r="AZ66" s="65">
        <f t="shared" si="34"/>
        <v>0</v>
      </c>
      <c r="BA66" s="65">
        <f t="shared" si="35"/>
        <v>0</v>
      </c>
      <c r="BB66" s="65">
        <f t="shared" si="36"/>
        <v>0</v>
      </c>
    </row>
    <row r="67" spans="1:54" x14ac:dyDescent="0.2">
      <c r="A67" s="71"/>
      <c r="B67" s="96" t="s">
        <v>52</v>
      </c>
      <c r="C67" s="96"/>
      <c r="D67" s="97">
        <f t="shared" si="0"/>
        <v>0</v>
      </c>
      <c r="E67" s="97">
        <f t="shared" si="37"/>
        <v>0</v>
      </c>
      <c r="F67" s="97">
        <f t="shared" si="38"/>
        <v>0</v>
      </c>
      <c r="G67" s="96"/>
      <c r="H67" s="97">
        <f t="shared" si="1"/>
        <v>0</v>
      </c>
      <c r="I67" s="97">
        <f t="shared" si="2"/>
        <v>0</v>
      </c>
      <c r="J67" s="97">
        <f t="shared" si="3"/>
        <v>0</v>
      </c>
      <c r="K67" s="96"/>
      <c r="L67" s="97">
        <f t="shared" si="4"/>
        <v>0</v>
      </c>
      <c r="M67" s="97">
        <f t="shared" si="5"/>
        <v>0</v>
      </c>
      <c r="N67" s="97">
        <f t="shared" si="6"/>
        <v>0</v>
      </c>
      <c r="O67" s="96"/>
      <c r="P67" s="97">
        <f t="shared" si="7"/>
        <v>0</v>
      </c>
      <c r="Q67" s="97">
        <f t="shared" si="8"/>
        <v>0</v>
      </c>
      <c r="R67" s="97">
        <f t="shared" si="9"/>
        <v>0</v>
      </c>
      <c r="S67" s="96"/>
      <c r="T67" s="97">
        <f t="shared" si="10"/>
        <v>0</v>
      </c>
      <c r="U67" s="97">
        <f t="shared" si="11"/>
        <v>0</v>
      </c>
      <c r="V67" s="97">
        <f t="shared" si="12"/>
        <v>0</v>
      </c>
      <c r="W67" s="96"/>
      <c r="X67" s="97">
        <f t="shared" si="13"/>
        <v>0</v>
      </c>
      <c r="Y67" s="97">
        <f t="shared" si="14"/>
        <v>0</v>
      </c>
      <c r="Z67" s="97">
        <f t="shared" si="15"/>
        <v>0</v>
      </c>
      <c r="AA67" s="96"/>
      <c r="AB67" s="97">
        <f t="shared" si="16"/>
        <v>0</v>
      </c>
      <c r="AC67" s="97">
        <f t="shared" si="17"/>
        <v>0</v>
      </c>
      <c r="AD67" s="97">
        <f t="shared" si="18"/>
        <v>0</v>
      </c>
      <c r="AE67" s="96"/>
      <c r="AF67" s="97">
        <f t="shared" si="19"/>
        <v>0</v>
      </c>
      <c r="AG67" s="97">
        <f t="shared" si="20"/>
        <v>0</v>
      </c>
      <c r="AH67" s="97">
        <f t="shared" si="21"/>
        <v>0</v>
      </c>
      <c r="AI67" s="96"/>
      <c r="AJ67" s="97">
        <f t="shared" si="22"/>
        <v>0</v>
      </c>
      <c r="AK67" s="97">
        <f t="shared" si="23"/>
        <v>0</v>
      </c>
      <c r="AL67" s="97">
        <f t="shared" si="24"/>
        <v>0</v>
      </c>
      <c r="AM67" s="96"/>
      <c r="AN67" s="97">
        <f t="shared" si="25"/>
        <v>0</v>
      </c>
      <c r="AO67" s="97">
        <f t="shared" si="26"/>
        <v>0</v>
      </c>
      <c r="AP67" s="97">
        <f t="shared" si="27"/>
        <v>0</v>
      </c>
      <c r="AQ67" s="96"/>
      <c r="AR67" s="97">
        <f t="shared" si="28"/>
        <v>0</v>
      </c>
      <c r="AS67" s="97">
        <f t="shared" si="29"/>
        <v>0</v>
      </c>
      <c r="AT67" s="97">
        <f t="shared" si="30"/>
        <v>0</v>
      </c>
      <c r="AU67" s="96"/>
      <c r="AV67" s="97">
        <f t="shared" si="31"/>
        <v>0</v>
      </c>
      <c r="AW67" s="97">
        <f t="shared" si="32"/>
        <v>0</v>
      </c>
      <c r="AX67" s="97">
        <f t="shared" si="33"/>
        <v>0</v>
      </c>
      <c r="AY67" s="96"/>
      <c r="AZ67" s="65">
        <f t="shared" si="34"/>
        <v>0</v>
      </c>
      <c r="BA67" s="65">
        <f t="shared" si="35"/>
        <v>0</v>
      </c>
      <c r="BB67" s="65">
        <f t="shared" si="36"/>
        <v>0</v>
      </c>
    </row>
    <row r="68" spans="1:54" x14ac:dyDescent="0.2">
      <c r="A68" s="71"/>
      <c r="B68" s="96" t="s">
        <v>52</v>
      </c>
      <c r="C68" s="96"/>
      <c r="D68" s="97">
        <f t="shared" si="0"/>
        <v>0</v>
      </c>
      <c r="E68" s="97">
        <f t="shared" si="37"/>
        <v>0</v>
      </c>
      <c r="F68" s="97">
        <f t="shared" si="38"/>
        <v>0</v>
      </c>
      <c r="G68" s="96"/>
      <c r="H68" s="97">
        <f t="shared" si="1"/>
        <v>0</v>
      </c>
      <c r="I68" s="97">
        <f t="shared" si="2"/>
        <v>0</v>
      </c>
      <c r="J68" s="97">
        <f t="shared" si="3"/>
        <v>0</v>
      </c>
      <c r="K68" s="96"/>
      <c r="L68" s="97">
        <f t="shared" si="4"/>
        <v>0</v>
      </c>
      <c r="M68" s="97">
        <f t="shared" si="5"/>
        <v>0</v>
      </c>
      <c r="N68" s="97">
        <f t="shared" si="6"/>
        <v>0</v>
      </c>
      <c r="O68" s="96"/>
      <c r="P68" s="97">
        <f t="shared" si="7"/>
        <v>0</v>
      </c>
      <c r="Q68" s="97">
        <f t="shared" si="8"/>
        <v>0</v>
      </c>
      <c r="R68" s="97">
        <f t="shared" si="9"/>
        <v>0</v>
      </c>
      <c r="S68" s="96"/>
      <c r="T68" s="97">
        <f t="shared" si="10"/>
        <v>0</v>
      </c>
      <c r="U68" s="97">
        <f t="shared" si="11"/>
        <v>0</v>
      </c>
      <c r="V68" s="97">
        <f t="shared" si="12"/>
        <v>0</v>
      </c>
      <c r="W68" s="96"/>
      <c r="X68" s="97">
        <f t="shared" si="13"/>
        <v>0</v>
      </c>
      <c r="Y68" s="97">
        <f t="shared" si="14"/>
        <v>0</v>
      </c>
      <c r="Z68" s="97">
        <f t="shared" si="15"/>
        <v>0</v>
      </c>
      <c r="AA68" s="96"/>
      <c r="AB68" s="97">
        <f t="shared" si="16"/>
        <v>0</v>
      </c>
      <c r="AC68" s="97">
        <f t="shared" si="17"/>
        <v>0</v>
      </c>
      <c r="AD68" s="97">
        <f t="shared" si="18"/>
        <v>0</v>
      </c>
      <c r="AE68" s="96"/>
      <c r="AF68" s="97">
        <f t="shared" si="19"/>
        <v>0</v>
      </c>
      <c r="AG68" s="97">
        <f t="shared" si="20"/>
        <v>0</v>
      </c>
      <c r="AH68" s="97">
        <f t="shared" si="21"/>
        <v>0</v>
      </c>
      <c r="AI68" s="96"/>
      <c r="AJ68" s="97">
        <f t="shared" si="22"/>
        <v>0</v>
      </c>
      <c r="AK68" s="97">
        <f t="shared" si="23"/>
        <v>0</v>
      </c>
      <c r="AL68" s="97">
        <f t="shared" si="24"/>
        <v>0</v>
      </c>
      <c r="AM68" s="96"/>
      <c r="AN68" s="97">
        <f t="shared" si="25"/>
        <v>0</v>
      </c>
      <c r="AO68" s="97">
        <f t="shared" si="26"/>
        <v>0</v>
      </c>
      <c r="AP68" s="97">
        <f t="shared" si="27"/>
        <v>0</v>
      </c>
      <c r="AQ68" s="96"/>
      <c r="AR68" s="97">
        <f t="shared" si="28"/>
        <v>0</v>
      </c>
      <c r="AS68" s="97">
        <f t="shared" si="29"/>
        <v>0</v>
      </c>
      <c r="AT68" s="97">
        <f t="shared" si="30"/>
        <v>0</v>
      </c>
      <c r="AU68" s="96"/>
      <c r="AV68" s="97">
        <f t="shared" si="31"/>
        <v>0</v>
      </c>
      <c r="AW68" s="97">
        <f t="shared" si="32"/>
        <v>0</v>
      </c>
      <c r="AX68" s="97">
        <f t="shared" si="33"/>
        <v>0</v>
      </c>
      <c r="AY68" s="96"/>
      <c r="AZ68" s="65">
        <f t="shared" si="34"/>
        <v>0</v>
      </c>
      <c r="BA68" s="65">
        <f t="shared" si="35"/>
        <v>0</v>
      </c>
      <c r="BB68" s="65">
        <f t="shared" si="36"/>
        <v>0</v>
      </c>
    </row>
    <row r="69" spans="1:54" x14ac:dyDescent="0.2">
      <c r="A69" s="71"/>
      <c r="B69" s="96" t="s">
        <v>52</v>
      </c>
      <c r="C69" s="96"/>
      <c r="D69" s="97">
        <f t="shared" si="0"/>
        <v>0</v>
      </c>
      <c r="E69" s="97">
        <f t="shared" si="37"/>
        <v>0</v>
      </c>
      <c r="F69" s="97">
        <f t="shared" si="38"/>
        <v>0</v>
      </c>
      <c r="G69" s="96"/>
      <c r="H69" s="97">
        <f t="shared" si="1"/>
        <v>0</v>
      </c>
      <c r="I69" s="97">
        <f t="shared" si="2"/>
        <v>0</v>
      </c>
      <c r="J69" s="97">
        <f t="shared" si="3"/>
        <v>0</v>
      </c>
      <c r="K69" s="96"/>
      <c r="L69" s="97">
        <f t="shared" si="4"/>
        <v>0</v>
      </c>
      <c r="M69" s="97">
        <f t="shared" si="5"/>
        <v>0</v>
      </c>
      <c r="N69" s="97">
        <f t="shared" si="6"/>
        <v>0</v>
      </c>
      <c r="O69" s="96"/>
      <c r="P69" s="97">
        <f t="shared" si="7"/>
        <v>0</v>
      </c>
      <c r="Q69" s="97">
        <f t="shared" si="8"/>
        <v>0</v>
      </c>
      <c r="R69" s="97">
        <f t="shared" si="9"/>
        <v>0</v>
      </c>
      <c r="S69" s="96"/>
      <c r="T69" s="97">
        <f t="shared" si="10"/>
        <v>0</v>
      </c>
      <c r="U69" s="97">
        <f t="shared" si="11"/>
        <v>0</v>
      </c>
      <c r="V69" s="97">
        <f t="shared" si="12"/>
        <v>0</v>
      </c>
      <c r="W69" s="96"/>
      <c r="X69" s="97">
        <f t="shared" si="13"/>
        <v>0</v>
      </c>
      <c r="Y69" s="97">
        <f t="shared" si="14"/>
        <v>0</v>
      </c>
      <c r="Z69" s="97">
        <f t="shared" si="15"/>
        <v>0</v>
      </c>
      <c r="AA69" s="96"/>
      <c r="AB69" s="97">
        <f t="shared" si="16"/>
        <v>0</v>
      </c>
      <c r="AC69" s="97">
        <f t="shared" si="17"/>
        <v>0</v>
      </c>
      <c r="AD69" s="97">
        <f t="shared" si="18"/>
        <v>0</v>
      </c>
      <c r="AE69" s="96"/>
      <c r="AF69" s="97">
        <f t="shared" si="19"/>
        <v>0</v>
      </c>
      <c r="AG69" s="97">
        <f t="shared" si="20"/>
        <v>0</v>
      </c>
      <c r="AH69" s="97">
        <f t="shared" si="21"/>
        <v>0</v>
      </c>
      <c r="AI69" s="96"/>
      <c r="AJ69" s="97">
        <f t="shared" si="22"/>
        <v>0</v>
      </c>
      <c r="AK69" s="97">
        <f t="shared" si="23"/>
        <v>0</v>
      </c>
      <c r="AL69" s="97">
        <f t="shared" si="24"/>
        <v>0</v>
      </c>
      <c r="AM69" s="96"/>
      <c r="AN69" s="97">
        <f t="shared" si="25"/>
        <v>0</v>
      </c>
      <c r="AO69" s="97">
        <f t="shared" si="26"/>
        <v>0</v>
      </c>
      <c r="AP69" s="97">
        <f t="shared" si="27"/>
        <v>0</v>
      </c>
      <c r="AQ69" s="96"/>
      <c r="AR69" s="97">
        <f t="shared" si="28"/>
        <v>0</v>
      </c>
      <c r="AS69" s="97">
        <f t="shared" si="29"/>
        <v>0</v>
      </c>
      <c r="AT69" s="97">
        <f t="shared" si="30"/>
        <v>0</v>
      </c>
      <c r="AU69" s="96"/>
      <c r="AV69" s="97">
        <f t="shared" si="31"/>
        <v>0</v>
      </c>
      <c r="AW69" s="97">
        <f t="shared" si="32"/>
        <v>0</v>
      </c>
      <c r="AX69" s="97">
        <f t="shared" si="33"/>
        <v>0</v>
      </c>
      <c r="AY69" s="96"/>
      <c r="AZ69" s="65">
        <f t="shared" si="34"/>
        <v>0</v>
      </c>
      <c r="BA69" s="65">
        <f t="shared" si="35"/>
        <v>0</v>
      </c>
      <c r="BB69" s="65">
        <f t="shared" si="36"/>
        <v>0</v>
      </c>
    </row>
    <row r="70" spans="1:54" x14ac:dyDescent="0.2">
      <c r="A70" s="71"/>
      <c r="B70" s="96" t="s">
        <v>52</v>
      </c>
      <c r="C70" s="96"/>
      <c r="D70" s="97">
        <f t="shared" si="0"/>
        <v>0</v>
      </c>
      <c r="E70" s="97">
        <f t="shared" si="37"/>
        <v>0</v>
      </c>
      <c r="F70" s="97">
        <f t="shared" si="38"/>
        <v>0</v>
      </c>
      <c r="G70" s="96"/>
      <c r="H70" s="97">
        <f t="shared" si="1"/>
        <v>0</v>
      </c>
      <c r="I70" s="97">
        <f t="shared" si="2"/>
        <v>0</v>
      </c>
      <c r="J70" s="97">
        <f t="shared" si="3"/>
        <v>0</v>
      </c>
      <c r="K70" s="96"/>
      <c r="L70" s="97">
        <f t="shared" si="4"/>
        <v>0</v>
      </c>
      <c r="M70" s="97">
        <f t="shared" si="5"/>
        <v>0</v>
      </c>
      <c r="N70" s="97">
        <f t="shared" si="6"/>
        <v>0</v>
      </c>
      <c r="O70" s="96"/>
      <c r="P70" s="97">
        <f t="shared" si="7"/>
        <v>0</v>
      </c>
      <c r="Q70" s="97">
        <f t="shared" si="8"/>
        <v>0</v>
      </c>
      <c r="R70" s="97">
        <f t="shared" si="9"/>
        <v>0</v>
      </c>
      <c r="S70" s="96"/>
      <c r="T70" s="97">
        <f t="shared" si="10"/>
        <v>0</v>
      </c>
      <c r="U70" s="97">
        <f t="shared" si="11"/>
        <v>0</v>
      </c>
      <c r="V70" s="97">
        <f t="shared" si="12"/>
        <v>0</v>
      </c>
      <c r="W70" s="96"/>
      <c r="X70" s="97">
        <f t="shared" si="13"/>
        <v>0</v>
      </c>
      <c r="Y70" s="97">
        <f t="shared" si="14"/>
        <v>0</v>
      </c>
      <c r="Z70" s="97">
        <f t="shared" si="15"/>
        <v>0</v>
      </c>
      <c r="AA70" s="96"/>
      <c r="AB70" s="97">
        <f t="shared" si="16"/>
        <v>0</v>
      </c>
      <c r="AC70" s="97">
        <f t="shared" si="17"/>
        <v>0</v>
      </c>
      <c r="AD70" s="97">
        <f t="shared" si="18"/>
        <v>0</v>
      </c>
      <c r="AE70" s="96"/>
      <c r="AF70" s="97">
        <f t="shared" si="19"/>
        <v>0</v>
      </c>
      <c r="AG70" s="97">
        <f t="shared" si="20"/>
        <v>0</v>
      </c>
      <c r="AH70" s="97">
        <f t="shared" si="21"/>
        <v>0</v>
      </c>
      <c r="AI70" s="96"/>
      <c r="AJ70" s="97">
        <f t="shared" si="22"/>
        <v>0</v>
      </c>
      <c r="AK70" s="97">
        <f t="shared" si="23"/>
        <v>0</v>
      </c>
      <c r="AL70" s="97">
        <f t="shared" si="24"/>
        <v>0</v>
      </c>
      <c r="AM70" s="96"/>
      <c r="AN70" s="97">
        <f t="shared" si="25"/>
        <v>0</v>
      </c>
      <c r="AO70" s="97">
        <f t="shared" si="26"/>
        <v>0</v>
      </c>
      <c r="AP70" s="97">
        <f t="shared" si="27"/>
        <v>0</v>
      </c>
      <c r="AQ70" s="96"/>
      <c r="AR70" s="97">
        <f t="shared" si="28"/>
        <v>0</v>
      </c>
      <c r="AS70" s="97">
        <f t="shared" si="29"/>
        <v>0</v>
      </c>
      <c r="AT70" s="97">
        <f t="shared" si="30"/>
        <v>0</v>
      </c>
      <c r="AU70" s="96"/>
      <c r="AV70" s="97">
        <f t="shared" si="31"/>
        <v>0</v>
      </c>
      <c r="AW70" s="97">
        <f t="shared" si="32"/>
        <v>0</v>
      </c>
      <c r="AX70" s="97">
        <f t="shared" si="33"/>
        <v>0</v>
      </c>
      <c r="AY70" s="96"/>
      <c r="AZ70" s="65">
        <f t="shared" si="34"/>
        <v>0</v>
      </c>
      <c r="BA70" s="65">
        <f t="shared" si="35"/>
        <v>0</v>
      </c>
      <c r="BB70" s="65">
        <f t="shared" si="36"/>
        <v>0</v>
      </c>
    </row>
    <row r="71" spans="1:54" x14ac:dyDescent="0.2">
      <c r="A71" s="71"/>
      <c r="B71" s="96" t="s">
        <v>52</v>
      </c>
      <c r="C71" s="96"/>
      <c r="D71" s="97">
        <f t="shared" si="0"/>
        <v>0</v>
      </c>
      <c r="E71" s="97">
        <f t="shared" si="37"/>
        <v>0</v>
      </c>
      <c r="F71" s="97">
        <f t="shared" si="38"/>
        <v>0</v>
      </c>
      <c r="G71" s="96"/>
      <c r="H71" s="97">
        <f t="shared" si="1"/>
        <v>0</v>
      </c>
      <c r="I71" s="97">
        <f t="shared" si="2"/>
        <v>0</v>
      </c>
      <c r="J71" s="97">
        <f t="shared" si="3"/>
        <v>0</v>
      </c>
      <c r="K71" s="96"/>
      <c r="L71" s="97">
        <f t="shared" si="4"/>
        <v>0</v>
      </c>
      <c r="M71" s="97">
        <f t="shared" si="5"/>
        <v>0</v>
      </c>
      <c r="N71" s="97">
        <f t="shared" si="6"/>
        <v>0</v>
      </c>
      <c r="O71" s="96"/>
      <c r="P71" s="97">
        <f t="shared" si="7"/>
        <v>0</v>
      </c>
      <c r="Q71" s="97">
        <f t="shared" si="8"/>
        <v>0</v>
      </c>
      <c r="R71" s="97">
        <f t="shared" si="9"/>
        <v>0</v>
      </c>
      <c r="S71" s="96"/>
      <c r="T71" s="97">
        <f t="shared" si="10"/>
        <v>0</v>
      </c>
      <c r="U71" s="97">
        <f t="shared" si="11"/>
        <v>0</v>
      </c>
      <c r="V71" s="97">
        <f t="shared" si="12"/>
        <v>0</v>
      </c>
      <c r="W71" s="96"/>
      <c r="X71" s="97">
        <f t="shared" si="13"/>
        <v>0</v>
      </c>
      <c r="Y71" s="97">
        <f t="shared" si="14"/>
        <v>0</v>
      </c>
      <c r="Z71" s="97">
        <f t="shared" si="15"/>
        <v>0</v>
      </c>
      <c r="AA71" s="96"/>
      <c r="AB71" s="97">
        <f t="shared" si="16"/>
        <v>0</v>
      </c>
      <c r="AC71" s="97">
        <f t="shared" si="17"/>
        <v>0</v>
      </c>
      <c r="AD71" s="97">
        <f t="shared" si="18"/>
        <v>0</v>
      </c>
      <c r="AE71" s="96"/>
      <c r="AF71" s="97">
        <f t="shared" si="19"/>
        <v>0</v>
      </c>
      <c r="AG71" s="97">
        <f t="shared" si="20"/>
        <v>0</v>
      </c>
      <c r="AH71" s="97">
        <f t="shared" si="21"/>
        <v>0</v>
      </c>
      <c r="AI71" s="96"/>
      <c r="AJ71" s="97">
        <f t="shared" si="22"/>
        <v>0</v>
      </c>
      <c r="AK71" s="97">
        <f t="shared" si="23"/>
        <v>0</v>
      </c>
      <c r="AL71" s="97">
        <f t="shared" si="24"/>
        <v>0</v>
      </c>
      <c r="AM71" s="96"/>
      <c r="AN71" s="97">
        <f t="shared" si="25"/>
        <v>0</v>
      </c>
      <c r="AO71" s="97">
        <f t="shared" si="26"/>
        <v>0</v>
      </c>
      <c r="AP71" s="97">
        <f t="shared" si="27"/>
        <v>0</v>
      </c>
      <c r="AQ71" s="96"/>
      <c r="AR71" s="97">
        <f t="shared" si="28"/>
        <v>0</v>
      </c>
      <c r="AS71" s="97">
        <f t="shared" si="29"/>
        <v>0</v>
      </c>
      <c r="AT71" s="97">
        <f t="shared" si="30"/>
        <v>0</v>
      </c>
      <c r="AU71" s="96"/>
      <c r="AV71" s="97">
        <f t="shared" si="31"/>
        <v>0</v>
      </c>
      <c r="AW71" s="97">
        <f t="shared" si="32"/>
        <v>0</v>
      </c>
      <c r="AX71" s="97">
        <f t="shared" si="33"/>
        <v>0</v>
      </c>
      <c r="AY71" s="96"/>
      <c r="AZ71" s="65">
        <f t="shared" si="34"/>
        <v>0</v>
      </c>
      <c r="BA71" s="65">
        <f t="shared" si="35"/>
        <v>0</v>
      </c>
      <c r="BB71" s="65">
        <f t="shared" si="36"/>
        <v>0</v>
      </c>
    </row>
    <row r="72" spans="1:54" x14ac:dyDescent="0.2">
      <c r="A72" s="71"/>
      <c r="B72" s="96" t="s">
        <v>52</v>
      </c>
      <c r="C72" s="96"/>
      <c r="D72" s="97">
        <f t="shared" si="0"/>
        <v>0</v>
      </c>
      <c r="E72" s="97">
        <f t="shared" si="37"/>
        <v>0</v>
      </c>
      <c r="F72" s="97">
        <f t="shared" si="38"/>
        <v>0</v>
      </c>
      <c r="G72" s="96"/>
      <c r="H72" s="97">
        <f t="shared" si="1"/>
        <v>0</v>
      </c>
      <c r="I72" s="97">
        <f t="shared" si="2"/>
        <v>0</v>
      </c>
      <c r="J72" s="97">
        <f t="shared" si="3"/>
        <v>0</v>
      </c>
      <c r="K72" s="96"/>
      <c r="L72" s="97">
        <f t="shared" si="4"/>
        <v>0</v>
      </c>
      <c r="M72" s="97">
        <f t="shared" si="5"/>
        <v>0</v>
      </c>
      <c r="N72" s="97">
        <f t="shared" si="6"/>
        <v>0</v>
      </c>
      <c r="O72" s="96"/>
      <c r="P72" s="97">
        <f t="shared" si="7"/>
        <v>0</v>
      </c>
      <c r="Q72" s="97">
        <f t="shared" si="8"/>
        <v>0</v>
      </c>
      <c r="R72" s="97">
        <f t="shared" si="9"/>
        <v>0</v>
      </c>
      <c r="S72" s="96"/>
      <c r="T72" s="97">
        <f t="shared" si="10"/>
        <v>0</v>
      </c>
      <c r="U72" s="97">
        <f t="shared" si="11"/>
        <v>0</v>
      </c>
      <c r="V72" s="97">
        <f t="shared" si="12"/>
        <v>0</v>
      </c>
      <c r="W72" s="96"/>
      <c r="X72" s="97">
        <f t="shared" si="13"/>
        <v>0</v>
      </c>
      <c r="Y72" s="97">
        <f t="shared" si="14"/>
        <v>0</v>
      </c>
      <c r="Z72" s="97">
        <f t="shared" si="15"/>
        <v>0</v>
      </c>
      <c r="AA72" s="96"/>
      <c r="AB72" s="97">
        <f t="shared" si="16"/>
        <v>0</v>
      </c>
      <c r="AC72" s="97">
        <f t="shared" si="17"/>
        <v>0</v>
      </c>
      <c r="AD72" s="97">
        <f t="shared" si="18"/>
        <v>0</v>
      </c>
      <c r="AE72" s="96"/>
      <c r="AF72" s="97">
        <f t="shared" si="19"/>
        <v>0</v>
      </c>
      <c r="AG72" s="97">
        <f t="shared" si="20"/>
        <v>0</v>
      </c>
      <c r="AH72" s="97">
        <f t="shared" si="21"/>
        <v>0</v>
      </c>
      <c r="AI72" s="96"/>
      <c r="AJ72" s="97">
        <f t="shared" si="22"/>
        <v>0</v>
      </c>
      <c r="AK72" s="97">
        <f t="shared" si="23"/>
        <v>0</v>
      </c>
      <c r="AL72" s="97">
        <f t="shared" si="24"/>
        <v>0</v>
      </c>
      <c r="AM72" s="96"/>
      <c r="AN72" s="97">
        <f t="shared" si="25"/>
        <v>0</v>
      </c>
      <c r="AO72" s="97">
        <f t="shared" si="26"/>
        <v>0</v>
      </c>
      <c r="AP72" s="97">
        <f t="shared" si="27"/>
        <v>0</v>
      </c>
      <c r="AQ72" s="96"/>
      <c r="AR72" s="97">
        <f t="shared" si="28"/>
        <v>0</v>
      </c>
      <c r="AS72" s="97">
        <f t="shared" si="29"/>
        <v>0</v>
      </c>
      <c r="AT72" s="97">
        <f t="shared" si="30"/>
        <v>0</v>
      </c>
      <c r="AU72" s="96"/>
      <c r="AV72" s="97">
        <f t="shared" si="31"/>
        <v>0</v>
      </c>
      <c r="AW72" s="97">
        <f t="shared" si="32"/>
        <v>0</v>
      </c>
      <c r="AX72" s="97">
        <f t="shared" si="33"/>
        <v>0</v>
      </c>
      <c r="AY72" s="96"/>
      <c r="AZ72" s="65">
        <f t="shared" si="34"/>
        <v>0</v>
      </c>
      <c r="BA72" s="65">
        <f t="shared" si="35"/>
        <v>0</v>
      </c>
      <c r="BB72" s="65">
        <f t="shared" si="36"/>
        <v>0</v>
      </c>
    </row>
    <row r="73" spans="1:54" x14ac:dyDescent="0.2">
      <c r="A73" s="71"/>
      <c r="B73" s="96" t="s">
        <v>52</v>
      </c>
      <c r="C73" s="96"/>
      <c r="D73" s="97">
        <f t="shared" si="0"/>
        <v>0</v>
      </c>
      <c r="E73" s="97">
        <f t="shared" si="37"/>
        <v>0</v>
      </c>
      <c r="F73" s="97">
        <f t="shared" si="38"/>
        <v>0</v>
      </c>
      <c r="G73" s="96"/>
      <c r="H73" s="97">
        <f t="shared" si="1"/>
        <v>0</v>
      </c>
      <c r="I73" s="97">
        <f t="shared" si="2"/>
        <v>0</v>
      </c>
      <c r="J73" s="97">
        <f t="shared" si="3"/>
        <v>0</v>
      </c>
      <c r="K73" s="96"/>
      <c r="L73" s="97">
        <f t="shared" si="4"/>
        <v>0</v>
      </c>
      <c r="M73" s="97">
        <f t="shared" si="5"/>
        <v>0</v>
      </c>
      <c r="N73" s="97">
        <f t="shared" si="6"/>
        <v>0</v>
      </c>
      <c r="O73" s="96"/>
      <c r="P73" s="97">
        <f t="shared" si="7"/>
        <v>0</v>
      </c>
      <c r="Q73" s="97">
        <f t="shared" si="8"/>
        <v>0</v>
      </c>
      <c r="R73" s="97">
        <f t="shared" si="9"/>
        <v>0</v>
      </c>
      <c r="S73" s="96"/>
      <c r="T73" s="97">
        <f t="shared" si="10"/>
        <v>0</v>
      </c>
      <c r="U73" s="97">
        <f t="shared" si="11"/>
        <v>0</v>
      </c>
      <c r="V73" s="97">
        <f t="shared" si="12"/>
        <v>0</v>
      </c>
      <c r="W73" s="96"/>
      <c r="X73" s="97">
        <f t="shared" si="13"/>
        <v>0</v>
      </c>
      <c r="Y73" s="97">
        <f t="shared" si="14"/>
        <v>0</v>
      </c>
      <c r="Z73" s="97">
        <f t="shared" si="15"/>
        <v>0</v>
      </c>
      <c r="AA73" s="96"/>
      <c r="AB73" s="97">
        <f t="shared" si="16"/>
        <v>0</v>
      </c>
      <c r="AC73" s="97">
        <f t="shared" si="17"/>
        <v>0</v>
      </c>
      <c r="AD73" s="97">
        <f t="shared" si="18"/>
        <v>0</v>
      </c>
      <c r="AE73" s="96"/>
      <c r="AF73" s="97">
        <f t="shared" si="19"/>
        <v>0</v>
      </c>
      <c r="AG73" s="97">
        <f t="shared" si="20"/>
        <v>0</v>
      </c>
      <c r="AH73" s="97">
        <f t="shared" si="21"/>
        <v>0</v>
      </c>
      <c r="AI73" s="96"/>
      <c r="AJ73" s="97">
        <f t="shared" si="22"/>
        <v>0</v>
      </c>
      <c r="AK73" s="97">
        <f t="shared" si="23"/>
        <v>0</v>
      </c>
      <c r="AL73" s="97">
        <f t="shared" si="24"/>
        <v>0</v>
      </c>
      <c r="AM73" s="96"/>
      <c r="AN73" s="97">
        <f t="shared" si="25"/>
        <v>0</v>
      </c>
      <c r="AO73" s="97">
        <f t="shared" si="26"/>
        <v>0</v>
      </c>
      <c r="AP73" s="97">
        <f t="shared" si="27"/>
        <v>0</v>
      </c>
      <c r="AQ73" s="96"/>
      <c r="AR73" s="97">
        <f t="shared" si="28"/>
        <v>0</v>
      </c>
      <c r="AS73" s="97">
        <f t="shared" si="29"/>
        <v>0</v>
      </c>
      <c r="AT73" s="97">
        <f t="shared" si="30"/>
        <v>0</v>
      </c>
      <c r="AU73" s="96"/>
      <c r="AV73" s="97">
        <f t="shared" si="31"/>
        <v>0</v>
      </c>
      <c r="AW73" s="97">
        <f t="shared" si="32"/>
        <v>0</v>
      </c>
      <c r="AX73" s="97">
        <f t="shared" si="33"/>
        <v>0</v>
      </c>
      <c r="AY73" s="96"/>
      <c r="AZ73" s="65">
        <f t="shared" si="34"/>
        <v>0</v>
      </c>
      <c r="BA73" s="65">
        <f t="shared" si="35"/>
        <v>0</v>
      </c>
      <c r="BB73" s="65">
        <f t="shared" si="36"/>
        <v>0</v>
      </c>
    </row>
    <row r="74" spans="1:54" x14ac:dyDescent="0.2">
      <c r="A74" s="71"/>
      <c r="B74" s="96" t="s">
        <v>52</v>
      </c>
      <c r="C74" s="96"/>
      <c r="D74" s="97">
        <f t="shared" si="0"/>
        <v>0</v>
      </c>
      <c r="E74" s="97">
        <f t="shared" si="37"/>
        <v>0</v>
      </c>
      <c r="F74" s="97">
        <f t="shared" si="38"/>
        <v>0</v>
      </c>
      <c r="G74" s="96"/>
      <c r="H74" s="97">
        <f t="shared" si="1"/>
        <v>0</v>
      </c>
      <c r="I74" s="97">
        <f t="shared" si="2"/>
        <v>0</v>
      </c>
      <c r="J74" s="97">
        <f t="shared" si="3"/>
        <v>0</v>
      </c>
      <c r="K74" s="96"/>
      <c r="L74" s="97">
        <f t="shared" si="4"/>
        <v>0</v>
      </c>
      <c r="M74" s="97">
        <f t="shared" si="5"/>
        <v>0</v>
      </c>
      <c r="N74" s="97">
        <f t="shared" si="6"/>
        <v>0</v>
      </c>
      <c r="O74" s="96"/>
      <c r="P74" s="97">
        <f t="shared" si="7"/>
        <v>0</v>
      </c>
      <c r="Q74" s="97">
        <f t="shared" si="8"/>
        <v>0</v>
      </c>
      <c r="R74" s="97">
        <f t="shared" si="9"/>
        <v>0</v>
      </c>
      <c r="S74" s="96"/>
      <c r="T74" s="97">
        <f t="shared" si="10"/>
        <v>0</v>
      </c>
      <c r="U74" s="97">
        <f t="shared" si="11"/>
        <v>0</v>
      </c>
      <c r="V74" s="97">
        <f t="shared" si="12"/>
        <v>0</v>
      </c>
      <c r="W74" s="96"/>
      <c r="X74" s="97">
        <f t="shared" si="13"/>
        <v>0</v>
      </c>
      <c r="Y74" s="97">
        <f t="shared" si="14"/>
        <v>0</v>
      </c>
      <c r="Z74" s="97">
        <f t="shared" si="15"/>
        <v>0</v>
      </c>
      <c r="AA74" s="96"/>
      <c r="AB74" s="97">
        <f t="shared" si="16"/>
        <v>0</v>
      </c>
      <c r="AC74" s="97">
        <f t="shared" si="17"/>
        <v>0</v>
      </c>
      <c r="AD74" s="97">
        <f t="shared" si="18"/>
        <v>0</v>
      </c>
      <c r="AE74" s="96"/>
      <c r="AF74" s="97">
        <f t="shared" si="19"/>
        <v>0</v>
      </c>
      <c r="AG74" s="97">
        <f t="shared" si="20"/>
        <v>0</v>
      </c>
      <c r="AH74" s="97">
        <f t="shared" si="21"/>
        <v>0</v>
      </c>
      <c r="AI74" s="96"/>
      <c r="AJ74" s="97">
        <f t="shared" si="22"/>
        <v>0</v>
      </c>
      <c r="AK74" s="97">
        <f t="shared" si="23"/>
        <v>0</v>
      </c>
      <c r="AL74" s="97">
        <f t="shared" si="24"/>
        <v>0</v>
      </c>
      <c r="AM74" s="96"/>
      <c r="AN74" s="97">
        <f t="shared" si="25"/>
        <v>0</v>
      </c>
      <c r="AO74" s="97">
        <f t="shared" si="26"/>
        <v>0</v>
      </c>
      <c r="AP74" s="97">
        <f t="shared" si="27"/>
        <v>0</v>
      </c>
      <c r="AQ74" s="96"/>
      <c r="AR74" s="97">
        <f t="shared" si="28"/>
        <v>0</v>
      </c>
      <c r="AS74" s="97">
        <f t="shared" si="29"/>
        <v>0</v>
      </c>
      <c r="AT74" s="97">
        <f t="shared" si="30"/>
        <v>0</v>
      </c>
      <c r="AU74" s="96"/>
      <c r="AV74" s="97">
        <f t="shared" si="31"/>
        <v>0</v>
      </c>
      <c r="AW74" s="97">
        <f t="shared" si="32"/>
        <v>0</v>
      </c>
      <c r="AX74" s="97">
        <f t="shared" si="33"/>
        <v>0</v>
      </c>
      <c r="AY74" s="96"/>
      <c r="AZ74" s="65">
        <f t="shared" si="34"/>
        <v>0</v>
      </c>
      <c r="BA74" s="65">
        <f t="shared" si="35"/>
        <v>0</v>
      </c>
      <c r="BB74" s="65">
        <f t="shared" si="36"/>
        <v>0</v>
      </c>
    </row>
    <row r="75" spans="1:54" x14ac:dyDescent="0.2">
      <c r="A75" s="71"/>
      <c r="B75" s="96" t="s">
        <v>52</v>
      </c>
      <c r="C75" s="96"/>
      <c r="D75" s="97">
        <f t="shared" si="0"/>
        <v>0</v>
      </c>
      <c r="E75" s="97">
        <f t="shared" si="37"/>
        <v>0</v>
      </c>
      <c r="F75" s="97">
        <f t="shared" si="38"/>
        <v>0</v>
      </c>
      <c r="G75" s="96"/>
      <c r="H75" s="97">
        <f t="shared" si="1"/>
        <v>0</v>
      </c>
      <c r="I75" s="97">
        <f t="shared" si="2"/>
        <v>0</v>
      </c>
      <c r="J75" s="97">
        <f t="shared" si="3"/>
        <v>0</v>
      </c>
      <c r="K75" s="96"/>
      <c r="L75" s="97">
        <f t="shared" si="4"/>
        <v>0</v>
      </c>
      <c r="M75" s="97">
        <f t="shared" si="5"/>
        <v>0</v>
      </c>
      <c r="N75" s="97">
        <f t="shared" si="6"/>
        <v>0</v>
      </c>
      <c r="O75" s="96"/>
      <c r="P75" s="97">
        <f t="shared" si="7"/>
        <v>0</v>
      </c>
      <c r="Q75" s="97">
        <f t="shared" si="8"/>
        <v>0</v>
      </c>
      <c r="R75" s="97">
        <f t="shared" si="9"/>
        <v>0</v>
      </c>
      <c r="S75" s="96"/>
      <c r="T75" s="97">
        <f t="shared" si="10"/>
        <v>0</v>
      </c>
      <c r="U75" s="97">
        <f t="shared" si="11"/>
        <v>0</v>
      </c>
      <c r="V75" s="97">
        <f t="shared" si="12"/>
        <v>0</v>
      </c>
      <c r="W75" s="96"/>
      <c r="X75" s="97">
        <f t="shared" si="13"/>
        <v>0</v>
      </c>
      <c r="Y75" s="97">
        <f t="shared" si="14"/>
        <v>0</v>
      </c>
      <c r="Z75" s="97">
        <f t="shared" si="15"/>
        <v>0</v>
      </c>
      <c r="AA75" s="96"/>
      <c r="AB75" s="97">
        <f t="shared" si="16"/>
        <v>0</v>
      </c>
      <c r="AC75" s="97">
        <f t="shared" si="17"/>
        <v>0</v>
      </c>
      <c r="AD75" s="97">
        <f t="shared" si="18"/>
        <v>0</v>
      </c>
      <c r="AE75" s="96"/>
      <c r="AF75" s="97">
        <f t="shared" si="19"/>
        <v>0</v>
      </c>
      <c r="AG75" s="97">
        <f t="shared" si="20"/>
        <v>0</v>
      </c>
      <c r="AH75" s="97">
        <f t="shared" si="21"/>
        <v>0</v>
      </c>
      <c r="AI75" s="96"/>
      <c r="AJ75" s="97">
        <f t="shared" si="22"/>
        <v>0</v>
      </c>
      <c r="AK75" s="97">
        <f t="shared" si="23"/>
        <v>0</v>
      </c>
      <c r="AL75" s="97">
        <f t="shared" si="24"/>
        <v>0</v>
      </c>
      <c r="AM75" s="96"/>
      <c r="AN75" s="97">
        <f t="shared" si="25"/>
        <v>0</v>
      </c>
      <c r="AO75" s="97">
        <f t="shared" si="26"/>
        <v>0</v>
      </c>
      <c r="AP75" s="97">
        <f t="shared" si="27"/>
        <v>0</v>
      </c>
      <c r="AQ75" s="96"/>
      <c r="AR75" s="97">
        <f t="shared" si="28"/>
        <v>0</v>
      </c>
      <c r="AS75" s="97">
        <f t="shared" si="29"/>
        <v>0</v>
      </c>
      <c r="AT75" s="97">
        <f t="shared" si="30"/>
        <v>0</v>
      </c>
      <c r="AU75" s="96"/>
      <c r="AV75" s="97">
        <f t="shared" si="31"/>
        <v>0</v>
      </c>
      <c r="AW75" s="97">
        <f t="shared" si="32"/>
        <v>0</v>
      </c>
      <c r="AX75" s="97">
        <f t="shared" si="33"/>
        <v>0</v>
      </c>
      <c r="AY75" s="96"/>
      <c r="AZ75" s="65">
        <f t="shared" si="34"/>
        <v>0</v>
      </c>
      <c r="BA75" s="65">
        <f t="shared" si="35"/>
        <v>0</v>
      </c>
      <c r="BB75" s="65">
        <f t="shared" si="36"/>
        <v>0</v>
      </c>
    </row>
    <row r="76" spans="1:54" x14ac:dyDescent="0.2">
      <c r="A76" s="71"/>
      <c r="B76" s="96" t="s">
        <v>52</v>
      </c>
      <c r="C76" s="96"/>
      <c r="D76" s="97">
        <f t="shared" si="0"/>
        <v>0</v>
      </c>
      <c r="E76" s="97">
        <f t="shared" si="37"/>
        <v>0</v>
      </c>
      <c r="F76" s="97">
        <f t="shared" si="38"/>
        <v>0</v>
      </c>
      <c r="G76" s="96"/>
      <c r="H76" s="97">
        <f t="shared" si="1"/>
        <v>0</v>
      </c>
      <c r="I76" s="97">
        <f t="shared" si="2"/>
        <v>0</v>
      </c>
      <c r="J76" s="97">
        <f t="shared" si="3"/>
        <v>0</v>
      </c>
      <c r="K76" s="96"/>
      <c r="L76" s="97">
        <f t="shared" si="4"/>
        <v>0</v>
      </c>
      <c r="M76" s="97">
        <f t="shared" si="5"/>
        <v>0</v>
      </c>
      <c r="N76" s="97">
        <f t="shared" si="6"/>
        <v>0</v>
      </c>
      <c r="O76" s="96"/>
      <c r="P76" s="97">
        <f t="shared" si="7"/>
        <v>0</v>
      </c>
      <c r="Q76" s="97">
        <f t="shared" si="8"/>
        <v>0</v>
      </c>
      <c r="R76" s="97">
        <f t="shared" si="9"/>
        <v>0</v>
      </c>
      <c r="S76" s="96"/>
      <c r="T76" s="97">
        <f t="shared" si="10"/>
        <v>0</v>
      </c>
      <c r="U76" s="97">
        <f t="shared" si="11"/>
        <v>0</v>
      </c>
      <c r="V76" s="97">
        <f t="shared" si="12"/>
        <v>0</v>
      </c>
      <c r="W76" s="96"/>
      <c r="X76" s="97">
        <f t="shared" si="13"/>
        <v>0</v>
      </c>
      <c r="Y76" s="97">
        <f t="shared" si="14"/>
        <v>0</v>
      </c>
      <c r="Z76" s="97">
        <f t="shared" si="15"/>
        <v>0</v>
      </c>
      <c r="AA76" s="96"/>
      <c r="AB76" s="97">
        <f t="shared" si="16"/>
        <v>0</v>
      </c>
      <c r="AC76" s="97">
        <f t="shared" si="17"/>
        <v>0</v>
      </c>
      <c r="AD76" s="97">
        <f t="shared" si="18"/>
        <v>0</v>
      </c>
      <c r="AE76" s="96"/>
      <c r="AF76" s="97">
        <f t="shared" si="19"/>
        <v>0</v>
      </c>
      <c r="AG76" s="97">
        <f t="shared" si="20"/>
        <v>0</v>
      </c>
      <c r="AH76" s="97">
        <f t="shared" si="21"/>
        <v>0</v>
      </c>
      <c r="AI76" s="96"/>
      <c r="AJ76" s="97">
        <f t="shared" si="22"/>
        <v>0</v>
      </c>
      <c r="AK76" s="97">
        <f t="shared" si="23"/>
        <v>0</v>
      </c>
      <c r="AL76" s="97">
        <f t="shared" si="24"/>
        <v>0</v>
      </c>
      <c r="AM76" s="96"/>
      <c r="AN76" s="97">
        <f t="shared" si="25"/>
        <v>0</v>
      </c>
      <c r="AO76" s="97">
        <f t="shared" si="26"/>
        <v>0</v>
      </c>
      <c r="AP76" s="97">
        <f t="shared" si="27"/>
        <v>0</v>
      </c>
      <c r="AQ76" s="96"/>
      <c r="AR76" s="97">
        <f t="shared" si="28"/>
        <v>0</v>
      </c>
      <c r="AS76" s="97">
        <f t="shared" si="29"/>
        <v>0</v>
      </c>
      <c r="AT76" s="97">
        <f t="shared" si="30"/>
        <v>0</v>
      </c>
      <c r="AU76" s="96"/>
      <c r="AV76" s="97">
        <f t="shared" si="31"/>
        <v>0</v>
      </c>
      <c r="AW76" s="97">
        <f t="shared" si="32"/>
        <v>0</v>
      </c>
      <c r="AX76" s="97">
        <f t="shared" si="33"/>
        <v>0</v>
      </c>
      <c r="AY76" s="96"/>
      <c r="AZ76" s="65">
        <f t="shared" si="34"/>
        <v>0</v>
      </c>
      <c r="BA76" s="65">
        <f t="shared" si="35"/>
        <v>0</v>
      </c>
      <c r="BB76" s="65">
        <f t="shared" si="36"/>
        <v>0</v>
      </c>
    </row>
    <row r="77" spans="1:54" x14ac:dyDescent="0.2"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</row>
    <row r="78" spans="1:54" x14ac:dyDescent="0.2"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</row>
    <row r="79" spans="1:54" x14ac:dyDescent="0.2"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</row>
    <row r="80" spans="1:54" x14ac:dyDescent="0.2"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</row>
    <row r="81" spans="2:51" x14ac:dyDescent="0.2"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</row>
    <row r="82" spans="2:51" x14ac:dyDescent="0.2"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</row>
  </sheetData>
  <sheetProtection password="D974" sheet="1" objects="1" scenarios="1"/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Complexidade!$A$1:$A$3</xm:f>
          </x14:formula1>
          <xm:sqref>B18:B76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 enableFormatConditionsCalculation="0">
    <tabColor theme="9" tint="0.59999389629810485"/>
  </sheetPr>
  <dimension ref="A1:ED102"/>
  <sheetViews>
    <sheetView topLeftCell="A7" zoomScale="98" zoomScaleNormal="98" zoomScalePageLayoutView="98" workbookViewId="0">
      <selection activeCell="C38" sqref="C38"/>
    </sheetView>
  </sheetViews>
  <sheetFormatPr baseColWidth="10" defaultColWidth="8.83203125" defaultRowHeight="15" x14ac:dyDescent="0.2"/>
  <cols>
    <col min="1" max="1" width="102.1640625" bestFit="1" customWidth="1"/>
    <col min="2" max="2" width="20.33203125" customWidth="1"/>
    <col min="3" max="3" width="23.33203125" customWidth="1"/>
    <col min="4" max="6" width="2.5" hidden="1" customWidth="1"/>
    <col min="7" max="7" width="24.1640625" customWidth="1"/>
    <col min="8" max="10" width="2.5" hidden="1" customWidth="1"/>
    <col min="11" max="11" width="25.5" customWidth="1"/>
    <col min="12" max="14" width="2.5" hidden="1" customWidth="1"/>
    <col min="15" max="15" width="27" customWidth="1"/>
    <col min="16" max="18" width="2.5" hidden="1" customWidth="1"/>
    <col min="19" max="19" width="25.33203125" customWidth="1"/>
    <col min="20" max="22" width="2.5" hidden="1" customWidth="1"/>
    <col min="23" max="23" width="20.83203125" bestFit="1" customWidth="1"/>
    <col min="24" max="26" width="2.5" hidden="1" customWidth="1"/>
    <col min="27" max="27" width="19.33203125" bestFit="1" customWidth="1"/>
    <col min="28" max="30" width="2.5" hidden="1" customWidth="1"/>
    <col min="31" max="31" width="23.6640625" bestFit="1" customWidth="1"/>
    <col min="32" max="34" width="2.5" hidden="1" customWidth="1"/>
    <col min="35" max="35" width="24.1640625" customWidth="1"/>
    <col min="36" max="38" width="2.5" hidden="1" customWidth="1"/>
    <col min="39" max="39" width="16.5" bestFit="1" customWidth="1"/>
    <col min="40" max="42" width="2.5" hidden="1" customWidth="1"/>
    <col min="43" max="43" width="22.1640625" bestFit="1" customWidth="1"/>
    <col min="44" max="46" width="2.5" hidden="1" customWidth="1"/>
    <col min="47" max="47" width="20.6640625" customWidth="1"/>
    <col min="48" max="50" width="2.5" hidden="1" customWidth="1"/>
    <col min="51" max="51" width="36.83203125" customWidth="1"/>
    <col min="52" max="54" width="2.5" hidden="1" customWidth="1"/>
    <col min="55" max="55" width="50.33203125" bestFit="1" customWidth="1"/>
    <col min="56" max="56" width="3.5" hidden="1" customWidth="1"/>
    <col min="57" max="58" width="2.5" hidden="1" customWidth="1"/>
    <col min="59" max="59" width="24.5" bestFit="1" customWidth="1"/>
    <col min="60" max="62" width="2.5" hidden="1" customWidth="1"/>
    <col min="63" max="63" width="29.33203125" customWidth="1"/>
    <col min="64" max="64" width="3" hidden="1" customWidth="1"/>
    <col min="65" max="66" width="2.5" hidden="1" customWidth="1"/>
    <col min="67" max="67" width="30" bestFit="1" customWidth="1"/>
    <col min="68" max="68" width="4.6640625" hidden="1" customWidth="1"/>
    <col min="69" max="69" width="3.5" hidden="1" customWidth="1"/>
    <col min="70" max="70" width="3.6640625" hidden="1" customWidth="1"/>
    <col min="71" max="71" width="22.5" bestFit="1" customWidth="1"/>
    <col min="72" max="72" width="2.5" hidden="1" customWidth="1"/>
    <col min="73" max="73" width="3.5" hidden="1" customWidth="1"/>
    <col min="74" max="74" width="4.5" hidden="1" customWidth="1"/>
    <col min="75" max="75" width="22.1640625" bestFit="1" customWidth="1"/>
    <col min="76" max="76" width="3.5" hidden="1" customWidth="1"/>
    <col min="77" max="77" width="4.1640625" hidden="1" customWidth="1"/>
    <col min="78" max="78" width="4.83203125" hidden="1" customWidth="1"/>
    <col min="79" max="79" width="20.6640625" customWidth="1"/>
    <col min="80" max="80" width="4" hidden="1" customWidth="1"/>
    <col min="81" max="81" width="3.5" hidden="1" customWidth="1"/>
    <col min="82" max="82" width="3.83203125" hidden="1" customWidth="1"/>
    <col min="83" max="83" width="39.33203125" bestFit="1" customWidth="1"/>
    <col min="84" max="84" width="4" hidden="1" customWidth="1"/>
    <col min="85" max="85" width="3.83203125" hidden="1" customWidth="1"/>
    <col min="86" max="86" width="3.5" hidden="1" customWidth="1"/>
    <col min="87" max="87" width="50.33203125" bestFit="1" customWidth="1"/>
    <col min="88" max="88" width="4" hidden="1" customWidth="1"/>
    <col min="89" max="89" width="4.5" hidden="1" customWidth="1"/>
    <col min="90" max="90" width="3.5" hidden="1" customWidth="1"/>
    <col min="91" max="91" width="24.5" bestFit="1" customWidth="1"/>
    <col min="92" max="92" width="3.83203125" hidden="1" customWidth="1"/>
    <col min="93" max="93" width="4" hidden="1" customWidth="1"/>
    <col min="94" max="94" width="3.83203125" hidden="1" customWidth="1"/>
    <col min="95" max="95" width="50.33203125" bestFit="1" customWidth="1"/>
    <col min="96" max="96" width="3.5" hidden="1" customWidth="1"/>
    <col min="97" max="97" width="3.1640625" hidden="1" customWidth="1"/>
    <col min="98" max="98" width="4.5" hidden="1" customWidth="1"/>
    <col min="99" max="99" width="24.5" bestFit="1" customWidth="1"/>
    <col min="100" max="100" width="4" hidden="1" customWidth="1"/>
    <col min="101" max="101" width="5.5" hidden="1" customWidth="1"/>
    <col min="102" max="102" width="4" hidden="1" customWidth="1"/>
    <col min="103" max="103" width="23.6640625" bestFit="1" customWidth="1"/>
    <col min="104" max="104" width="4" hidden="1" customWidth="1"/>
    <col min="105" max="105" width="3.83203125" hidden="1" customWidth="1"/>
    <col min="106" max="106" width="4.1640625" hidden="1" customWidth="1"/>
    <col min="107" max="107" width="22.33203125" bestFit="1" customWidth="1"/>
    <col min="108" max="110" width="3.83203125" hidden="1" customWidth="1"/>
    <col min="111" max="111" width="16.5" bestFit="1" customWidth="1"/>
    <col min="112" max="114" width="3.83203125" hidden="1" customWidth="1"/>
    <col min="115" max="115" width="21.83203125" customWidth="1"/>
    <col min="116" max="118" width="3.83203125" hidden="1" customWidth="1"/>
    <col min="119" max="119" width="20.6640625" customWidth="1"/>
    <col min="120" max="122" width="3.83203125" hidden="1" customWidth="1"/>
    <col min="123" max="123" width="17.33203125" bestFit="1" customWidth="1"/>
    <col min="124" max="126" width="3.83203125" hidden="1" customWidth="1"/>
    <col min="127" max="127" width="35.33203125" bestFit="1" customWidth="1"/>
    <col min="128" max="130" width="3.83203125" hidden="1" customWidth="1"/>
    <col min="131" max="131" width="17.1640625" bestFit="1" customWidth="1"/>
    <col min="132" max="134" width="3.83203125" hidden="1" customWidth="1"/>
  </cols>
  <sheetData>
    <row r="1" spans="1:134" ht="16" thickBot="1" x14ac:dyDescent="0.25">
      <c r="O1" s="92"/>
      <c r="P1" s="93"/>
      <c r="Q1" s="93"/>
      <c r="R1" s="93"/>
      <c r="S1" s="93" t="s">
        <v>126</v>
      </c>
      <c r="T1" s="93"/>
      <c r="U1" s="93"/>
      <c r="V1" s="93"/>
      <c r="W1" s="94"/>
    </row>
    <row r="2" spans="1:134" ht="30" x14ac:dyDescent="0.2">
      <c r="A2" s="79" t="s">
        <v>100</v>
      </c>
      <c r="B2" s="80" t="s">
        <v>31</v>
      </c>
      <c r="C2" s="58" t="s">
        <v>59</v>
      </c>
      <c r="D2" s="58"/>
      <c r="E2" s="58"/>
      <c r="F2" s="58"/>
      <c r="G2" s="59" t="s">
        <v>60</v>
      </c>
      <c r="H2" s="58"/>
      <c r="I2" s="58"/>
      <c r="J2" s="58"/>
      <c r="K2" s="60" t="s">
        <v>61</v>
      </c>
      <c r="L2" s="58"/>
      <c r="M2" s="58"/>
      <c r="N2" s="58"/>
      <c r="O2" s="90" t="s">
        <v>123</v>
      </c>
      <c r="P2" s="90"/>
      <c r="Q2" s="90"/>
      <c r="R2" s="90"/>
      <c r="S2" s="90" t="s">
        <v>124</v>
      </c>
      <c r="T2" s="90"/>
      <c r="U2" s="90"/>
      <c r="V2" s="90"/>
      <c r="W2" s="91" t="s">
        <v>125</v>
      </c>
    </row>
    <row r="3" spans="1:134" x14ac:dyDescent="0.2">
      <c r="A3" s="77" t="str">
        <f>'Catalogo de Item de Serviço'!C51</f>
        <v>Parametrização Inicial</v>
      </c>
      <c r="B3" s="81" t="str">
        <f>'Catalogo de Item de Serviço'!D51</f>
        <v>Por projeto</v>
      </c>
      <c r="C3" s="65">
        <f>SUM($D$38:$D$96)</f>
        <v>0</v>
      </c>
      <c r="D3" s="65"/>
      <c r="E3" s="65"/>
      <c r="F3" s="65"/>
      <c r="G3" s="65">
        <f>SUM($E$38:$E$96)</f>
        <v>0</v>
      </c>
      <c r="H3" s="65"/>
      <c r="I3" s="65"/>
      <c r="J3" s="65"/>
      <c r="K3" s="65">
        <f>SUM($F$38:$F$96)</f>
        <v>0</v>
      </c>
      <c r="L3" s="65"/>
      <c r="M3" s="65"/>
      <c r="N3" s="65"/>
      <c r="O3" s="89">
        <f>'Catalogo de Item de Serviço'!F51</f>
        <v>32</v>
      </c>
      <c r="P3" s="89"/>
      <c r="Q3" s="89"/>
      <c r="R3" s="89"/>
      <c r="S3" s="89">
        <f>'Catalogo de Item de Serviço'!G51</f>
        <v>32</v>
      </c>
      <c r="T3" s="89"/>
      <c r="U3" s="89"/>
      <c r="V3" s="89"/>
      <c r="W3" s="89">
        <f>'Catalogo de Item de Serviço'!H51</f>
        <v>32</v>
      </c>
    </row>
    <row r="4" spans="1:134" x14ac:dyDescent="0.2">
      <c r="A4" s="77" t="str">
        <f>'Catalogo de Item de Serviço'!C52</f>
        <v>Levantamento do projeto</v>
      </c>
      <c r="B4" s="81" t="str">
        <f>'Catalogo de Item de Serviço'!D52</f>
        <v>Por projeto</v>
      </c>
      <c r="C4" s="65">
        <f>SUM($H$38:$H$96)</f>
        <v>0</v>
      </c>
      <c r="D4" s="65"/>
      <c r="E4" s="65"/>
      <c r="F4" s="65"/>
      <c r="G4" s="65">
        <f>SUM($I$38:$I$96)</f>
        <v>0</v>
      </c>
      <c r="H4" s="65"/>
      <c r="I4" s="65"/>
      <c r="J4" s="65"/>
      <c r="K4" s="65">
        <f>SUM($J$38:$J$96)</f>
        <v>0</v>
      </c>
      <c r="L4" s="65"/>
      <c r="M4" s="65"/>
      <c r="N4" s="65"/>
      <c r="O4" s="89">
        <f>'Catalogo de Item de Serviço'!F52</f>
        <v>8</v>
      </c>
      <c r="P4" s="89"/>
      <c r="Q4" s="89"/>
      <c r="R4" s="89"/>
      <c r="S4" s="89">
        <f>'Catalogo de Item de Serviço'!G52</f>
        <v>8</v>
      </c>
      <c r="T4" s="89"/>
      <c r="U4" s="89"/>
      <c r="V4" s="89"/>
      <c r="W4" s="89">
        <f>'Catalogo de Item de Serviço'!H52</f>
        <v>8</v>
      </c>
    </row>
    <row r="5" spans="1:134" x14ac:dyDescent="0.2">
      <c r="A5" s="77" t="str">
        <f>'Catalogo de Item de Serviço'!C53</f>
        <v>Cadastrar Conteúdo</v>
      </c>
      <c r="B5" s="81" t="str">
        <f>'Catalogo de Item de Serviço'!D53</f>
        <v>Por Conteudo</v>
      </c>
      <c r="C5" s="65">
        <f>SUM($L$38:$L$96)</f>
        <v>0</v>
      </c>
      <c r="D5" s="65"/>
      <c r="E5" s="65"/>
      <c r="F5" s="65"/>
      <c r="G5" s="65">
        <f>SUM($M$38:$M$96)</f>
        <v>0</v>
      </c>
      <c r="H5" s="65"/>
      <c r="I5" s="65"/>
      <c r="J5" s="65"/>
      <c r="K5" s="65">
        <f>SUM($N$38:$N$96)</f>
        <v>0</v>
      </c>
      <c r="L5" s="65"/>
      <c r="M5" s="65"/>
      <c r="N5" s="65"/>
      <c r="O5" s="89">
        <f>'Catalogo de Item de Serviço'!F53</f>
        <v>0.4</v>
      </c>
      <c r="P5" s="89"/>
      <c r="Q5" s="89"/>
      <c r="R5" s="89"/>
      <c r="S5" s="89">
        <f>'Catalogo de Item de Serviço'!G53</f>
        <v>0.4</v>
      </c>
      <c r="T5" s="89"/>
      <c r="U5" s="89"/>
      <c r="V5" s="89"/>
      <c r="W5" s="89">
        <f>'Catalogo de Item de Serviço'!H53</f>
        <v>0.4</v>
      </c>
    </row>
    <row r="6" spans="1:134" x14ac:dyDescent="0.2">
      <c r="A6" s="77" t="str">
        <f>'Catalogo de Item de Serviço'!C54</f>
        <v>Cadastrar e configurar 1 certificado</v>
      </c>
      <c r="B6" s="81" t="str">
        <f>'Catalogo de Item de Serviço'!D54</f>
        <v>Por Certificado</v>
      </c>
      <c r="C6" s="65">
        <f>SUM($P$38:$P$96)</f>
        <v>0</v>
      </c>
      <c r="D6" s="65"/>
      <c r="E6" s="65"/>
      <c r="F6" s="65"/>
      <c r="G6" s="65">
        <f>SUM($Q$38:$Q$96)</f>
        <v>0</v>
      </c>
      <c r="H6" s="65"/>
      <c r="I6" s="65"/>
      <c r="J6" s="65"/>
      <c r="K6" s="65">
        <f>SUM($R$38:$R$96)</f>
        <v>0</v>
      </c>
      <c r="L6" s="65"/>
      <c r="M6" s="65"/>
      <c r="N6" s="65"/>
      <c r="O6" s="89">
        <f>'Catalogo de Item de Serviço'!F54</f>
        <v>0.5</v>
      </c>
      <c r="P6" s="89"/>
      <c r="Q6" s="89"/>
      <c r="R6" s="89"/>
      <c r="S6" s="89">
        <f>'Catalogo de Item de Serviço'!G54</f>
        <v>0.5</v>
      </c>
      <c r="T6" s="89"/>
      <c r="U6" s="89"/>
      <c r="V6" s="89"/>
      <c r="W6" s="89">
        <f>'Catalogo de Item de Serviço'!H54</f>
        <v>0.5</v>
      </c>
    </row>
    <row r="7" spans="1:134" x14ac:dyDescent="0.2">
      <c r="A7" s="77" t="str">
        <f>'Catalogo de Item de Serviço'!C55</f>
        <v>Cadastrar e configurar conta do tipo tempo</v>
      </c>
      <c r="B7" s="81" t="str">
        <f>'Catalogo de Item de Serviço'!D55</f>
        <v>Por Conta</v>
      </c>
      <c r="C7" s="65">
        <f>SUM($T$38:$T$96)</f>
        <v>0</v>
      </c>
      <c r="D7" s="65"/>
      <c r="E7" s="65"/>
      <c r="F7" s="65"/>
      <c r="G7" s="65">
        <f>SUM($U$38:$U$96)</f>
        <v>0</v>
      </c>
      <c r="H7" s="65"/>
      <c r="I7" s="65"/>
      <c r="J7" s="65"/>
      <c r="K7" s="65">
        <f>SUM($V$38:$V$96)</f>
        <v>0</v>
      </c>
      <c r="L7" s="65"/>
      <c r="M7" s="65"/>
      <c r="N7" s="65"/>
      <c r="O7" s="89">
        <f>'Catalogo de Item de Serviço'!F55</f>
        <v>0.25</v>
      </c>
      <c r="P7" s="89"/>
      <c r="Q7" s="89"/>
      <c r="R7" s="89"/>
      <c r="S7" s="89">
        <f>'Catalogo de Item de Serviço'!G55</f>
        <v>0.25</v>
      </c>
      <c r="T7" s="89"/>
      <c r="U7" s="89"/>
      <c r="V7" s="89"/>
      <c r="W7" s="89">
        <f>'Catalogo de Item de Serviço'!H55</f>
        <v>0.25</v>
      </c>
    </row>
    <row r="8" spans="1:134" x14ac:dyDescent="0.2">
      <c r="A8" s="77" t="str">
        <f>'Catalogo de Item de Serviço'!C56</f>
        <v>Cadastrar e configurar conta do tipo crédito</v>
      </c>
      <c r="B8" s="81" t="str">
        <f>'Catalogo de Item de Serviço'!D56</f>
        <v>Por Conta</v>
      </c>
      <c r="C8" s="65">
        <f>SUM($X$38:$X$96)</f>
        <v>0</v>
      </c>
      <c r="D8" s="65"/>
      <c r="E8" s="65"/>
      <c r="F8" s="65"/>
      <c r="G8" s="65">
        <f>SUM($Y$38:$Y$96)</f>
        <v>0</v>
      </c>
      <c r="H8" s="65"/>
      <c r="I8" s="65"/>
      <c r="J8" s="65"/>
      <c r="K8" s="65">
        <f>SUM($Z$38:$Z$96)</f>
        <v>0</v>
      </c>
      <c r="L8" s="65"/>
      <c r="M8" s="65"/>
      <c r="N8" s="65"/>
      <c r="O8" s="89">
        <f>'Catalogo de Item de Serviço'!F56</f>
        <v>0.5</v>
      </c>
      <c r="P8" s="89"/>
      <c r="Q8" s="89"/>
      <c r="R8" s="89"/>
      <c r="S8" s="89">
        <f>'Catalogo de Item de Serviço'!G56</f>
        <v>0.5</v>
      </c>
      <c r="T8" s="89"/>
      <c r="U8" s="89"/>
      <c r="V8" s="89"/>
      <c r="W8" s="89">
        <f>'Catalogo de Item de Serviço'!H56</f>
        <v>0.5</v>
      </c>
    </row>
    <row r="9" spans="1:134" x14ac:dyDescent="0.2">
      <c r="A9" s="77" t="str">
        <f>'Catalogo de Item de Serviço'!C57</f>
        <v>Cadastrar e configurar a conta padrão</v>
      </c>
      <c r="B9" s="81" t="str">
        <f>'Catalogo de Item de Serviço'!D57</f>
        <v>Por Conta</v>
      </c>
      <c r="C9" s="65">
        <f>SUM($AB$38:$AB$96)</f>
        <v>0</v>
      </c>
      <c r="D9" s="65"/>
      <c r="E9" s="65"/>
      <c r="F9" s="65"/>
      <c r="G9" s="65">
        <f>SUM($AC$38:$AC$96)</f>
        <v>0</v>
      </c>
      <c r="H9" s="65"/>
      <c r="I9" s="65"/>
      <c r="J9" s="65"/>
      <c r="K9" s="65">
        <f>SUM($AD$38:$AD$96)</f>
        <v>0</v>
      </c>
      <c r="L9" s="65"/>
      <c r="M9" s="65"/>
      <c r="N9" s="65"/>
      <c r="O9" s="89">
        <f>'Catalogo de Item de Serviço'!F57</f>
        <v>0.5</v>
      </c>
      <c r="P9" s="89"/>
      <c r="Q9" s="89"/>
      <c r="R9" s="89"/>
      <c r="S9" s="89">
        <f>'Catalogo de Item de Serviço'!G57</f>
        <v>0.5</v>
      </c>
      <c r="T9" s="89"/>
      <c r="U9" s="89"/>
      <c r="V9" s="89"/>
      <c r="W9" s="89">
        <f>'Catalogo de Item de Serviço'!H57</f>
        <v>0.5</v>
      </c>
    </row>
    <row r="10" spans="1:134" x14ac:dyDescent="0.2">
      <c r="A10" s="77" t="str">
        <f>'Catalogo de Item de Serviço'!C58</f>
        <v>Cadastrar Pastas no Catálogo de Treinamento</v>
      </c>
      <c r="B10" s="81" t="str">
        <f>'Catalogo de Item de Serviço'!D58</f>
        <v>Por Pasta</v>
      </c>
      <c r="C10" s="65">
        <f>SUM($AF$38:$AF$96)</f>
        <v>0</v>
      </c>
      <c r="D10" s="65"/>
      <c r="E10" s="65"/>
      <c r="F10" s="65"/>
      <c r="G10" s="65">
        <f>SUM($AG$38:$AG$96)</f>
        <v>0</v>
      </c>
      <c r="H10" s="65"/>
      <c r="I10" s="65"/>
      <c r="J10" s="65"/>
      <c r="K10" s="65">
        <f>SUM($AH$38:$AH$96)</f>
        <v>0</v>
      </c>
      <c r="L10" s="65"/>
      <c r="M10" s="65"/>
      <c r="N10" s="65"/>
      <c r="O10" s="89">
        <f>'Catalogo de Item de Serviço'!F58</f>
        <v>0.16666666666666666</v>
      </c>
      <c r="P10" s="89"/>
      <c r="Q10" s="89"/>
      <c r="R10" s="89"/>
      <c r="S10" s="89">
        <f>'Catalogo de Item de Serviço'!G58</f>
        <v>0.16666666666666666</v>
      </c>
      <c r="T10" s="89"/>
      <c r="U10" s="89"/>
      <c r="V10" s="89"/>
      <c r="W10" s="89">
        <f>'Catalogo de Item de Serviço'!H58</f>
        <v>0.16666666666666666</v>
      </c>
    </row>
    <row r="11" spans="1:134" x14ac:dyDescent="0.2">
      <c r="A11" s="77" t="str">
        <f>'Catalogo de Item de Serviço'!C59</f>
        <v>Cadastrar Pastas no Catálogo de Disciplinas/Turmas</v>
      </c>
      <c r="B11" s="81" t="str">
        <f>'Catalogo de Item de Serviço'!D59</f>
        <v>Por Pasta</v>
      </c>
      <c r="C11" s="65">
        <f>SUM($AJ$38:$AJ$96)</f>
        <v>0</v>
      </c>
      <c r="D11" s="65"/>
      <c r="E11" s="65"/>
      <c r="F11" s="65"/>
      <c r="G11" s="65">
        <f>SUM($AK$38:$AK$96)</f>
        <v>0</v>
      </c>
      <c r="H11" s="65"/>
      <c r="I11" s="65"/>
      <c r="J11" s="65"/>
      <c r="K11" s="65">
        <f>SUM($AL$38:$AL$96)</f>
        <v>0</v>
      </c>
      <c r="L11" s="65"/>
      <c r="M11" s="65"/>
      <c r="N11" s="65"/>
      <c r="O11" s="89">
        <f>'Catalogo de Item de Serviço'!F59</f>
        <v>0.16666666666666666</v>
      </c>
      <c r="P11" s="89"/>
      <c r="Q11" s="89"/>
      <c r="R11" s="89"/>
      <c r="S11" s="89">
        <f>'Catalogo de Item de Serviço'!G59</f>
        <v>0.16666666666666666</v>
      </c>
      <c r="T11" s="89"/>
      <c r="U11" s="89"/>
      <c r="V11" s="89"/>
      <c r="W11" s="89">
        <f>'Catalogo de Item de Serviço'!H59</f>
        <v>0.16666666666666666</v>
      </c>
    </row>
    <row r="12" spans="1:134" x14ac:dyDescent="0.2">
      <c r="A12" s="77" t="str">
        <f>'Catalogo de Item de Serviço'!C60</f>
        <v>Cadastrar Treinamento com Pré-Teste, Conteúdo e Pós-Teste</v>
      </c>
      <c r="B12" s="81" t="str">
        <f>'Catalogo de Item de Serviço'!D60</f>
        <v>Por Treinametno</v>
      </c>
      <c r="C12" s="65">
        <f>SUM($AN$38:$AN$96)</f>
        <v>0</v>
      </c>
      <c r="D12" s="65"/>
      <c r="E12" s="65"/>
      <c r="F12" s="65"/>
      <c r="G12" s="65">
        <f>SUM($AO$38:$AO$96)</f>
        <v>0</v>
      </c>
      <c r="H12" s="65"/>
      <c r="I12" s="65"/>
      <c r="J12" s="65"/>
      <c r="K12" s="65">
        <f>SUM($AP$38:$AP$96)</f>
        <v>0</v>
      </c>
      <c r="L12" s="65"/>
      <c r="M12" s="65"/>
      <c r="N12" s="65"/>
      <c r="O12" s="89">
        <f>'Catalogo de Item de Serviço'!F60</f>
        <v>0.4</v>
      </c>
      <c r="P12" s="89"/>
      <c r="Q12" s="89"/>
      <c r="R12" s="89"/>
      <c r="S12" s="89">
        <f>'Catalogo de Item de Serviço'!G60</f>
        <v>0.4</v>
      </c>
      <c r="T12" s="89"/>
      <c r="U12" s="89"/>
      <c r="V12" s="89"/>
      <c r="W12" s="89">
        <f>'Catalogo de Item de Serviço'!H60</f>
        <v>0.4</v>
      </c>
    </row>
    <row r="13" spans="1:134" x14ac:dyDescent="0.2">
      <c r="A13" s="77" t="str">
        <f>'Catalogo de Item de Serviço'!C61</f>
        <v>Cadastrar Trilha de Aprendizado</v>
      </c>
      <c r="B13" s="81" t="str">
        <f>'Catalogo de Item de Serviço'!D61</f>
        <v>Por Trilha</v>
      </c>
      <c r="C13" s="65">
        <f>SUM($AR$38:$AR$96)</f>
        <v>0</v>
      </c>
      <c r="D13" s="65"/>
      <c r="E13" s="65"/>
      <c r="F13" s="65"/>
      <c r="G13" s="65">
        <f>SUM($AS$38:$AS$96)</f>
        <v>0</v>
      </c>
      <c r="H13" s="65"/>
      <c r="I13" s="65"/>
      <c r="J13" s="65"/>
      <c r="K13" s="65">
        <f>SUM($AT$38:$AT$96)</f>
        <v>0</v>
      </c>
      <c r="L13" s="65"/>
      <c r="M13" s="65"/>
      <c r="N13" s="65"/>
      <c r="O13" s="89">
        <f>'Catalogo de Item de Serviço'!F61</f>
        <v>0.25</v>
      </c>
      <c r="P13" s="89"/>
      <c r="Q13" s="89"/>
      <c r="R13" s="89"/>
      <c r="S13" s="89">
        <f>'Catalogo de Item de Serviço'!G61</f>
        <v>0.25</v>
      </c>
      <c r="T13" s="89"/>
      <c r="U13" s="89"/>
      <c r="V13" s="89"/>
      <c r="W13" s="89">
        <f>'Catalogo de Item de Serviço'!H61</f>
        <v>0.25</v>
      </c>
    </row>
    <row r="14" spans="1:134" x14ac:dyDescent="0.2">
      <c r="A14" s="77" t="str">
        <f>'Catalogo de Item de Serviço'!C62</f>
        <v>Cadastrar e Configurar Disciplinas</v>
      </c>
      <c r="B14" s="81" t="str">
        <f>'Catalogo de Item de Serviço'!D62</f>
        <v>Por Diciplina</v>
      </c>
      <c r="C14" s="65">
        <f>SUM($AV$38:$AV$96)</f>
        <v>0</v>
      </c>
      <c r="D14" s="65"/>
      <c r="E14" s="65"/>
      <c r="F14" s="65"/>
      <c r="G14" s="65">
        <f>SUM($AW$38:$AW$96)</f>
        <v>0</v>
      </c>
      <c r="H14" s="65"/>
      <c r="I14" s="65"/>
      <c r="J14" s="65"/>
      <c r="K14" s="65">
        <f>SUM($AX$38:$AX$96)</f>
        <v>0</v>
      </c>
      <c r="L14" s="65"/>
      <c r="M14" s="65"/>
      <c r="N14" s="65"/>
      <c r="O14" s="89">
        <f>'Catalogo de Item de Serviço'!F62</f>
        <v>0.4</v>
      </c>
      <c r="P14" s="89"/>
      <c r="Q14" s="89"/>
      <c r="R14" s="89"/>
      <c r="S14" s="89">
        <f>'Catalogo de Item de Serviço'!G62</f>
        <v>0.4</v>
      </c>
      <c r="T14" s="89"/>
      <c r="U14" s="89"/>
      <c r="V14" s="89"/>
      <c r="W14" s="89">
        <f>'Catalogo de Item de Serviço'!H62</f>
        <v>0.4</v>
      </c>
    </row>
    <row r="15" spans="1:134" x14ac:dyDescent="0.2">
      <c r="A15" s="77" t="str">
        <f>'Catalogo de Item de Serviço'!C63</f>
        <v xml:space="preserve">Cadastrar e Configurar  Turmas na Disciplina </v>
      </c>
      <c r="B15" s="81" t="str">
        <f>'Catalogo de Item de Serviço'!D63</f>
        <v>Por Turma</v>
      </c>
      <c r="C15" s="65">
        <f>SUM($AZ$38:$AZ$96)</f>
        <v>0</v>
      </c>
      <c r="D15" s="65"/>
      <c r="E15" s="65"/>
      <c r="F15" s="65"/>
      <c r="G15" s="65">
        <f>SUM($BA$38:$BA$96)</f>
        <v>0</v>
      </c>
      <c r="H15" s="65"/>
      <c r="I15" s="65"/>
      <c r="J15" s="65"/>
      <c r="K15" s="65">
        <f>SUM($BB$38:$BB$96)</f>
        <v>0</v>
      </c>
      <c r="L15" s="65"/>
      <c r="M15" s="65"/>
      <c r="N15" s="65"/>
      <c r="O15" s="89">
        <f>'Catalogo de Item de Serviço'!F63</f>
        <v>0.2</v>
      </c>
      <c r="P15" s="89"/>
      <c r="Q15" s="89"/>
      <c r="R15" s="89"/>
      <c r="S15" s="89">
        <f>'Catalogo de Item de Serviço'!G63</f>
        <v>0.2</v>
      </c>
      <c r="T15" s="89"/>
      <c r="U15" s="89"/>
      <c r="V15" s="89"/>
      <c r="W15" s="89">
        <f>'Catalogo de Item de Serviço'!H63</f>
        <v>0.2</v>
      </c>
    </row>
    <row r="16" spans="1:134" x14ac:dyDescent="0.2">
      <c r="A16" s="77" t="str">
        <f>'Catalogo de Item de Serviço'!C64</f>
        <v xml:space="preserve">Cadastrar e Configurar Turmas Modelo na Disciplina </v>
      </c>
      <c r="B16" s="81" t="str">
        <f>'Catalogo de Item de Serviço'!D64</f>
        <v>Por Turma</v>
      </c>
      <c r="C16" s="65">
        <f>SUM($BD$38:$BD$96)</f>
        <v>0</v>
      </c>
      <c r="D16" s="65"/>
      <c r="E16" s="65"/>
      <c r="F16" s="65"/>
      <c r="G16" s="65">
        <f>SUM($BE$38:$BE$96)</f>
        <v>0</v>
      </c>
      <c r="H16" s="65"/>
      <c r="I16" s="65"/>
      <c r="J16" s="65"/>
      <c r="K16" s="65">
        <f>SUM($BF$38:$BF$96)</f>
        <v>0</v>
      </c>
      <c r="L16" s="65"/>
      <c r="M16" s="65"/>
      <c r="N16" s="65"/>
      <c r="O16" s="89">
        <f>'Catalogo de Item de Serviço'!F64</f>
        <v>0.25</v>
      </c>
      <c r="P16" s="89"/>
      <c r="Q16" s="89"/>
      <c r="R16" s="89"/>
      <c r="S16" s="89">
        <f>'Catalogo de Item de Serviço'!G64</f>
        <v>0.25</v>
      </c>
      <c r="T16" s="89"/>
      <c r="U16" s="89"/>
      <c r="V16" s="89"/>
      <c r="W16" s="89">
        <f>'Catalogo de Item de Serviço'!H64</f>
        <v>0.25</v>
      </c>
      <c r="X16" s="127"/>
      <c r="Y16" s="127"/>
      <c r="Z16" s="127"/>
      <c r="AB16" s="127"/>
      <c r="AC16" s="127"/>
      <c r="AD16" s="127"/>
      <c r="AF16" s="127"/>
      <c r="AG16" s="127"/>
      <c r="AH16" s="127"/>
      <c r="AJ16" s="127"/>
      <c r="AK16" s="127"/>
      <c r="AL16" s="127"/>
      <c r="AN16" s="127"/>
      <c r="AO16" s="127"/>
      <c r="AP16" s="127"/>
      <c r="AR16" s="127"/>
      <c r="AS16" s="127"/>
      <c r="AT16" s="127"/>
      <c r="AV16" s="127"/>
      <c r="AW16" s="127"/>
      <c r="AX16" s="127"/>
      <c r="AZ16" s="127"/>
      <c r="BA16" s="127"/>
      <c r="BB16" s="127"/>
      <c r="BD16" s="127"/>
      <c r="BE16" s="127"/>
      <c r="BF16" s="127"/>
      <c r="BH16" s="127"/>
      <c r="BI16" s="127"/>
      <c r="BJ16" s="127"/>
      <c r="BL16" s="127"/>
      <c r="BM16" s="127"/>
      <c r="BN16" s="127"/>
      <c r="BP16" s="127"/>
      <c r="BQ16" s="127"/>
      <c r="BR16" s="127"/>
      <c r="BT16" s="127"/>
      <c r="BU16" s="127"/>
      <c r="BV16" s="127"/>
      <c r="BX16" s="127"/>
      <c r="BY16" s="127"/>
      <c r="BZ16" s="127"/>
      <c r="CB16" s="127"/>
      <c r="CC16" s="127"/>
      <c r="CD16" s="127"/>
      <c r="CF16" s="127"/>
      <c r="CG16" s="127"/>
      <c r="CH16" s="127"/>
      <c r="CJ16" s="127"/>
      <c r="CK16" s="127"/>
      <c r="CL16" s="127"/>
      <c r="CN16" s="127"/>
      <c r="CO16" s="127"/>
      <c r="CP16" s="127"/>
      <c r="CR16" s="127"/>
      <c r="CS16" s="127"/>
      <c r="CT16" s="127"/>
      <c r="CV16" s="127"/>
      <c r="CW16" s="127"/>
      <c r="CX16" s="127"/>
      <c r="CZ16" s="127"/>
      <c r="DA16" s="127"/>
      <c r="DB16" s="127"/>
      <c r="DD16" s="127"/>
      <c r="DE16" s="127"/>
      <c r="DF16" s="127"/>
      <c r="DH16" s="127"/>
      <c r="DI16" s="127"/>
      <c r="DJ16" s="127"/>
      <c r="DL16" s="127"/>
      <c r="DM16" s="127"/>
      <c r="DN16" s="127"/>
      <c r="DP16" s="127"/>
      <c r="DQ16" s="127"/>
      <c r="DR16" s="127"/>
      <c r="DT16" s="127"/>
      <c r="DU16" s="127"/>
      <c r="DV16" s="127"/>
      <c r="DX16" s="127"/>
      <c r="DY16" s="127"/>
      <c r="DZ16" s="127"/>
      <c r="EB16" s="127"/>
      <c r="EC16" s="127"/>
      <c r="ED16" s="127"/>
    </row>
    <row r="17" spans="1:134" x14ac:dyDescent="0.2">
      <c r="A17" s="77" t="str">
        <f>'Catalogo de Item de Serviço'!C65</f>
        <v>Adicionar e Configurar Tópico (Aulas)</v>
      </c>
      <c r="B17" s="81" t="str">
        <f>'Catalogo de Item de Serviço'!D65</f>
        <v>Por Topico</v>
      </c>
      <c r="C17" s="65">
        <f>SUM($BH$38:$BH$96)</f>
        <v>0</v>
      </c>
      <c r="D17" s="65"/>
      <c r="E17" s="65"/>
      <c r="F17" s="65"/>
      <c r="G17" s="65">
        <f>SUM($BI$38:$BI$96)</f>
        <v>0</v>
      </c>
      <c r="H17" s="65"/>
      <c r="I17" s="65"/>
      <c r="J17" s="65"/>
      <c r="K17" s="65">
        <f>SUM($BJ$38:$BJ$96)</f>
        <v>0</v>
      </c>
      <c r="L17" s="65"/>
      <c r="M17" s="65"/>
      <c r="N17" s="65"/>
      <c r="O17" s="89">
        <f>'Catalogo de Item de Serviço'!F65</f>
        <v>0.25</v>
      </c>
      <c r="P17" s="89"/>
      <c r="Q17" s="89"/>
      <c r="R17" s="89"/>
      <c r="S17" s="89">
        <f>'Catalogo de Item de Serviço'!G65</f>
        <v>0.25</v>
      </c>
      <c r="T17" s="89"/>
      <c r="U17" s="89"/>
      <c r="V17" s="89"/>
      <c r="W17" s="89">
        <f>'Catalogo de Item de Serviço'!H65</f>
        <v>0.25</v>
      </c>
      <c r="X17" s="127"/>
      <c r="Y17" s="127"/>
      <c r="Z17" s="127"/>
      <c r="AB17" s="127"/>
      <c r="AC17" s="127"/>
      <c r="AD17" s="127"/>
      <c r="AF17" s="127"/>
      <c r="AG17" s="127"/>
      <c r="AH17" s="127"/>
      <c r="AJ17" s="127"/>
      <c r="AK17" s="127"/>
      <c r="AL17" s="127"/>
      <c r="AN17" s="127"/>
      <c r="AO17" s="127"/>
      <c r="AP17" s="127"/>
      <c r="AR17" s="127"/>
      <c r="AS17" s="127"/>
      <c r="AT17" s="127"/>
      <c r="AV17" s="127"/>
      <c r="AW17" s="127"/>
      <c r="AX17" s="127"/>
      <c r="AZ17" s="127"/>
      <c r="BA17" s="127"/>
      <c r="BB17" s="127"/>
      <c r="BD17" s="127"/>
      <c r="BE17" s="127"/>
      <c r="BF17" s="127"/>
      <c r="BH17" s="127"/>
      <c r="BI17" s="127"/>
      <c r="BJ17" s="127"/>
      <c r="BL17" s="127"/>
      <c r="BM17" s="127"/>
      <c r="BN17" s="127"/>
      <c r="BP17" s="127"/>
      <c r="BQ17" s="127"/>
      <c r="BR17" s="127"/>
      <c r="BT17" s="127"/>
      <c r="BU17" s="127"/>
      <c r="BV17" s="127"/>
      <c r="BX17" s="127"/>
      <c r="BY17" s="127"/>
      <c r="BZ17" s="127"/>
      <c r="CB17" s="127"/>
      <c r="CC17" s="127"/>
      <c r="CD17" s="127"/>
      <c r="CF17" s="127"/>
      <c r="CG17" s="127"/>
      <c r="CH17" s="127"/>
      <c r="CJ17" s="127"/>
      <c r="CK17" s="127"/>
      <c r="CL17" s="127"/>
      <c r="CN17" s="127"/>
      <c r="CO17" s="127"/>
      <c r="CP17" s="127"/>
      <c r="CR17" s="127"/>
      <c r="CS17" s="127"/>
      <c r="CT17" s="127"/>
      <c r="CV17" s="127"/>
      <c r="CW17" s="127"/>
      <c r="CX17" s="127"/>
      <c r="CZ17" s="127"/>
      <c r="DA17" s="127"/>
      <c r="DB17" s="127"/>
      <c r="DD17" s="127"/>
      <c r="DE17" s="127"/>
      <c r="DF17" s="127"/>
      <c r="DH17" s="127"/>
      <c r="DI17" s="127"/>
      <c r="DJ17" s="127"/>
      <c r="DL17" s="127"/>
      <c r="DM17" s="127"/>
      <c r="DN17" s="127"/>
      <c r="DP17" s="127"/>
      <c r="DQ17" s="127"/>
      <c r="DR17" s="127"/>
      <c r="DT17" s="127"/>
      <c r="DU17" s="127"/>
      <c r="DV17" s="127"/>
      <c r="DX17" s="127"/>
      <c r="DY17" s="127"/>
      <c r="DZ17" s="127"/>
      <c r="EB17" s="127"/>
      <c r="EC17" s="127"/>
      <c r="ED17" s="127"/>
    </row>
    <row r="18" spans="1:134" x14ac:dyDescent="0.2">
      <c r="A18" s="77" t="str">
        <f>'Catalogo de Item de Serviço'!C66</f>
        <v>Adicionar e Configurar  Itens de Tópico, incluindo Entrega de trabalho e Link Externo</v>
      </c>
      <c r="B18" s="81" t="str">
        <f>'Catalogo de Item de Serviço'!D66</f>
        <v>Por Topico</v>
      </c>
      <c r="C18" s="65">
        <f>SUM($BL$38:$BL$96)</f>
        <v>0</v>
      </c>
      <c r="D18" s="65"/>
      <c r="E18" s="65"/>
      <c r="F18" s="65"/>
      <c r="G18" s="65">
        <f>SUM($BM$38:$BM$96)</f>
        <v>0</v>
      </c>
      <c r="H18" s="65"/>
      <c r="I18" s="65"/>
      <c r="J18" s="65"/>
      <c r="K18" s="65">
        <f>SUM($BN$38:$BN$96)</f>
        <v>0</v>
      </c>
      <c r="L18" s="65"/>
      <c r="M18" s="65"/>
      <c r="N18" s="65"/>
      <c r="O18" s="89">
        <f>'Catalogo de Item de Serviço'!F66</f>
        <v>0.4</v>
      </c>
      <c r="P18" s="89"/>
      <c r="Q18" s="89"/>
      <c r="R18" s="89"/>
      <c r="S18" s="89">
        <f>'Catalogo de Item de Serviço'!G66</f>
        <v>0.4</v>
      </c>
      <c r="T18" s="89"/>
      <c r="U18" s="89"/>
      <c r="V18" s="89"/>
      <c r="W18" s="89">
        <f>'Catalogo de Item de Serviço'!H66</f>
        <v>0.4</v>
      </c>
    </row>
    <row r="19" spans="1:134" x14ac:dyDescent="0.2">
      <c r="A19" s="77" t="str">
        <f>'Catalogo de Item de Serviço'!C67</f>
        <v>Cadastrar e Configurar  Eventos Colaborativo</v>
      </c>
      <c r="B19" s="81" t="str">
        <f>'Catalogo de Item de Serviço'!D67</f>
        <v>Por Evento</v>
      </c>
      <c r="C19" s="65">
        <f>SUM($BP$38:$BP$96)</f>
        <v>0</v>
      </c>
      <c r="D19" s="65"/>
      <c r="E19" s="65"/>
      <c r="F19" s="65"/>
      <c r="G19" s="65">
        <f>SUM($BQ$38:$BQ$96)</f>
        <v>0</v>
      </c>
      <c r="H19" s="65"/>
      <c r="I19" s="65"/>
      <c r="J19" s="65"/>
      <c r="K19" s="65">
        <f>SUM($BR$38:$BR$96)</f>
        <v>0</v>
      </c>
      <c r="L19" s="65"/>
      <c r="M19" s="65"/>
      <c r="N19" s="65"/>
      <c r="O19" s="89">
        <f>'Catalogo de Item de Serviço'!F67</f>
        <v>0.5</v>
      </c>
      <c r="P19" s="89"/>
      <c r="Q19" s="89"/>
      <c r="R19" s="89"/>
      <c r="S19" s="89">
        <f>'Catalogo de Item de Serviço'!G67</f>
        <v>0.5</v>
      </c>
      <c r="T19" s="89"/>
      <c r="U19" s="89"/>
      <c r="V19" s="89"/>
      <c r="W19" s="89">
        <f>'Catalogo de Item de Serviço'!H67</f>
        <v>0.5</v>
      </c>
    </row>
    <row r="20" spans="1:134" x14ac:dyDescent="0.2">
      <c r="A20" s="77" t="str">
        <f>'Catalogo de Item de Serviço'!C68</f>
        <v>Cadastrar novas sessões</v>
      </c>
      <c r="B20" s="81" t="str">
        <f>'Catalogo de Item de Serviço'!D68</f>
        <v>Por Sessão</v>
      </c>
      <c r="C20" s="65">
        <f>SUM($BT$38:$BT$96)</f>
        <v>0</v>
      </c>
      <c r="D20" s="65"/>
      <c r="E20" s="65"/>
      <c r="F20" s="65"/>
      <c r="G20" s="65">
        <f>SUM($BU$38:$BU$96)</f>
        <v>0</v>
      </c>
      <c r="H20" s="65"/>
      <c r="I20" s="65"/>
      <c r="J20" s="65"/>
      <c r="K20" s="65">
        <f>SUM($BV$38:$BV$96)</f>
        <v>0</v>
      </c>
      <c r="L20" s="65"/>
      <c r="M20" s="65"/>
      <c r="N20" s="65"/>
      <c r="O20" s="89">
        <f>'Catalogo de Item de Serviço'!F68</f>
        <v>0.2</v>
      </c>
      <c r="P20" s="89"/>
      <c r="Q20" s="89"/>
      <c r="R20" s="89"/>
      <c r="S20" s="89">
        <f>'Catalogo de Item de Serviço'!G68</f>
        <v>0.2</v>
      </c>
      <c r="T20" s="89"/>
      <c r="U20" s="89"/>
      <c r="V20" s="89"/>
      <c r="W20" s="89">
        <f>'Catalogo de Item de Serviço'!H68</f>
        <v>0.2</v>
      </c>
    </row>
    <row r="21" spans="1:134" x14ac:dyDescent="0.2">
      <c r="A21" s="77" t="str">
        <f>'Catalogo de Item de Serviço'!C69</f>
        <v>Cadastrar e Configurar Habilidade</v>
      </c>
      <c r="B21" s="81" t="str">
        <f>'Catalogo de Item de Serviço'!D69</f>
        <v>Por Habilidade</v>
      </c>
      <c r="C21" s="65">
        <f>SUM($BX$38:$BX$96)</f>
        <v>0</v>
      </c>
      <c r="D21" s="65"/>
      <c r="E21" s="65"/>
      <c r="F21" s="65"/>
      <c r="G21" s="65">
        <f>SUM($BY$38:$BY$96)</f>
        <v>0</v>
      </c>
      <c r="H21" s="65"/>
      <c r="I21" s="65"/>
      <c r="J21" s="65"/>
      <c r="K21" s="65">
        <f>SUM($BZ$38:$BZ$96)</f>
        <v>0</v>
      </c>
      <c r="L21" s="65"/>
      <c r="M21" s="65"/>
      <c r="N21" s="65"/>
      <c r="O21" s="89">
        <f>'Catalogo de Item de Serviço'!F69</f>
        <v>0.1</v>
      </c>
      <c r="P21" s="89"/>
      <c r="Q21" s="89"/>
      <c r="R21" s="89"/>
      <c r="S21" s="89">
        <f>'Catalogo de Item de Serviço'!G69</f>
        <v>0.1</v>
      </c>
      <c r="T21" s="89"/>
      <c r="U21" s="89"/>
      <c r="V21" s="89"/>
      <c r="W21" s="89">
        <f>'Catalogo de Item de Serviço'!H69</f>
        <v>0.1</v>
      </c>
    </row>
    <row r="22" spans="1:134" x14ac:dyDescent="0.2">
      <c r="A22" s="77" t="str">
        <f>'Catalogo de Item de Serviço'!C70</f>
        <v>Cadastro e Configuração deTópicos</v>
      </c>
      <c r="B22" s="81" t="str">
        <f>'Catalogo de Item de Serviço'!D70</f>
        <v>Por Topico</v>
      </c>
      <c r="C22" s="65">
        <f>SUM($CB$38:$CB$96)</f>
        <v>0</v>
      </c>
      <c r="D22" s="65"/>
      <c r="E22" s="65"/>
      <c r="F22" s="65"/>
      <c r="G22" s="65">
        <f>SUM($CC$38:$CC$96)</f>
        <v>0</v>
      </c>
      <c r="H22" s="65"/>
      <c r="I22" s="65"/>
      <c r="J22" s="65"/>
      <c r="K22" s="65">
        <f>SUM($CD$38:$CD$96)</f>
        <v>0</v>
      </c>
      <c r="L22" s="65"/>
      <c r="M22" s="65"/>
      <c r="N22" s="65"/>
      <c r="O22" s="89">
        <f>'Catalogo de Item de Serviço'!F70</f>
        <v>0.1</v>
      </c>
      <c r="P22" s="89"/>
      <c r="Q22" s="89"/>
      <c r="R22" s="89"/>
      <c r="S22" s="89">
        <f>'Catalogo de Item de Serviço'!G70</f>
        <v>0.1</v>
      </c>
      <c r="T22" s="89"/>
      <c r="U22" s="89"/>
      <c r="V22" s="89"/>
      <c r="W22" s="89">
        <f>'Catalogo de Item de Serviço'!H70</f>
        <v>0.1</v>
      </c>
    </row>
    <row r="23" spans="1:134" x14ac:dyDescent="0.2">
      <c r="A23" s="77" t="str">
        <f>'Catalogo de Item de Serviço'!C71</f>
        <v>Cadastro e Configuração de Questões</v>
      </c>
      <c r="B23" s="81" t="str">
        <f>'Catalogo de Item de Serviço'!D71</f>
        <v>Por Questão</v>
      </c>
      <c r="C23" s="65">
        <f>SUM($CF$38:$CF$96)</f>
        <v>0</v>
      </c>
      <c r="D23" s="65"/>
      <c r="E23" s="65"/>
      <c r="F23" s="65"/>
      <c r="G23" s="65">
        <f>SUM($CG$38:$CG$96)</f>
        <v>0</v>
      </c>
      <c r="H23" s="65"/>
      <c r="I23" s="65"/>
      <c r="J23" s="65"/>
      <c r="K23" s="65">
        <f>SUM($CH$38:$CH$96)</f>
        <v>0</v>
      </c>
      <c r="L23" s="65"/>
      <c r="M23" s="65"/>
      <c r="N23" s="65"/>
      <c r="O23" s="89">
        <f>'Catalogo de Item de Serviço'!F71</f>
        <v>0.4</v>
      </c>
      <c r="P23" s="89"/>
      <c r="Q23" s="89"/>
      <c r="R23" s="89"/>
      <c r="S23" s="89">
        <f>'Catalogo de Item de Serviço'!G71</f>
        <v>0.4</v>
      </c>
      <c r="T23" s="89"/>
      <c r="U23" s="89"/>
      <c r="V23" s="89"/>
      <c r="W23" s="89">
        <f>'Catalogo de Item de Serviço'!H71</f>
        <v>0.4</v>
      </c>
    </row>
    <row r="24" spans="1:134" x14ac:dyDescent="0.2">
      <c r="A24" s="77" t="str">
        <f>'Catalogo de Item de Serviço'!C72</f>
        <v>Cadastro e Configuração de  Blocos</v>
      </c>
      <c r="B24" s="81" t="str">
        <f>'Catalogo de Item de Serviço'!D72</f>
        <v>Por Bloco</v>
      </c>
      <c r="C24" s="65">
        <f>SUM($CJ$38:$CJ$96)</f>
        <v>0</v>
      </c>
      <c r="D24" s="65"/>
      <c r="E24" s="65"/>
      <c r="F24" s="65"/>
      <c r="G24" s="65">
        <f>SUM($CK$38:$CK$96)</f>
        <v>0</v>
      </c>
      <c r="H24" s="65"/>
      <c r="I24" s="65"/>
      <c r="J24" s="65"/>
      <c r="K24" s="65">
        <f>SUM($CL$38:$CL$96)</f>
        <v>0</v>
      </c>
      <c r="L24" s="65"/>
      <c r="M24" s="65"/>
      <c r="N24" s="65"/>
      <c r="O24" s="89">
        <f>'Catalogo de Item de Serviço'!F72</f>
        <v>0.2</v>
      </c>
      <c r="P24" s="89"/>
      <c r="Q24" s="89"/>
      <c r="R24" s="89"/>
      <c r="S24" s="89">
        <f>'Catalogo de Item de Serviço'!G72</f>
        <v>0.2</v>
      </c>
      <c r="T24" s="89"/>
      <c r="U24" s="89"/>
      <c r="V24" s="89"/>
      <c r="W24" s="89">
        <f>'Catalogo de Item de Serviço'!H72</f>
        <v>0.2</v>
      </c>
    </row>
    <row r="25" spans="1:134" x14ac:dyDescent="0.2">
      <c r="A25" s="77" t="str">
        <f>'Catalogo de Item de Serviço'!C73</f>
        <v>Cadastro e Configuração de Avaliações</v>
      </c>
      <c r="B25" s="81" t="str">
        <f>'Catalogo de Item de Serviço'!D73</f>
        <v>Por Avaliação</v>
      </c>
      <c r="C25" s="65">
        <f>SUM($CN$38:$CN$96)</f>
        <v>0</v>
      </c>
      <c r="D25" s="65"/>
      <c r="E25" s="65"/>
      <c r="F25" s="65"/>
      <c r="G25" s="65">
        <f>SUM($CO$38:$CO$96)</f>
        <v>0</v>
      </c>
      <c r="H25" s="65"/>
      <c r="I25" s="65"/>
      <c r="J25" s="65"/>
      <c r="K25" s="65">
        <f>SUM($CP$38:$CP$96)</f>
        <v>0</v>
      </c>
      <c r="L25" s="65"/>
      <c r="M25" s="65"/>
      <c r="N25" s="65"/>
      <c r="O25" s="89">
        <f>'Catalogo de Item de Serviço'!F73</f>
        <v>0.2</v>
      </c>
      <c r="P25" s="89"/>
      <c r="Q25" s="89"/>
      <c r="R25" s="89"/>
      <c r="S25" s="89">
        <f>'Catalogo de Item de Serviço'!G73</f>
        <v>0.2</v>
      </c>
      <c r="T25" s="89"/>
      <c r="U25" s="89"/>
      <c r="V25" s="89"/>
      <c r="W25" s="89">
        <f>'Catalogo de Item de Serviço'!H73</f>
        <v>0.2</v>
      </c>
    </row>
    <row r="26" spans="1:134" x14ac:dyDescent="0.2">
      <c r="A26" s="77" t="str">
        <f>'Catalogo de Item de Serviço'!C74</f>
        <v>Cadastro de  Agendamento de Avaliações</v>
      </c>
      <c r="B26" s="81" t="str">
        <f>'Catalogo de Item de Serviço'!D74</f>
        <v>Por Agendamento</v>
      </c>
      <c r="C26" s="65">
        <f>SUM($CR$38:$CR$96)</f>
        <v>0</v>
      </c>
      <c r="D26" s="65"/>
      <c r="E26" s="65"/>
      <c r="F26" s="65"/>
      <c r="G26" s="65">
        <f>SUM($CS$38:$CS$96)</f>
        <v>0</v>
      </c>
      <c r="H26" s="65"/>
      <c r="I26" s="65"/>
      <c r="J26" s="65"/>
      <c r="K26" s="65">
        <f>SUM($CT$38:$CT$96)</f>
        <v>0</v>
      </c>
      <c r="L26" s="65"/>
      <c r="M26" s="65"/>
      <c r="N26" s="65"/>
      <c r="O26" s="89">
        <f>'Catalogo de Item de Serviço'!F74</f>
        <v>0.1</v>
      </c>
      <c r="P26" s="89"/>
      <c r="Q26" s="89"/>
      <c r="R26" s="89"/>
      <c r="S26" s="89">
        <f>'Catalogo de Item de Serviço'!G74</f>
        <v>0.1</v>
      </c>
      <c r="T26" s="89"/>
      <c r="U26" s="89"/>
      <c r="V26" s="89"/>
      <c r="W26" s="89">
        <f>'Catalogo de Item de Serviço'!H74</f>
        <v>0.1</v>
      </c>
    </row>
    <row r="27" spans="1:134" x14ac:dyDescent="0.2">
      <c r="A27" s="77" t="str">
        <f>'Catalogo de Item de Serviço'!C75</f>
        <v>Cadastro de Avaliações Externas</v>
      </c>
      <c r="B27" s="81" t="str">
        <f>'Catalogo de Item de Serviço'!D75</f>
        <v>Por Avaliação</v>
      </c>
      <c r="C27" s="65">
        <f>SUM($CV$38:$CV$96)</f>
        <v>0</v>
      </c>
      <c r="D27" s="65"/>
      <c r="E27" s="65"/>
      <c r="F27" s="65"/>
      <c r="G27" s="65">
        <f>SUM($CW$38:$CW$96)</f>
        <v>0</v>
      </c>
      <c r="H27" s="65"/>
      <c r="I27" s="65"/>
      <c r="J27" s="65"/>
      <c r="K27" s="65">
        <f>SUM($CX$38:$CX$96)</f>
        <v>0</v>
      </c>
      <c r="L27" s="65"/>
      <c r="M27" s="65"/>
      <c r="N27" s="65"/>
      <c r="O27" s="89">
        <f>'Catalogo de Item de Serviço'!F75</f>
        <v>2</v>
      </c>
      <c r="P27" s="89"/>
      <c r="Q27" s="89"/>
      <c r="R27" s="89"/>
      <c r="S27" s="89">
        <f>'Catalogo de Item de Serviço'!G75</f>
        <v>2</v>
      </c>
      <c r="T27" s="89"/>
      <c r="U27" s="89"/>
      <c r="V27" s="89"/>
      <c r="W27" s="89">
        <f>'Catalogo de Item de Serviço'!H75</f>
        <v>2</v>
      </c>
    </row>
    <row r="28" spans="1:134" x14ac:dyDescent="0.2">
      <c r="A28" s="77" t="str">
        <f>'Catalogo de Item de Serviço'!C76</f>
        <v>Matricular usuários em Turma</v>
      </c>
      <c r="B28" s="81" t="str">
        <f>'Catalogo de Item de Serviço'!D76</f>
        <v>Por Matricula</v>
      </c>
      <c r="C28" s="65">
        <f>SUM($CZ$38:$CZ$96)</f>
        <v>0</v>
      </c>
      <c r="D28" s="65"/>
      <c r="E28" s="65"/>
      <c r="F28" s="65"/>
      <c r="G28" s="65">
        <f>SUM($DA$38:$DA$96)</f>
        <v>0</v>
      </c>
      <c r="H28" s="65"/>
      <c r="I28" s="65"/>
      <c r="J28" s="65"/>
      <c r="K28" s="65">
        <f>SUM($DB$38:$DB$96)</f>
        <v>0</v>
      </c>
      <c r="L28" s="65"/>
      <c r="M28" s="65"/>
      <c r="N28" s="65"/>
      <c r="O28" s="89">
        <f>'Catalogo de Item de Serviço'!F76</f>
        <v>0.1</v>
      </c>
      <c r="P28" s="89"/>
      <c r="Q28" s="89"/>
      <c r="R28" s="89"/>
      <c r="S28" s="89">
        <f>'Catalogo de Item de Serviço'!G76</f>
        <v>0.1</v>
      </c>
      <c r="T28" s="89"/>
      <c r="U28" s="89"/>
      <c r="V28" s="89"/>
      <c r="W28" s="89">
        <f>'Catalogo de Item de Serviço'!H76</f>
        <v>0.1</v>
      </c>
    </row>
    <row r="29" spans="1:134" x14ac:dyDescent="0.2">
      <c r="A29" s="77" t="str">
        <f>'Catalogo de Item de Serviço'!C77</f>
        <v>Matricular usuários em Treinamento</v>
      </c>
      <c r="B29" s="81" t="str">
        <f>'Catalogo de Item de Serviço'!D77</f>
        <v>Por usuario</v>
      </c>
      <c r="C29" s="65">
        <f>SUM($DD$38:$DD$96)</f>
        <v>0</v>
      </c>
      <c r="D29" s="65"/>
      <c r="E29" s="65"/>
      <c r="F29" s="65"/>
      <c r="G29" s="65">
        <f>SUM($DE$38:$DE$96)</f>
        <v>0</v>
      </c>
      <c r="H29" s="65"/>
      <c r="I29" s="65"/>
      <c r="J29" s="65"/>
      <c r="K29" s="65">
        <f>SUM($DF$38:$DF$96)</f>
        <v>0</v>
      </c>
      <c r="L29" s="65"/>
      <c r="M29" s="65"/>
      <c r="N29" s="65"/>
      <c r="O29" s="89">
        <f>'Catalogo de Item de Serviço'!F77</f>
        <v>0.1</v>
      </c>
      <c r="P29" s="89"/>
      <c r="Q29" s="89"/>
      <c r="R29" s="89"/>
      <c r="S29" s="89">
        <f>'Catalogo de Item de Serviço'!G77</f>
        <v>0.1</v>
      </c>
      <c r="T29" s="89"/>
      <c r="U29" s="89"/>
      <c r="V29" s="89"/>
      <c r="W29" s="89">
        <f>'Catalogo de Item de Serviço'!H77</f>
        <v>0.1</v>
      </c>
    </row>
    <row r="30" spans="1:134" x14ac:dyDescent="0.2">
      <c r="A30" s="77" t="str">
        <f>'Catalogo de Item de Serviço'!C78</f>
        <v>Matricular  usuários em Trilha</v>
      </c>
      <c r="B30" s="81" t="str">
        <f>'Catalogo de Item de Serviço'!D78</f>
        <v>Por usuario</v>
      </c>
      <c r="C30" s="65">
        <f>SUM($DH$38:$DH$96)</f>
        <v>0</v>
      </c>
      <c r="D30" s="65"/>
      <c r="E30" s="65"/>
      <c r="F30" s="65"/>
      <c r="G30" s="65">
        <f>SUM($DI$38:$DI$96)</f>
        <v>0</v>
      </c>
      <c r="H30" s="65"/>
      <c r="I30" s="65"/>
      <c r="J30" s="65"/>
      <c r="K30" s="65">
        <f>SUM($DJ$38:$DJ$96)</f>
        <v>0</v>
      </c>
      <c r="L30" s="65"/>
      <c r="M30" s="65"/>
      <c r="N30" s="65"/>
      <c r="O30" s="89">
        <f>'Catalogo de Item de Serviço'!F78</f>
        <v>0.1</v>
      </c>
      <c r="P30" s="89"/>
      <c r="Q30" s="89"/>
      <c r="R30" s="89"/>
      <c r="S30" s="89">
        <f>'Catalogo de Item de Serviço'!G78</f>
        <v>0.1</v>
      </c>
      <c r="T30" s="89"/>
      <c r="U30" s="89"/>
      <c r="V30" s="89"/>
      <c r="W30" s="89">
        <f>'Catalogo de Item de Serviço'!H78</f>
        <v>0.1</v>
      </c>
    </row>
    <row r="31" spans="1:134" x14ac:dyDescent="0.2">
      <c r="A31" s="77" t="str">
        <f>'Catalogo de Item de Serviço'!C79</f>
        <v>Adicionar Widget : Quadro de avisos</v>
      </c>
      <c r="B31" s="81" t="str">
        <f>'Catalogo de Item de Serviço'!D79</f>
        <v>Por Widget</v>
      </c>
      <c r="C31" s="65">
        <f>SUM($DL$38:$DL$96)</f>
        <v>0</v>
      </c>
      <c r="D31" s="65"/>
      <c r="E31" s="65"/>
      <c r="F31" s="65"/>
      <c r="G31" s="65">
        <f>SUM($DM$38:$DM$96)</f>
        <v>0</v>
      </c>
      <c r="H31" s="65"/>
      <c r="I31" s="65"/>
      <c r="J31" s="65"/>
      <c r="K31" s="65">
        <f>SUM($DN$38:$DN$96)</f>
        <v>0</v>
      </c>
      <c r="L31" s="65"/>
      <c r="M31" s="65"/>
      <c r="N31" s="65"/>
      <c r="O31" s="89">
        <f>'Catalogo de Item de Serviço'!F79</f>
        <v>0.5</v>
      </c>
      <c r="P31" s="89"/>
      <c r="Q31" s="89"/>
      <c r="R31" s="89"/>
      <c r="S31" s="89">
        <f>'Catalogo de Item de Serviço'!G79</f>
        <v>0.5</v>
      </c>
      <c r="T31" s="89"/>
      <c r="U31" s="89"/>
      <c r="V31" s="89"/>
      <c r="W31" s="89">
        <f>'Catalogo de Item de Serviço'!H79</f>
        <v>0.5</v>
      </c>
      <c r="X31" s="127"/>
      <c r="Y31" s="127"/>
      <c r="Z31" s="127"/>
      <c r="AB31" s="127"/>
      <c r="AC31" s="127"/>
      <c r="AD31" s="127"/>
      <c r="AF31" s="127"/>
      <c r="AG31" s="127"/>
      <c r="AH31" s="127"/>
      <c r="AJ31" s="127"/>
      <c r="AK31" s="127"/>
      <c r="AL31" s="127"/>
      <c r="AN31" s="127"/>
      <c r="AO31" s="127"/>
      <c r="AP31" s="127"/>
      <c r="AR31" s="127"/>
      <c r="AS31" s="127"/>
      <c r="AT31" s="127"/>
      <c r="AV31" s="127"/>
      <c r="AW31" s="127"/>
      <c r="AX31" s="127"/>
      <c r="AZ31" s="127"/>
      <c r="BA31" s="127"/>
      <c r="BB31" s="127"/>
      <c r="BD31" s="127"/>
      <c r="BE31" s="127"/>
      <c r="BF31" s="127"/>
      <c r="BH31" s="127"/>
      <c r="BI31" s="127"/>
      <c r="BJ31" s="127"/>
      <c r="BL31" s="127"/>
      <c r="BM31" s="127"/>
      <c r="BN31" s="127"/>
      <c r="BP31" s="127"/>
      <c r="BQ31" s="127"/>
      <c r="BR31" s="127"/>
      <c r="BT31" s="127"/>
      <c r="BU31" s="127"/>
      <c r="BV31" s="127"/>
      <c r="BX31" s="127"/>
      <c r="BY31" s="127"/>
      <c r="BZ31" s="127"/>
      <c r="CB31" s="127"/>
      <c r="CC31" s="127"/>
      <c r="CD31" s="127"/>
      <c r="CF31" s="127"/>
      <c r="CG31" s="127"/>
      <c r="CH31" s="127"/>
      <c r="CJ31" s="127"/>
      <c r="CK31" s="127"/>
      <c r="CL31" s="127"/>
      <c r="CN31" s="127"/>
      <c r="CO31" s="127"/>
      <c r="CP31" s="127"/>
      <c r="CR31" s="127"/>
      <c r="CS31" s="127"/>
      <c r="CT31" s="127"/>
      <c r="CV31" s="127"/>
      <c r="CW31" s="127"/>
      <c r="CX31" s="127"/>
      <c r="CZ31" s="127"/>
      <c r="DA31" s="127"/>
      <c r="DB31" s="127"/>
      <c r="DD31" s="127"/>
      <c r="DE31" s="127"/>
      <c r="DF31" s="127"/>
      <c r="DH31" s="127"/>
      <c r="DI31" s="127"/>
      <c r="DJ31" s="127"/>
      <c r="DL31" s="127"/>
      <c r="DM31" s="127"/>
      <c r="DN31" s="127"/>
      <c r="DP31" s="127"/>
      <c r="DQ31" s="127"/>
      <c r="DR31" s="127"/>
      <c r="DT31" s="127"/>
      <c r="DU31" s="127"/>
      <c r="DV31" s="127"/>
      <c r="DX31" s="127"/>
      <c r="DY31" s="127"/>
      <c r="DZ31" s="127"/>
      <c r="EB31" s="127"/>
      <c r="EC31" s="127"/>
      <c r="ED31" s="127"/>
    </row>
    <row r="32" spans="1:134" x14ac:dyDescent="0.2">
      <c r="A32" s="77" t="str">
        <f>'Catalogo de Item de Serviço'!C80</f>
        <v>Cadastro e Configuração de  Avisos</v>
      </c>
      <c r="B32" s="81" t="str">
        <f>'Catalogo de Item de Serviço'!D80</f>
        <v>Por Aviso</v>
      </c>
      <c r="C32" s="65">
        <f>SUM($DP$38:$DP$96)</f>
        <v>0</v>
      </c>
      <c r="D32" s="65"/>
      <c r="E32" s="65"/>
      <c r="F32" s="65"/>
      <c r="G32" s="65">
        <f>SUM($DQ$38:$DQ$96)</f>
        <v>0</v>
      </c>
      <c r="H32" s="65"/>
      <c r="I32" s="65"/>
      <c r="J32" s="65"/>
      <c r="K32" s="65">
        <f>SUM($DR$38:$DR$96)</f>
        <v>0</v>
      </c>
      <c r="L32" s="65"/>
      <c r="M32" s="65"/>
      <c r="N32" s="65"/>
      <c r="O32" s="89">
        <f>'Catalogo de Item de Serviço'!F80</f>
        <v>0.1</v>
      </c>
      <c r="P32" s="89"/>
      <c r="Q32" s="89"/>
      <c r="R32" s="89"/>
      <c r="S32" s="89">
        <f>'Catalogo de Item de Serviço'!G80</f>
        <v>0.1</v>
      </c>
      <c r="T32" s="89"/>
      <c r="U32" s="89"/>
      <c r="V32" s="89"/>
      <c r="W32" s="89">
        <f>'Catalogo de Item de Serviço'!H80</f>
        <v>0.1</v>
      </c>
      <c r="X32" s="127"/>
      <c r="Y32" s="127"/>
      <c r="Z32" s="127"/>
      <c r="AB32" s="127"/>
      <c r="AC32" s="127"/>
      <c r="AD32" s="127"/>
      <c r="AF32" s="127"/>
      <c r="AG32" s="127"/>
      <c r="AH32" s="127"/>
      <c r="AJ32" s="127"/>
      <c r="AK32" s="127"/>
      <c r="AL32" s="127"/>
      <c r="AN32" s="127"/>
      <c r="AO32" s="127"/>
      <c r="AP32" s="127"/>
      <c r="AR32" s="127"/>
      <c r="AS32" s="127"/>
      <c r="AT32" s="127"/>
      <c r="AV32" s="127"/>
      <c r="AW32" s="127"/>
      <c r="AX32" s="127"/>
      <c r="AZ32" s="127"/>
      <c r="BA32" s="127"/>
      <c r="BB32" s="127"/>
      <c r="BD32" s="127"/>
      <c r="BE32" s="127"/>
      <c r="BF32" s="127"/>
      <c r="BH32" s="127"/>
      <c r="BI32" s="127"/>
      <c r="BJ32" s="127"/>
      <c r="BL32" s="127"/>
      <c r="BM32" s="127"/>
      <c r="BN32" s="127"/>
      <c r="BP32" s="127"/>
      <c r="BQ32" s="127"/>
      <c r="BR32" s="127"/>
      <c r="BT32" s="127"/>
      <c r="BU32" s="127"/>
      <c r="BV32" s="127"/>
      <c r="BX32" s="127"/>
      <c r="BY32" s="127"/>
      <c r="BZ32" s="127"/>
      <c r="CB32" s="127"/>
      <c r="CC32" s="127"/>
      <c r="CD32" s="127"/>
      <c r="CF32" s="127"/>
      <c r="CG32" s="127"/>
      <c r="CH32" s="127"/>
      <c r="CJ32" s="127"/>
      <c r="CK32" s="127"/>
      <c r="CL32" s="127"/>
      <c r="CN32" s="127"/>
      <c r="CO32" s="127"/>
      <c r="CP32" s="127"/>
      <c r="CR32" s="127"/>
      <c r="CS32" s="127"/>
      <c r="CT32" s="127"/>
      <c r="CV32" s="127"/>
      <c r="CW32" s="127"/>
      <c r="CX32" s="127"/>
      <c r="CZ32" s="127"/>
      <c r="DA32" s="127"/>
      <c r="DB32" s="127"/>
      <c r="DD32" s="127"/>
      <c r="DE32" s="127"/>
      <c r="DF32" s="127"/>
      <c r="DH32" s="127"/>
      <c r="DI32" s="127"/>
      <c r="DJ32" s="127"/>
      <c r="DL32" s="127"/>
      <c r="DM32" s="127"/>
      <c r="DN32" s="127"/>
      <c r="DP32" s="127"/>
      <c r="DQ32" s="127"/>
      <c r="DR32" s="127"/>
      <c r="DT32" s="127"/>
      <c r="DU32" s="127"/>
      <c r="DV32" s="127"/>
      <c r="DX32" s="127"/>
      <c r="DY32" s="127"/>
      <c r="DZ32" s="127"/>
      <c r="EB32" s="127"/>
      <c r="EC32" s="127"/>
      <c r="ED32" s="127"/>
    </row>
    <row r="33" spans="1:134" x14ac:dyDescent="0.2">
      <c r="A33" s="77" t="str">
        <f>'Catalogo de Item de Serviço'!C81</f>
        <v>Treinamentos</v>
      </c>
      <c r="B33" s="81" t="str">
        <f>'Catalogo de Item de Serviço'!D81</f>
        <v>Por projeto</v>
      </c>
      <c r="C33" s="65">
        <f>SUM($DT$38:$DT$96)</f>
        <v>0</v>
      </c>
      <c r="D33" s="65"/>
      <c r="E33" s="65"/>
      <c r="F33" s="65"/>
      <c r="G33" s="65">
        <f>SUM($DU$38:$DU$96)</f>
        <v>0</v>
      </c>
      <c r="H33" s="65"/>
      <c r="I33" s="65"/>
      <c r="J33" s="65"/>
      <c r="K33" s="65">
        <f>SUM($DV$38:$DV$96)</f>
        <v>0</v>
      </c>
      <c r="L33" s="65"/>
      <c r="M33" s="65"/>
      <c r="N33" s="65"/>
      <c r="O33" s="89">
        <f>'Catalogo de Item de Serviço'!F81</f>
        <v>8</v>
      </c>
      <c r="P33" s="89"/>
      <c r="Q33" s="89"/>
      <c r="R33" s="89"/>
      <c r="S33" s="89">
        <f>'Catalogo de Item de Serviço'!G81</f>
        <v>8</v>
      </c>
      <c r="T33" s="89"/>
      <c r="U33" s="89"/>
      <c r="V33" s="89"/>
      <c r="W33" s="89">
        <f>'Catalogo de Item de Serviço'!H81</f>
        <v>8</v>
      </c>
    </row>
    <row r="34" spans="1:134" x14ac:dyDescent="0.2">
      <c r="A34" s="77" t="str">
        <f>'Catalogo de Item de Serviço'!C82</f>
        <v>Homologação final do cliente</v>
      </c>
      <c r="B34" s="81" t="str">
        <f>'Catalogo de Item de Serviço'!D82</f>
        <v>Por projeto</v>
      </c>
      <c r="C34" s="65">
        <f>SUM($DX$38:$DX$96)</f>
        <v>0</v>
      </c>
      <c r="D34" s="65"/>
      <c r="E34" s="65"/>
      <c r="F34" s="65"/>
      <c r="G34" s="65">
        <f>SUM($DY$38:$DY$96)</f>
        <v>0</v>
      </c>
      <c r="H34" s="65"/>
      <c r="I34" s="65"/>
      <c r="J34" s="65"/>
      <c r="K34" s="65">
        <f>SUM($DZ$38:$DZ$96)</f>
        <v>0</v>
      </c>
      <c r="L34" s="65"/>
      <c r="M34" s="65"/>
      <c r="N34" s="65"/>
      <c r="O34" s="89">
        <f>'Catalogo de Item de Serviço'!F82</f>
        <v>16</v>
      </c>
      <c r="P34" s="89"/>
      <c r="Q34" s="89"/>
      <c r="R34" s="89"/>
      <c r="S34" s="89">
        <f>'Catalogo de Item de Serviço'!G82</f>
        <v>16</v>
      </c>
      <c r="T34" s="89"/>
      <c r="U34" s="89"/>
      <c r="V34" s="89"/>
      <c r="W34" s="89">
        <f>'Catalogo de Item de Serviço'!H82</f>
        <v>16</v>
      </c>
    </row>
    <row r="35" spans="1:134" x14ac:dyDescent="0.2">
      <c r="A35" s="77" t="str">
        <f>'Catalogo de Item de Serviço'!C83</f>
        <v>Ajustes finais</v>
      </c>
      <c r="B35" s="81" t="str">
        <f>'Catalogo de Item de Serviço'!D83</f>
        <v>Por projeto</v>
      </c>
      <c r="C35" s="65">
        <f>SUM($EB$38:$EB$96)</f>
        <v>0</v>
      </c>
      <c r="D35" s="65"/>
      <c r="E35" s="65"/>
      <c r="F35" s="65"/>
      <c r="G35" s="65">
        <f>SUM($EC$38:$EC$96)</f>
        <v>0</v>
      </c>
      <c r="H35" s="65"/>
      <c r="I35" s="65"/>
      <c r="J35" s="65"/>
      <c r="K35" s="65">
        <f>SUM($ED$38:$ED$96)</f>
        <v>0</v>
      </c>
      <c r="L35" s="65"/>
      <c r="M35" s="65"/>
      <c r="N35" s="65"/>
      <c r="O35" s="89">
        <f>'Catalogo de Item de Serviço'!F83</f>
        <v>8</v>
      </c>
      <c r="P35" s="89"/>
      <c r="Q35" s="89"/>
      <c r="R35" s="89"/>
      <c r="S35" s="89">
        <f>'Catalogo de Item de Serviço'!G83</f>
        <v>8</v>
      </c>
      <c r="T35" s="89"/>
      <c r="U35" s="89"/>
      <c r="V35" s="89"/>
      <c r="W35" s="89">
        <f>'Catalogo de Item de Serviço'!H83</f>
        <v>8</v>
      </c>
    </row>
    <row r="36" spans="1:134" x14ac:dyDescent="0.2">
      <c r="A36" s="68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  <c r="CH36" s="66"/>
      <c r="CI36" s="66"/>
      <c r="CJ36" s="66"/>
      <c r="CK36" s="66"/>
      <c r="CL36" s="66"/>
      <c r="CM36" s="66"/>
      <c r="CQ36" s="66"/>
      <c r="CR36" s="66"/>
      <c r="CS36" s="66"/>
      <c r="CT36" s="66"/>
      <c r="CU36" s="66"/>
      <c r="CY36" s="66"/>
      <c r="CZ36" s="66"/>
      <c r="DA36" s="66"/>
      <c r="DB36" s="66"/>
      <c r="DC36" s="66"/>
      <c r="DD36" s="66"/>
      <c r="DE36" s="66"/>
      <c r="DF36" s="66"/>
      <c r="DG36" s="66"/>
      <c r="DH36" s="66"/>
      <c r="DI36" s="66"/>
      <c r="DJ36" s="66"/>
      <c r="DK36" s="66"/>
      <c r="DL36" s="66"/>
      <c r="DM36" s="66"/>
      <c r="DN36" s="66"/>
      <c r="DO36" s="66"/>
      <c r="DP36" s="66"/>
      <c r="DQ36" s="66"/>
      <c r="DR36" s="66"/>
      <c r="DS36" s="66"/>
      <c r="DT36" s="66"/>
      <c r="DU36" s="66"/>
      <c r="DV36" s="66"/>
      <c r="DW36" s="66"/>
      <c r="DX36" s="66"/>
      <c r="DY36" s="66"/>
      <c r="DZ36" s="66"/>
      <c r="EA36" s="66"/>
    </row>
    <row r="37" spans="1:134" s="74" customFormat="1" ht="75" x14ac:dyDescent="0.2">
      <c r="A37" s="64" t="s">
        <v>212</v>
      </c>
      <c r="B37" s="18" t="s">
        <v>101</v>
      </c>
      <c r="C37" s="18" t="str">
        <f>A3</f>
        <v>Parametrização Inicial</v>
      </c>
      <c r="D37" s="18"/>
      <c r="E37" s="18"/>
      <c r="F37" s="18"/>
      <c r="G37" s="18" t="str">
        <f>A4</f>
        <v>Levantamento do projeto</v>
      </c>
      <c r="H37" s="18"/>
      <c r="I37" s="18"/>
      <c r="J37" s="18"/>
      <c r="K37" s="18" t="str">
        <f>A5</f>
        <v>Cadastrar Conteúdo</v>
      </c>
      <c r="L37" s="18"/>
      <c r="M37" s="18"/>
      <c r="N37" s="18"/>
      <c r="O37" s="18" t="str">
        <f>A6</f>
        <v>Cadastrar e configurar 1 certificado</v>
      </c>
      <c r="P37" s="18"/>
      <c r="Q37" s="18"/>
      <c r="R37" s="18"/>
      <c r="S37" s="18" t="str">
        <f>A7</f>
        <v>Cadastrar e configurar conta do tipo tempo</v>
      </c>
      <c r="T37" s="18"/>
      <c r="U37" s="18"/>
      <c r="V37" s="18"/>
      <c r="W37" s="18" t="str">
        <f>A8</f>
        <v>Cadastrar e configurar conta do tipo crédito</v>
      </c>
      <c r="X37" s="18"/>
      <c r="Y37" s="18"/>
      <c r="Z37" s="18"/>
      <c r="AA37" s="18" t="str">
        <f>A9</f>
        <v>Cadastrar e configurar a conta padrão</v>
      </c>
      <c r="AB37" s="18"/>
      <c r="AC37" s="18"/>
      <c r="AD37" s="18"/>
      <c r="AE37" s="18" t="str">
        <f>A10</f>
        <v>Cadastrar Pastas no Catálogo de Treinamento</v>
      </c>
      <c r="AF37" s="18"/>
      <c r="AG37" s="18"/>
      <c r="AH37" s="18"/>
      <c r="AI37" s="18" t="str">
        <f>A11</f>
        <v>Cadastrar Pastas no Catálogo de Disciplinas/Turmas</v>
      </c>
      <c r="AJ37" s="18"/>
      <c r="AK37" s="18"/>
      <c r="AL37" s="18"/>
      <c r="AM37" s="18" t="str">
        <f>A12</f>
        <v>Cadastrar Treinamento com Pré-Teste, Conteúdo e Pós-Teste</v>
      </c>
      <c r="AN37" s="18"/>
      <c r="AO37" s="18"/>
      <c r="AP37" s="18"/>
      <c r="AQ37" s="18" t="str">
        <f>A13</f>
        <v>Cadastrar Trilha de Aprendizado</v>
      </c>
      <c r="AR37" s="18"/>
      <c r="AS37" s="18"/>
      <c r="AT37" s="18"/>
      <c r="AU37" s="18" t="str">
        <f>A14</f>
        <v>Cadastrar e Configurar Disciplinas</v>
      </c>
      <c r="AV37" s="18"/>
      <c r="AW37" s="18"/>
      <c r="AX37" s="18"/>
      <c r="AY37" s="18" t="str">
        <f>A15</f>
        <v xml:space="preserve">Cadastrar e Configurar  Turmas na Disciplina </v>
      </c>
      <c r="AZ37" s="73"/>
      <c r="BA37" s="73"/>
      <c r="BB37" s="73"/>
      <c r="BC37" s="18" t="str">
        <f>A16</f>
        <v xml:space="preserve">Cadastrar e Configurar Turmas Modelo na Disciplina </v>
      </c>
      <c r="BD37" s="73"/>
      <c r="BE37" s="73"/>
      <c r="BF37" s="73"/>
      <c r="BG37" s="18" t="str">
        <f>A17</f>
        <v>Adicionar e Configurar Tópico (Aulas)</v>
      </c>
      <c r="BH37" s="73"/>
      <c r="BI37" s="73"/>
      <c r="BJ37" s="73"/>
      <c r="BK37" s="18" t="str">
        <f>A18</f>
        <v>Adicionar e Configurar  Itens de Tópico, incluindo Entrega de trabalho e Link Externo</v>
      </c>
      <c r="BL37" s="18"/>
      <c r="BM37" s="18"/>
      <c r="BN37" s="18"/>
      <c r="BO37" s="18" t="str">
        <f>A19</f>
        <v>Cadastrar e Configurar  Eventos Colaborativo</v>
      </c>
      <c r="BP37" s="18"/>
      <c r="BQ37" s="18"/>
      <c r="BR37" s="18"/>
      <c r="BS37" s="18" t="str">
        <f>A20</f>
        <v>Cadastrar novas sessões</v>
      </c>
      <c r="BT37" s="18"/>
      <c r="BU37" s="18"/>
      <c r="BV37" s="18"/>
      <c r="BW37" s="18" t="str">
        <f>A21</f>
        <v>Cadastrar e Configurar Habilidade</v>
      </c>
      <c r="BX37" s="18"/>
      <c r="BY37" s="18"/>
      <c r="BZ37" s="18"/>
      <c r="CA37" s="18" t="str">
        <f>A22</f>
        <v>Cadastro e Configuração deTópicos</v>
      </c>
      <c r="CB37" s="18"/>
      <c r="CC37" s="18"/>
      <c r="CD37" s="18"/>
      <c r="CE37" s="18" t="str">
        <f>A23</f>
        <v>Cadastro e Configuração de Questões</v>
      </c>
      <c r="CF37" s="73"/>
      <c r="CG37" s="73"/>
      <c r="CH37" s="73"/>
      <c r="CI37" s="18" t="str">
        <f>A24</f>
        <v>Cadastro e Configuração de  Blocos</v>
      </c>
      <c r="CJ37" s="73"/>
      <c r="CK37" s="73"/>
      <c r="CL37" s="73"/>
      <c r="CM37" s="18" t="str">
        <f>A25</f>
        <v>Cadastro e Configuração de Avaliações</v>
      </c>
      <c r="CN37" s="73"/>
      <c r="CO37" s="73"/>
      <c r="CP37" s="73"/>
      <c r="CQ37" s="18" t="str">
        <f>A26</f>
        <v>Cadastro de  Agendamento de Avaliações</v>
      </c>
      <c r="CR37" s="73"/>
      <c r="CS37" s="73"/>
      <c r="CT37" s="73"/>
      <c r="CU37" s="18" t="str">
        <f>A27</f>
        <v>Cadastro de Avaliações Externas</v>
      </c>
      <c r="CV37" s="73"/>
      <c r="CW37" s="73"/>
      <c r="CX37" s="73"/>
      <c r="CY37" s="18" t="str">
        <f>A28</f>
        <v>Matricular usuários em Turma</v>
      </c>
      <c r="CZ37" s="18"/>
      <c r="DA37" s="18"/>
      <c r="DB37" s="18"/>
      <c r="DC37" s="18" t="str">
        <f>A29</f>
        <v>Matricular usuários em Treinamento</v>
      </c>
      <c r="DD37" s="18"/>
      <c r="DE37" s="18"/>
      <c r="DF37" s="18"/>
      <c r="DG37" s="18" t="str">
        <f>A30</f>
        <v>Matricular  usuários em Trilha</v>
      </c>
      <c r="DH37" s="18"/>
      <c r="DI37" s="18"/>
      <c r="DJ37" s="18"/>
      <c r="DK37" s="18" t="str">
        <f>A31</f>
        <v>Adicionar Widget : Quadro de avisos</v>
      </c>
      <c r="DL37" s="18"/>
      <c r="DM37" s="18"/>
      <c r="DN37" s="18"/>
      <c r="DO37" s="18" t="str">
        <f>A32</f>
        <v>Cadastro e Configuração de  Avisos</v>
      </c>
      <c r="DP37" s="18"/>
      <c r="DQ37" s="18"/>
      <c r="DR37" s="18"/>
      <c r="DS37" s="18" t="str">
        <f>A33</f>
        <v>Treinamentos</v>
      </c>
      <c r="DT37" s="73"/>
      <c r="DU37" s="73"/>
      <c r="DV37" s="73"/>
      <c r="DW37" s="18" t="str">
        <f>A34</f>
        <v>Homologação final do cliente</v>
      </c>
      <c r="DX37" s="73"/>
      <c r="DY37" s="73"/>
      <c r="DZ37" s="73"/>
      <c r="EA37" s="18" t="str">
        <f>A35</f>
        <v>Ajustes finais</v>
      </c>
      <c r="EB37" s="73"/>
      <c r="EC37" s="73"/>
      <c r="ED37" s="73"/>
    </row>
    <row r="38" spans="1:134" x14ac:dyDescent="0.2">
      <c r="A38" s="71"/>
      <c r="B38" s="96" t="s">
        <v>52</v>
      </c>
      <c r="C38" s="96"/>
      <c r="D38" s="97">
        <f>IF($B38="1-baixa",C38,0)</f>
        <v>0</v>
      </c>
      <c r="E38" s="97">
        <f>IF($B38="2-media",C38,0)</f>
        <v>0</v>
      </c>
      <c r="F38" s="97">
        <f>IF($B38="3-Alta",C38,0)</f>
        <v>0</v>
      </c>
      <c r="G38" s="96"/>
      <c r="H38" s="97">
        <f>IF($B38="1-baixa",G38,0)</f>
        <v>0</v>
      </c>
      <c r="I38" s="97">
        <f>IF($B38="2-media",G38,0)</f>
        <v>0</v>
      </c>
      <c r="J38" s="97">
        <f>IF($B38="3-Alta",G38,0)</f>
        <v>0</v>
      </c>
      <c r="K38" s="96"/>
      <c r="L38" s="97">
        <f>IF($B38="1-baixa",K38,0)</f>
        <v>0</v>
      </c>
      <c r="M38" s="97">
        <f>IF($B38="2-media",K38,0)</f>
        <v>0</v>
      </c>
      <c r="N38" s="97">
        <f>IF($B38="3-Alta",K38,0)</f>
        <v>0</v>
      </c>
      <c r="O38" s="96"/>
      <c r="P38" s="97">
        <f>IF($B38="1-baixa",O38,0)</f>
        <v>0</v>
      </c>
      <c r="Q38" s="97">
        <f>IF($B38="2-media",O38,0)</f>
        <v>0</v>
      </c>
      <c r="R38" s="97">
        <f>IF($B38="3-Alta",O38,0)</f>
        <v>0</v>
      </c>
      <c r="S38" s="96"/>
      <c r="T38" s="97">
        <f>IF($B38="1-baixa",S38,0)</f>
        <v>0</v>
      </c>
      <c r="U38" s="97">
        <f>IF($B38="2-media",S38,0)</f>
        <v>0</v>
      </c>
      <c r="V38" s="97">
        <f>IF($B38="3-Alta",S38,0)</f>
        <v>0</v>
      </c>
      <c r="W38" s="96"/>
      <c r="X38" s="97">
        <f>IF($B38="1-baixa",W38,0)</f>
        <v>0</v>
      </c>
      <c r="Y38" s="97">
        <f>IF($B38="2-media",W38,0)</f>
        <v>0</v>
      </c>
      <c r="Z38" s="97">
        <f>IF($B38="3-Alta",W38,0)</f>
        <v>0</v>
      </c>
      <c r="AA38" s="96"/>
      <c r="AB38" s="97">
        <f>IF($B38="1-baixa",AA38,0)</f>
        <v>0</v>
      </c>
      <c r="AC38" s="97">
        <f>IF($B38="2-media",AA38,0)</f>
        <v>0</v>
      </c>
      <c r="AD38" s="97">
        <f>IF($B38="3-Alta",AA38,0)</f>
        <v>0</v>
      </c>
      <c r="AE38" s="96"/>
      <c r="AF38" s="97">
        <f>IF($B38="1-baixa",AE38,0)</f>
        <v>0</v>
      </c>
      <c r="AG38" s="97">
        <f>IF($B38="2-media",AE38,0)</f>
        <v>0</v>
      </c>
      <c r="AH38" s="97">
        <f>IF($B38="3-Alta",AE38,0)</f>
        <v>0</v>
      </c>
      <c r="AI38" s="96"/>
      <c r="AJ38" s="97">
        <f>IF($B38="1-baixa",AI38,0)</f>
        <v>0</v>
      </c>
      <c r="AK38" s="97">
        <f>IF($B38="2-media",AI38,0)</f>
        <v>0</v>
      </c>
      <c r="AL38" s="97">
        <f>IF($B38="3-Alta",AI38,0)</f>
        <v>0</v>
      </c>
      <c r="AM38" s="96"/>
      <c r="AN38" s="97">
        <f>IF($B38="1-baixa",AM38,0)</f>
        <v>0</v>
      </c>
      <c r="AO38" s="97">
        <f>IF($B38="2-media",AM38,0)</f>
        <v>0</v>
      </c>
      <c r="AP38" s="97">
        <f>IF($B38="3-Alta",AM38,0)</f>
        <v>0</v>
      </c>
      <c r="AQ38" s="96"/>
      <c r="AR38" s="97">
        <f>IF($B38="1-baixa",AQ38,0)</f>
        <v>0</v>
      </c>
      <c r="AS38" s="97">
        <f>IF($B38="2-media",AQ38,0)</f>
        <v>0</v>
      </c>
      <c r="AT38" s="97">
        <f>IF($B38="3-Alta",AQ38,0)</f>
        <v>0</v>
      </c>
      <c r="AU38" s="96"/>
      <c r="AV38" s="97">
        <f>IF($B38="1-baixa",AU38,0)</f>
        <v>0</v>
      </c>
      <c r="AW38" s="97">
        <f>IF($B38="2-media",AU38,0)</f>
        <v>0</v>
      </c>
      <c r="AX38" s="97">
        <f>IF($B38="3-Alta",AU38,0)</f>
        <v>0</v>
      </c>
      <c r="AY38" s="96"/>
      <c r="AZ38" s="65">
        <f>IF($B38="1-baixa",AY38,0)</f>
        <v>0</v>
      </c>
      <c r="BA38" s="65">
        <f>IF($B38="2-media",AY38,0)</f>
        <v>0</v>
      </c>
      <c r="BB38" s="65">
        <f>IF($B38="3-Alta",AY38,0)</f>
        <v>0</v>
      </c>
      <c r="BC38" s="96"/>
      <c r="BD38" s="65">
        <f>IF($B38="1-baixa",BC38,0)</f>
        <v>0</v>
      </c>
      <c r="BE38" s="65">
        <f>IF($B38="2-media",BC38,0)</f>
        <v>0</v>
      </c>
      <c r="BF38" s="65">
        <f>IF($B38="3-Alta",BC38,0)</f>
        <v>0</v>
      </c>
      <c r="BG38" s="96"/>
      <c r="BH38" s="65">
        <f>IF($B38="1-baixa",BG38,0)</f>
        <v>0</v>
      </c>
      <c r="BI38" s="65">
        <f>IF($B38="2-media",BG38,0)</f>
        <v>0</v>
      </c>
      <c r="BJ38" s="65">
        <f>IF($B38="3-Alta",BG38,0)</f>
        <v>0</v>
      </c>
      <c r="BK38" s="96"/>
      <c r="BL38" s="97">
        <f>IF($B38="1-baixa",BK38,0)</f>
        <v>0</v>
      </c>
      <c r="BM38" s="97">
        <f>IF($B38="2-media",BK38,0)</f>
        <v>0</v>
      </c>
      <c r="BN38" s="97">
        <f>IF($B38="3-Alta",BK38,0)</f>
        <v>0</v>
      </c>
      <c r="BO38" s="96"/>
      <c r="BP38" s="97">
        <f>IF($B38="1-baixa",BO38,0)</f>
        <v>0</v>
      </c>
      <c r="BQ38" s="97">
        <f>IF($B38="2-media",BO38,0)</f>
        <v>0</v>
      </c>
      <c r="BR38" s="97">
        <f>IF($B38="3-Alta",BO38,0)</f>
        <v>0</v>
      </c>
      <c r="BS38" s="96"/>
      <c r="BT38" s="97">
        <f>IF($B38="1-baixa",BS38,0)</f>
        <v>0</v>
      </c>
      <c r="BU38" s="97">
        <f>IF($B38="2-media",BS38,0)</f>
        <v>0</v>
      </c>
      <c r="BV38" s="97">
        <f>IF($B38="3-Alta",BS38,0)</f>
        <v>0</v>
      </c>
      <c r="BW38" s="96"/>
      <c r="BX38" s="97">
        <f>IF($B38="1-baixa",BW38,0)</f>
        <v>0</v>
      </c>
      <c r="BY38" s="97">
        <f>IF($B38="2-media",BW38,0)</f>
        <v>0</v>
      </c>
      <c r="BZ38" s="97">
        <f>IF($B38="3-Alta",BW38,0)</f>
        <v>0</v>
      </c>
      <c r="CA38" s="96"/>
      <c r="CB38" s="97">
        <f>IF($B38="1-baixa",CA38,0)</f>
        <v>0</v>
      </c>
      <c r="CC38" s="97">
        <f>IF($B38="2-media",CA38,0)</f>
        <v>0</v>
      </c>
      <c r="CD38" s="97">
        <f>IF($B38="3-Alta",CA38,0)</f>
        <v>0</v>
      </c>
      <c r="CE38" s="96"/>
      <c r="CF38" s="65">
        <f>IF($B38="1-baixa",CE38,0)</f>
        <v>0</v>
      </c>
      <c r="CG38" s="65">
        <f>IF($B38="2-media",CE38,0)</f>
        <v>0</v>
      </c>
      <c r="CH38" s="65">
        <f>IF($B38="3-Alta",CE38,0)</f>
        <v>0</v>
      </c>
      <c r="CI38" s="96"/>
      <c r="CJ38" s="65">
        <f>IF($B38="1-baixa",CI38,0)</f>
        <v>0</v>
      </c>
      <c r="CK38" s="65">
        <f>IF($B38="2-media",CI38,0)</f>
        <v>0</v>
      </c>
      <c r="CL38" s="65">
        <f>IF($B38="3-Alta",CI38,0)</f>
        <v>0</v>
      </c>
      <c r="CM38" s="96"/>
      <c r="CN38" s="65">
        <f>IF($B38="1-baixa",CM38,0)</f>
        <v>0</v>
      </c>
      <c r="CO38" s="65">
        <f>IF($B38="2-media",CM38,0)</f>
        <v>0</v>
      </c>
      <c r="CP38" s="65">
        <f>IF($B38="3-Alta",CM38,0)</f>
        <v>0</v>
      </c>
      <c r="CQ38" s="96"/>
      <c r="CR38" s="65">
        <f>IF($B38="1-baixa",CQ38,0)</f>
        <v>0</v>
      </c>
      <c r="CS38" s="65">
        <f>IF($B38="2-media",CQ38,0)</f>
        <v>0</v>
      </c>
      <c r="CT38" s="65">
        <f>IF($B38="3-Alta",CQ38,0)</f>
        <v>0</v>
      </c>
      <c r="CU38" s="96"/>
      <c r="CV38" s="65">
        <f>IF($B38="1-baixa",CU38,0)</f>
        <v>0</v>
      </c>
      <c r="CW38" s="65">
        <f>IF($B38="2-media",CU38,0)</f>
        <v>0</v>
      </c>
      <c r="CX38" s="65">
        <f>IF($B38="3-Alta",CU38,0)</f>
        <v>0</v>
      </c>
      <c r="CY38" s="96"/>
      <c r="CZ38" s="97">
        <f>IF($B38="1-baixa",CY38,0)</f>
        <v>0</v>
      </c>
      <c r="DA38" s="97">
        <f>IF($B38="2-media",CY38,0)</f>
        <v>0</v>
      </c>
      <c r="DB38" s="97">
        <f>IF($B38="3-Alta",CY38,0)</f>
        <v>0</v>
      </c>
      <c r="DC38" s="96"/>
      <c r="DD38" s="97">
        <f>IF($B38="1-baixa",DC38,0)</f>
        <v>0</v>
      </c>
      <c r="DE38" s="97">
        <f>IF($B38="2-media",DC38,0)</f>
        <v>0</v>
      </c>
      <c r="DF38" s="97">
        <f>IF($B38="3-Alta",DC38,0)</f>
        <v>0</v>
      </c>
      <c r="DG38" s="96"/>
      <c r="DH38" s="97">
        <f>IF($B38="1-baixa",DG38,0)</f>
        <v>0</v>
      </c>
      <c r="DI38" s="97">
        <f>IF($B38="2-media",DG38,0)</f>
        <v>0</v>
      </c>
      <c r="DJ38" s="97">
        <f>IF($B38="3-Alta",DG38,0)</f>
        <v>0</v>
      </c>
      <c r="DK38" s="96"/>
      <c r="DL38" s="97">
        <f>IF($B38="1-baixa",DK38,0)</f>
        <v>0</v>
      </c>
      <c r="DM38" s="97">
        <f>IF($B38="2-media",DK38,0)</f>
        <v>0</v>
      </c>
      <c r="DN38" s="97">
        <f>IF($B38="3-Alta",DK38,0)</f>
        <v>0</v>
      </c>
      <c r="DO38" s="96"/>
      <c r="DP38" s="97">
        <f>IF($B38="1-baixa",DO38,0)</f>
        <v>0</v>
      </c>
      <c r="DQ38" s="97">
        <f>IF($B38="2-media",DO38,0)</f>
        <v>0</v>
      </c>
      <c r="DR38" s="97">
        <f>IF($B38="3-Alta",DO38,0)</f>
        <v>0</v>
      </c>
      <c r="DS38" s="96"/>
      <c r="DT38" s="65">
        <f>IF($B38="1-baixa",DS38,0)</f>
        <v>0</v>
      </c>
      <c r="DU38" s="65">
        <f>IF($B38="2-media",DS38,0)</f>
        <v>0</v>
      </c>
      <c r="DV38" s="65">
        <f>IF($B38="3-Alta",DS38,0)</f>
        <v>0</v>
      </c>
      <c r="DW38" s="96"/>
      <c r="DX38" s="65">
        <f>IF($B38="1-baixa",DW38,0)</f>
        <v>0</v>
      </c>
      <c r="DY38" s="65">
        <f>IF($B38="2-media",DW38,0)</f>
        <v>0</v>
      </c>
      <c r="DZ38" s="65">
        <f>IF($B38="3-Alta",DW38,0)</f>
        <v>0</v>
      </c>
      <c r="EA38" s="96"/>
      <c r="EB38" s="65">
        <f>IF($B38="1-baixa",EA38,0)</f>
        <v>0</v>
      </c>
      <c r="EC38" s="65">
        <f>IF($B38="2-media",EA38,0)</f>
        <v>0</v>
      </c>
      <c r="ED38" s="65">
        <f>IF($B38="3-Alta",EA38,0)</f>
        <v>0</v>
      </c>
    </row>
    <row r="39" spans="1:134" x14ac:dyDescent="0.2">
      <c r="A39" s="71"/>
      <c r="B39" s="96" t="s">
        <v>52</v>
      </c>
      <c r="C39" s="96"/>
      <c r="D39" s="97">
        <f t="shared" ref="D39:D96" si="0">IF($B39="1-baixa",C39,0)</f>
        <v>0</v>
      </c>
      <c r="E39" s="97">
        <f>IF($B39="2-media",C39,0)</f>
        <v>0</v>
      </c>
      <c r="F39" s="97">
        <f>IF($B39="3-Alta",C39,0)</f>
        <v>0</v>
      </c>
      <c r="G39" s="96"/>
      <c r="H39" s="97">
        <f t="shared" ref="H39:H96" si="1">IF($B39="1-baixa",G39,0)</f>
        <v>0</v>
      </c>
      <c r="I39" s="97">
        <f t="shared" ref="I39:I96" si="2">IF($B39="2-media",G39,0)</f>
        <v>0</v>
      </c>
      <c r="J39" s="97">
        <f t="shared" ref="J39:J96" si="3">IF($B39="3-Alta",G39,0)</f>
        <v>0</v>
      </c>
      <c r="K39" s="96"/>
      <c r="L39" s="97">
        <f t="shared" ref="L39:L96" si="4">IF($B39="1-baixa",K39,0)</f>
        <v>0</v>
      </c>
      <c r="M39" s="97">
        <f t="shared" ref="M39:M96" si="5">IF($B39="2-media",K39,0)</f>
        <v>0</v>
      </c>
      <c r="N39" s="97">
        <f t="shared" ref="N39:N96" si="6">IF($B39="3-Alta",K39,0)</f>
        <v>0</v>
      </c>
      <c r="O39" s="96"/>
      <c r="P39" s="97">
        <f t="shared" ref="P39:P96" si="7">IF($B39="1-baixa",O39,0)</f>
        <v>0</v>
      </c>
      <c r="Q39" s="97">
        <f t="shared" ref="Q39:Q96" si="8">IF($B39="2-media",O39,0)</f>
        <v>0</v>
      </c>
      <c r="R39" s="97">
        <f t="shared" ref="R39:R96" si="9">IF($B39="3-Alta",O39,0)</f>
        <v>0</v>
      </c>
      <c r="S39" s="96"/>
      <c r="T39" s="97">
        <f t="shared" ref="T39:T96" si="10">IF($B39="1-baixa",S39,0)</f>
        <v>0</v>
      </c>
      <c r="U39" s="97">
        <f t="shared" ref="U39:U96" si="11">IF($B39="2-media",S39,0)</f>
        <v>0</v>
      </c>
      <c r="V39" s="97">
        <f t="shared" ref="V39:V96" si="12">IF($B39="3-Alta",S39,0)</f>
        <v>0</v>
      </c>
      <c r="W39" s="96"/>
      <c r="X39" s="97">
        <f t="shared" ref="X39:X96" si="13">IF($B39="1-baixa",W39,0)</f>
        <v>0</v>
      </c>
      <c r="Y39" s="97">
        <f t="shared" ref="Y39:Y96" si="14">IF($B39="2-media",W39,0)</f>
        <v>0</v>
      </c>
      <c r="Z39" s="97">
        <f t="shared" ref="Z39:Z96" si="15">IF($B39="3-Alta",W39,0)</f>
        <v>0</v>
      </c>
      <c r="AA39" s="96"/>
      <c r="AB39" s="97">
        <f t="shared" ref="AB39:AB96" si="16">IF($B39="1-baixa",AA39,0)</f>
        <v>0</v>
      </c>
      <c r="AC39" s="97">
        <f t="shared" ref="AC39:AC96" si="17">IF($B39="2-media",AA39,0)</f>
        <v>0</v>
      </c>
      <c r="AD39" s="97">
        <f t="shared" ref="AD39:AD96" si="18">IF($B39="3-Alta",AA39,0)</f>
        <v>0</v>
      </c>
      <c r="AE39" s="96"/>
      <c r="AF39" s="97">
        <f t="shared" ref="AF39:AF96" si="19">IF($B39="1-baixa",AE39,0)</f>
        <v>0</v>
      </c>
      <c r="AG39" s="97">
        <f t="shared" ref="AG39:AG96" si="20">IF($B39="2-media",AE39,0)</f>
        <v>0</v>
      </c>
      <c r="AH39" s="97">
        <f t="shared" ref="AH39:AH96" si="21">IF($B39="3-Alta",AE39,0)</f>
        <v>0</v>
      </c>
      <c r="AI39" s="96"/>
      <c r="AJ39" s="97">
        <f t="shared" ref="AJ39:AJ96" si="22">IF($B39="1-baixa",AI39,0)</f>
        <v>0</v>
      </c>
      <c r="AK39" s="97">
        <f t="shared" ref="AK39:AK96" si="23">IF($B39="2-media",AI39,0)</f>
        <v>0</v>
      </c>
      <c r="AL39" s="97">
        <f t="shared" ref="AL39:AL96" si="24">IF($B39="3-Alta",AI39,0)</f>
        <v>0</v>
      </c>
      <c r="AM39" s="96"/>
      <c r="AN39" s="97">
        <f t="shared" ref="AN39:AN96" si="25">IF($B39="1-baixa",AM39,0)</f>
        <v>0</v>
      </c>
      <c r="AO39" s="97">
        <f t="shared" ref="AO39:AO96" si="26">IF($B39="2-media",AM39,0)</f>
        <v>0</v>
      </c>
      <c r="AP39" s="97">
        <f t="shared" ref="AP39:AP96" si="27">IF($B39="3-Alta",AM39,0)</f>
        <v>0</v>
      </c>
      <c r="AQ39" s="96"/>
      <c r="AR39" s="97">
        <f t="shared" ref="AR39:AR96" si="28">IF($B39="1-baixa",AQ39,0)</f>
        <v>0</v>
      </c>
      <c r="AS39" s="97">
        <f t="shared" ref="AS39:AS96" si="29">IF($B39="2-media",AQ39,0)</f>
        <v>0</v>
      </c>
      <c r="AT39" s="97">
        <f t="shared" ref="AT39:AT96" si="30">IF($B39="3-Alta",AQ39,0)</f>
        <v>0</v>
      </c>
      <c r="AU39" s="96"/>
      <c r="AV39" s="97">
        <f t="shared" ref="AV39:AV96" si="31">IF($B39="1-baixa",AU39,0)</f>
        <v>0</v>
      </c>
      <c r="AW39" s="97">
        <f t="shared" ref="AW39:AW96" si="32">IF($B39="2-media",AU39,0)</f>
        <v>0</v>
      </c>
      <c r="AX39" s="97">
        <f t="shared" ref="AX39:AX96" si="33">IF($B39="3-Alta",AU39,0)</f>
        <v>0</v>
      </c>
      <c r="AY39" s="96"/>
      <c r="AZ39" s="65">
        <f t="shared" ref="AZ39:AZ96" si="34">IF($B39="1-baixa",AY39,0)</f>
        <v>0</v>
      </c>
      <c r="BA39" s="65">
        <f t="shared" ref="BA39:BA96" si="35">IF($B39="2-media",AY39,0)</f>
        <v>0</v>
      </c>
      <c r="BB39" s="65">
        <f t="shared" ref="BB39:BB96" si="36">IF($B39="3-Alta",AY39,0)</f>
        <v>0</v>
      </c>
      <c r="BC39" s="96"/>
      <c r="BD39" s="65">
        <f t="shared" ref="BD39:BD96" si="37">IF($B39="1-baixa",BC39,0)</f>
        <v>0</v>
      </c>
      <c r="BE39" s="65">
        <f t="shared" ref="BE39:BE96" si="38">IF($B39="2-media",BC39,0)</f>
        <v>0</v>
      </c>
      <c r="BF39" s="65">
        <f t="shared" ref="BF39:BF96" si="39">IF($B39="3-Alta",BC39,0)</f>
        <v>0</v>
      </c>
      <c r="BG39" s="96"/>
      <c r="BH39" s="65">
        <f t="shared" ref="BH39:BH96" si="40">IF($B39="1-baixa",BG39,0)</f>
        <v>0</v>
      </c>
      <c r="BI39" s="65">
        <f t="shared" ref="BI39:BI96" si="41">IF($B39="2-media",BG39,0)</f>
        <v>0</v>
      </c>
      <c r="BJ39" s="65">
        <f t="shared" ref="BJ39:BJ96" si="42">IF($B39="3-Alta",BG39,0)</f>
        <v>0</v>
      </c>
      <c r="BK39" s="96"/>
      <c r="BL39" s="97">
        <f t="shared" ref="BL39:BL96" si="43">IF($B39="1-baixa",BK39,0)</f>
        <v>0</v>
      </c>
      <c r="BM39" s="97">
        <f t="shared" ref="BM39:BM96" si="44">IF($B39="2-media",BK39,0)</f>
        <v>0</v>
      </c>
      <c r="BN39" s="97">
        <f t="shared" ref="BN39:BN96" si="45">IF($B39="3-Alta",BK39,0)</f>
        <v>0</v>
      </c>
      <c r="BO39" s="96"/>
      <c r="BP39" s="97">
        <f t="shared" ref="BP39:BP96" si="46">IF($B39="1-baixa",BO39,0)</f>
        <v>0</v>
      </c>
      <c r="BQ39" s="97">
        <f t="shared" ref="BQ39:BQ96" si="47">IF($B39="2-media",BO39,0)</f>
        <v>0</v>
      </c>
      <c r="BR39" s="97">
        <f t="shared" ref="BR39:BR96" si="48">IF($B39="3-Alta",BO39,0)</f>
        <v>0</v>
      </c>
      <c r="BS39" s="96"/>
      <c r="BT39" s="97">
        <f t="shared" ref="BT39:BT96" si="49">IF($B39="1-baixa",BS39,0)</f>
        <v>0</v>
      </c>
      <c r="BU39" s="97">
        <f t="shared" ref="BU39:BU96" si="50">IF($B39="2-media",BS39,0)</f>
        <v>0</v>
      </c>
      <c r="BV39" s="97">
        <f t="shared" ref="BV39:BV96" si="51">IF($B39="3-Alta",BS39,0)</f>
        <v>0</v>
      </c>
      <c r="BW39" s="96"/>
      <c r="BX39" s="97">
        <f t="shared" ref="BX39:BX96" si="52">IF($B39="1-baixa",BW39,0)</f>
        <v>0</v>
      </c>
      <c r="BY39" s="97">
        <f t="shared" ref="BY39:BY96" si="53">IF($B39="2-media",BW39,0)</f>
        <v>0</v>
      </c>
      <c r="BZ39" s="97">
        <f t="shared" ref="BZ39:BZ96" si="54">IF($B39="3-Alta",BW39,0)</f>
        <v>0</v>
      </c>
      <c r="CA39" s="96"/>
      <c r="CB39" s="97">
        <f t="shared" ref="CB39:CB96" si="55">IF($B39="1-baixa",CA39,0)</f>
        <v>0</v>
      </c>
      <c r="CC39" s="97">
        <f t="shared" ref="CC39:CC96" si="56">IF($B39="2-media",CA39,0)</f>
        <v>0</v>
      </c>
      <c r="CD39" s="97">
        <f t="shared" ref="CD39:CD96" si="57">IF($B39="3-Alta",CA39,0)</f>
        <v>0</v>
      </c>
      <c r="CE39" s="96"/>
      <c r="CF39" s="65">
        <f t="shared" ref="CF39:CF96" si="58">IF($B39="1-baixa",CE39,0)</f>
        <v>0</v>
      </c>
      <c r="CG39" s="65">
        <f t="shared" ref="CG39:CG96" si="59">IF($B39="2-media",CE39,0)</f>
        <v>0</v>
      </c>
      <c r="CH39" s="65">
        <f t="shared" ref="CH39:CH96" si="60">IF($B39="3-Alta",CE39,0)</f>
        <v>0</v>
      </c>
      <c r="CI39" s="96"/>
      <c r="CJ39" s="65">
        <f t="shared" ref="CJ39:CJ96" si="61">IF($B39="1-baixa",CI39,0)</f>
        <v>0</v>
      </c>
      <c r="CK39" s="65">
        <f t="shared" ref="CK39:CK96" si="62">IF($B39="2-media",CI39,0)</f>
        <v>0</v>
      </c>
      <c r="CL39" s="65">
        <f t="shared" ref="CL39:CL96" si="63">IF($B39="3-Alta",CI39,0)</f>
        <v>0</v>
      </c>
      <c r="CM39" s="96"/>
      <c r="CN39" s="65">
        <f t="shared" ref="CN39:CN96" si="64">IF($B39="1-baixa",CM39,0)</f>
        <v>0</v>
      </c>
      <c r="CO39" s="65">
        <f t="shared" ref="CO39:CO96" si="65">IF($B39="2-media",CM39,0)</f>
        <v>0</v>
      </c>
      <c r="CP39" s="65">
        <f t="shared" ref="CP39:CP96" si="66">IF($B39="3-Alta",CM39,0)</f>
        <v>0</v>
      </c>
      <c r="CQ39" s="96"/>
      <c r="CR39" s="65">
        <f t="shared" ref="CR39:CR96" si="67">IF($B39="1-baixa",CQ39,0)</f>
        <v>0</v>
      </c>
      <c r="CS39" s="65">
        <f t="shared" ref="CS39:CS96" si="68">IF($B39="2-media",CQ39,0)</f>
        <v>0</v>
      </c>
      <c r="CT39" s="65">
        <f t="shared" ref="CT39:CT96" si="69">IF($B39="3-Alta",CQ39,0)</f>
        <v>0</v>
      </c>
      <c r="CU39" s="96"/>
      <c r="CV39" s="65">
        <f t="shared" ref="CV39:CV96" si="70">IF($B39="1-baixa",CU39,0)</f>
        <v>0</v>
      </c>
      <c r="CW39" s="65">
        <f t="shared" ref="CW39:CW96" si="71">IF($B39="2-media",CU39,0)</f>
        <v>0</v>
      </c>
      <c r="CX39" s="65">
        <f t="shared" ref="CX39:CX96" si="72">IF($B39="3-Alta",CU39,0)</f>
        <v>0</v>
      </c>
      <c r="CY39" s="96"/>
      <c r="CZ39" s="97">
        <f t="shared" ref="CZ39:CZ96" si="73">IF($B39="1-baixa",CY39,0)</f>
        <v>0</v>
      </c>
      <c r="DA39" s="97">
        <f t="shared" ref="DA39:DA96" si="74">IF($B39="2-media",CY39,0)</f>
        <v>0</v>
      </c>
      <c r="DB39" s="97">
        <f t="shared" ref="DB39:DB96" si="75">IF($B39="3-Alta",CY39,0)</f>
        <v>0</v>
      </c>
      <c r="DC39" s="96"/>
      <c r="DD39" s="97">
        <f t="shared" ref="DD39:DD96" si="76">IF($B39="1-baixa",DC39,0)</f>
        <v>0</v>
      </c>
      <c r="DE39" s="97">
        <f t="shared" ref="DE39:DE96" si="77">IF($B39="2-media",DC39,0)</f>
        <v>0</v>
      </c>
      <c r="DF39" s="97">
        <f t="shared" ref="DF39:DF96" si="78">IF($B39="3-Alta",DC39,0)</f>
        <v>0</v>
      </c>
      <c r="DG39" s="96"/>
      <c r="DH39" s="97">
        <f t="shared" ref="DH39:DH96" si="79">IF($B39="1-baixa",DG39,0)</f>
        <v>0</v>
      </c>
      <c r="DI39" s="97">
        <f t="shared" ref="DI39:DI96" si="80">IF($B39="2-media",DG39,0)</f>
        <v>0</v>
      </c>
      <c r="DJ39" s="97">
        <f t="shared" ref="DJ39:DJ96" si="81">IF($B39="3-Alta",DG39,0)</f>
        <v>0</v>
      </c>
      <c r="DK39" s="96"/>
      <c r="DL39" s="97">
        <f t="shared" ref="DL39:DL96" si="82">IF($B39="1-baixa",DK39,0)</f>
        <v>0</v>
      </c>
      <c r="DM39" s="97">
        <f t="shared" ref="DM39:DM96" si="83">IF($B39="2-media",DK39,0)</f>
        <v>0</v>
      </c>
      <c r="DN39" s="97">
        <f t="shared" ref="DN39:DN96" si="84">IF($B39="3-Alta",DK39,0)</f>
        <v>0</v>
      </c>
      <c r="DO39" s="96"/>
      <c r="DP39" s="97">
        <f t="shared" ref="DP39:DP96" si="85">IF($B39="1-baixa",DO39,0)</f>
        <v>0</v>
      </c>
      <c r="DQ39" s="97">
        <f t="shared" ref="DQ39:DQ96" si="86">IF($B39="2-media",DO39,0)</f>
        <v>0</v>
      </c>
      <c r="DR39" s="97">
        <f t="shared" ref="DR39:DR96" si="87">IF($B39="3-Alta",DO39,0)</f>
        <v>0</v>
      </c>
      <c r="DS39" s="96"/>
      <c r="DT39" s="65">
        <f t="shared" ref="DT39:DT96" si="88">IF($B39="1-baixa",DS39,0)</f>
        <v>0</v>
      </c>
      <c r="DU39" s="65">
        <f t="shared" ref="DU39:DU96" si="89">IF($B39="2-media",DS39,0)</f>
        <v>0</v>
      </c>
      <c r="DV39" s="65">
        <f t="shared" ref="DV39:DV96" si="90">IF($B39="3-Alta",DS39,0)</f>
        <v>0</v>
      </c>
      <c r="DW39" s="96"/>
      <c r="DX39" s="65">
        <f t="shared" ref="DX39:DX96" si="91">IF($B39="1-baixa",DW39,0)</f>
        <v>0</v>
      </c>
      <c r="DY39" s="65">
        <f t="shared" ref="DY39:DY96" si="92">IF($B39="2-media",DW39,0)</f>
        <v>0</v>
      </c>
      <c r="DZ39" s="65">
        <f t="shared" ref="DZ39:DZ96" si="93">IF($B39="3-Alta",DW39,0)</f>
        <v>0</v>
      </c>
      <c r="EA39" s="96"/>
      <c r="EB39" s="65">
        <f t="shared" ref="EB39:EB96" si="94">IF($B39="1-baixa",EA39,0)</f>
        <v>0</v>
      </c>
      <c r="EC39" s="65">
        <f t="shared" ref="EC39:EC96" si="95">IF($B39="2-media",EA39,0)</f>
        <v>0</v>
      </c>
      <c r="ED39" s="65">
        <f t="shared" ref="ED39:ED96" si="96">IF($B39="3-Alta",EA39,0)</f>
        <v>0</v>
      </c>
    </row>
    <row r="40" spans="1:134" x14ac:dyDescent="0.2">
      <c r="A40" s="71"/>
      <c r="B40" s="96" t="s">
        <v>52</v>
      </c>
      <c r="C40" s="96"/>
      <c r="D40" s="97">
        <f t="shared" si="0"/>
        <v>0</v>
      </c>
      <c r="E40" s="97">
        <f>IF($B40="2-media",C40,0)</f>
        <v>0</v>
      </c>
      <c r="F40" s="97">
        <f>IF($B40="3-Alta",C40,0)</f>
        <v>0</v>
      </c>
      <c r="G40" s="96"/>
      <c r="H40" s="97">
        <f t="shared" si="1"/>
        <v>0</v>
      </c>
      <c r="I40" s="97">
        <f t="shared" si="2"/>
        <v>0</v>
      </c>
      <c r="J40" s="97">
        <f t="shared" si="3"/>
        <v>0</v>
      </c>
      <c r="K40" s="96"/>
      <c r="L40" s="97">
        <f t="shared" si="4"/>
        <v>0</v>
      </c>
      <c r="M40" s="97">
        <f t="shared" si="5"/>
        <v>0</v>
      </c>
      <c r="N40" s="97">
        <f t="shared" si="6"/>
        <v>0</v>
      </c>
      <c r="O40" s="96"/>
      <c r="P40" s="97">
        <f t="shared" si="7"/>
        <v>0</v>
      </c>
      <c r="Q40" s="97">
        <f t="shared" si="8"/>
        <v>0</v>
      </c>
      <c r="R40" s="97">
        <f t="shared" si="9"/>
        <v>0</v>
      </c>
      <c r="S40" s="96"/>
      <c r="T40" s="97">
        <f t="shared" si="10"/>
        <v>0</v>
      </c>
      <c r="U40" s="97">
        <f t="shared" si="11"/>
        <v>0</v>
      </c>
      <c r="V40" s="97">
        <f t="shared" si="12"/>
        <v>0</v>
      </c>
      <c r="W40" s="96"/>
      <c r="X40" s="97">
        <f t="shared" si="13"/>
        <v>0</v>
      </c>
      <c r="Y40" s="97">
        <f t="shared" si="14"/>
        <v>0</v>
      </c>
      <c r="Z40" s="97">
        <f t="shared" si="15"/>
        <v>0</v>
      </c>
      <c r="AA40" s="96"/>
      <c r="AB40" s="97">
        <f t="shared" si="16"/>
        <v>0</v>
      </c>
      <c r="AC40" s="97">
        <f t="shared" si="17"/>
        <v>0</v>
      </c>
      <c r="AD40" s="97">
        <f t="shared" si="18"/>
        <v>0</v>
      </c>
      <c r="AE40" s="96"/>
      <c r="AF40" s="97">
        <f t="shared" si="19"/>
        <v>0</v>
      </c>
      <c r="AG40" s="97">
        <f t="shared" si="20"/>
        <v>0</v>
      </c>
      <c r="AH40" s="97">
        <f t="shared" si="21"/>
        <v>0</v>
      </c>
      <c r="AI40" s="96"/>
      <c r="AJ40" s="97">
        <f t="shared" si="22"/>
        <v>0</v>
      </c>
      <c r="AK40" s="97">
        <f t="shared" si="23"/>
        <v>0</v>
      </c>
      <c r="AL40" s="97">
        <f t="shared" si="24"/>
        <v>0</v>
      </c>
      <c r="AM40" s="96"/>
      <c r="AN40" s="97">
        <f t="shared" si="25"/>
        <v>0</v>
      </c>
      <c r="AO40" s="97">
        <f t="shared" si="26"/>
        <v>0</v>
      </c>
      <c r="AP40" s="97">
        <f t="shared" si="27"/>
        <v>0</v>
      </c>
      <c r="AQ40" s="96"/>
      <c r="AR40" s="97">
        <f t="shared" si="28"/>
        <v>0</v>
      </c>
      <c r="AS40" s="97">
        <f t="shared" si="29"/>
        <v>0</v>
      </c>
      <c r="AT40" s="97">
        <f t="shared" si="30"/>
        <v>0</v>
      </c>
      <c r="AU40" s="96"/>
      <c r="AV40" s="97">
        <f t="shared" si="31"/>
        <v>0</v>
      </c>
      <c r="AW40" s="97">
        <f t="shared" si="32"/>
        <v>0</v>
      </c>
      <c r="AX40" s="97">
        <f t="shared" si="33"/>
        <v>0</v>
      </c>
      <c r="AY40" s="96"/>
      <c r="AZ40" s="65">
        <f t="shared" si="34"/>
        <v>0</v>
      </c>
      <c r="BA40" s="65">
        <f t="shared" si="35"/>
        <v>0</v>
      </c>
      <c r="BB40" s="65">
        <f t="shared" si="36"/>
        <v>0</v>
      </c>
      <c r="BC40" s="96"/>
      <c r="BD40" s="65">
        <f t="shared" si="37"/>
        <v>0</v>
      </c>
      <c r="BE40" s="65">
        <f t="shared" si="38"/>
        <v>0</v>
      </c>
      <c r="BF40" s="65">
        <f t="shared" si="39"/>
        <v>0</v>
      </c>
      <c r="BG40" s="96"/>
      <c r="BH40" s="65">
        <f t="shared" si="40"/>
        <v>0</v>
      </c>
      <c r="BI40" s="65">
        <f t="shared" si="41"/>
        <v>0</v>
      </c>
      <c r="BJ40" s="65">
        <f t="shared" si="42"/>
        <v>0</v>
      </c>
      <c r="BK40" s="96"/>
      <c r="BL40" s="97">
        <f t="shared" si="43"/>
        <v>0</v>
      </c>
      <c r="BM40" s="97">
        <f t="shared" si="44"/>
        <v>0</v>
      </c>
      <c r="BN40" s="97">
        <f t="shared" si="45"/>
        <v>0</v>
      </c>
      <c r="BO40" s="96"/>
      <c r="BP40" s="97">
        <f t="shared" si="46"/>
        <v>0</v>
      </c>
      <c r="BQ40" s="97">
        <f t="shared" si="47"/>
        <v>0</v>
      </c>
      <c r="BR40" s="97">
        <f t="shared" si="48"/>
        <v>0</v>
      </c>
      <c r="BS40" s="96"/>
      <c r="BT40" s="97">
        <f t="shared" si="49"/>
        <v>0</v>
      </c>
      <c r="BU40" s="97">
        <f t="shared" si="50"/>
        <v>0</v>
      </c>
      <c r="BV40" s="97">
        <f t="shared" si="51"/>
        <v>0</v>
      </c>
      <c r="BW40" s="96"/>
      <c r="BX40" s="97">
        <f t="shared" si="52"/>
        <v>0</v>
      </c>
      <c r="BY40" s="97">
        <f t="shared" si="53"/>
        <v>0</v>
      </c>
      <c r="BZ40" s="97">
        <f t="shared" si="54"/>
        <v>0</v>
      </c>
      <c r="CA40" s="96"/>
      <c r="CB40" s="97">
        <f t="shared" si="55"/>
        <v>0</v>
      </c>
      <c r="CC40" s="97">
        <f t="shared" si="56"/>
        <v>0</v>
      </c>
      <c r="CD40" s="97">
        <f t="shared" si="57"/>
        <v>0</v>
      </c>
      <c r="CE40" s="96"/>
      <c r="CF40" s="65">
        <f t="shared" si="58"/>
        <v>0</v>
      </c>
      <c r="CG40" s="65">
        <f t="shared" si="59"/>
        <v>0</v>
      </c>
      <c r="CH40" s="65">
        <f t="shared" si="60"/>
        <v>0</v>
      </c>
      <c r="CI40" s="96"/>
      <c r="CJ40" s="65">
        <f t="shared" si="61"/>
        <v>0</v>
      </c>
      <c r="CK40" s="65">
        <f t="shared" si="62"/>
        <v>0</v>
      </c>
      <c r="CL40" s="65">
        <f t="shared" si="63"/>
        <v>0</v>
      </c>
      <c r="CM40" s="96"/>
      <c r="CN40" s="65">
        <f t="shared" si="64"/>
        <v>0</v>
      </c>
      <c r="CO40" s="65">
        <f t="shared" si="65"/>
        <v>0</v>
      </c>
      <c r="CP40" s="65">
        <f t="shared" si="66"/>
        <v>0</v>
      </c>
      <c r="CQ40" s="96"/>
      <c r="CR40" s="65">
        <f t="shared" si="67"/>
        <v>0</v>
      </c>
      <c r="CS40" s="65">
        <f t="shared" si="68"/>
        <v>0</v>
      </c>
      <c r="CT40" s="65">
        <f t="shared" si="69"/>
        <v>0</v>
      </c>
      <c r="CU40" s="96"/>
      <c r="CV40" s="65">
        <f t="shared" si="70"/>
        <v>0</v>
      </c>
      <c r="CW40" s="65">
        <f t="shared" si="71"/>
        <v>0</v>
      </c>
      <c r="CX40" s="65">
        <f t="shared" si="72"/>
        <v>0</v>
      </c>
      <c r="CY40" s="96"/>
      <c r="CZ40" s="97">
        <f t="shared" si="73"/>
        <v>0</v>
      </c>
      <c r="DA40" s="97">
        <f t="shared" si="74"/>
        <v>0</v>
      </c>
      <c r="DB40" s="97">
        <f t="shared" si="75"/>
        <v>0</v>
      </c>
      <c r="DC40" s="96"/>
      <c r="DD40" s="97">
        <f t="shared" si="76"/>
        <v>0</v>
      </c>
      <c r="DE40" s="97">
        <f t="shared" si="77"/>
        <v>0</v>
      </c>
      <c r="DF40" s="97">
        <f t="shared" si="78"/>
        <v>0</v>
      </c>
      <c r="DG40" s="96"/>
      <c r="DH40" s="97">
        <f t="shared" si="79"/>
        <v>0</v>
      </c>
      <c r="DI40" s="97">
        <f t="shared" si="80"/>
        <v>0</v>
      </c>
      <c r="DJ40" s="97">
        <f t="shared" si="81"/>
        <v>0</v>
      </c>
      <c r="DK40" s="96"/>
      <c r="DL40" s="97">
        <f t="shared" si="82"/>
        <v>0</v>
      </c>
      <c r="DM40" s="97">
        <f t="shared" si="83"/>
        <v>0</v>
      </c>
      <c r="DN40" s="97">
        <f t="shared" si="84"/>
        <v>0</v>
      </c>
      <c r="DO40" s="96"/>
      <c r="DP40" s="97">
        <f t="shared" si="85"/>
        <v>0</v>
      </c>
      <c r="DQ40" s="97">
        <f t="shared" si="86"/>
        <v>0</v>
      </c>
      <c r="DR40" s="97">
        <f t="shared" si="87"/>
        <v>0</v>
      </c>
      <c r="DS40" s="96"/>
      <c r="DT40" s="65">
        <f t="shared" si="88"/>
        <v>0</v>
      </c>
      <c r="DU40" s="65">
        <f t="shared" si="89"/>
        <v>0</v>
      </c>
      <c r="DV40" s="65">
        <f t="shared" si="90"/>
        <v>0</v>
      </c>
      <c r="DW40" s="96"/>
      <c r="DX40" s="65">
        <f t="shared" si="91"/>
        <v>0</v>
      </c>
      <c r="DY40" s="65">
        <f t="shared" si="92"/>
        <v>0</v>
      </c>
      <c r="DZ40" s="65">
        <f t="shared" si="93"/>
        <v>0</v>
      </c>
      <c r="EA40" s="96"/>
      <c r="EB40" s="65">
        <f t="shared" si="94"/>
        <v>0</v>
      </c>
      <c r="EC40" s="65">
        <f t="shared" si="95"/>
        <v>0</v>
      </c>
      <c r="ED40" s="65">
        <f t="shared" si="96"/>
        <v>0</v>
      </c>
    </row>
    <row r="41" spans="1:134" x14ac:dyDescent="0.2">
      <c r="A41" s="71"/>
      <c r="B41" s="96" t="s">
        <v>52</v>
      </c>
      <c r="C41" s="96"/>
      <c r="D41" s="97">
        <f t="shared" si="0"/>
        <v>0</v>
      </c>
      <c r="E41" s="97">
        <f>IF($B41="2-media",C41,0)</f>
        <v>0</v>
      </c>
      <c r="F41" s="97">
        <f>IF($B41="3-Alta",C41,0)</f>
        <v>0</v>
      </c>
      <c r="G41" s="96"/>
      <c r="H41" s="97">
        <f t="shared" si="1"/>
        <v>0</v>
      </c>
      <c r="I41" s="97">
        <f t="shared" si="2"/>
        <v>0</v>
      </c>
      <c r="J41" s="97">
        <f t="shared" si="3"/>
        <v>0</v>
      </c>
      <c r="K41" s="96"/>
      <c r="L41" s="97">
        <f t="shared" si="4"/>
        <v>0</v>
      </c>
      <c r="M41" s="97">
        <f t="shared" si="5"/>
        <v>0</v>
      </c>
      <c r="N41" s="97">
        <f t="shared" si="6"/>
        <v>0</v>
      </c>
      <c r="O41" s="96"/>
      <c r="P41" s="97">
        <f t="shared" si="7"/>
        <v>0</v>
      </c>
      <c r="Q41" s="97">
        <f t="shared" si="8"/>
        <v>0</v>
      </c>
      <c r="R41" s="97">
        <f t="shared" si="9"/>
        <v>0</v>
      </c>
      <c r="S41" s="96"/>
      <c r="T41" s="97">
        <f t="shared" si="10"/>
        <v>0</v>
      </c>
      <c r="U41" s="97">
        <f t="shared" si="11"/>
        <v>0</v>
      </c>
      <c r="V41" s="97">
        <f t="shared" si="12"/>
        <v>0</v>
      </c>
      <c r="W41" s="96"/>
      <c r="X41" s="97">
        <f t="shared" si="13"/>
        <v>0</v>
      </c>
      <c r="Y41" s="97">
        <f t="shared" si="14"/>
        <v>0</v>
      </c>
      <c r="Z41" s="97">
        <f t="shared" si="15"/>
        <v>0</v>
      </c>
      <c r="AA41" s="96"/>
      <c r="AB41" s="97">
        <f t="shared" si="16"/>
        <v>0</v>
      </c>
      <c r="AC41" s="97">
        <f t="shared" si="17"/>
        <v>0</v>
      </c>
      <c r="AD41" s="97">
        <f t="shared" si="18"/>
        <v>0</v>
      </c>
      <c r="AE41" s="96"/>
      <c r="AF41" s="97">
        <f t="shared" si="19"/>
        <v>0</v>
      </c>
      <c r="AG41" s="97">
        <f t="shared" si="20"/>
        <v>0</v>
      </c>
      <c r="AH41" s="97">
        <f t="shared" si="21"/>
        <v>0</v>
      </c>
      <c r="AI41" s="96"/>
      <c r="AJ41" s="97">
        <f t="shared" si="22"/>
        <v>0</v>
      </c>
      <c r="AK41" s="97">
        <f t="shared" si="23"/>
        <v>0</v>
      </c>
      <c r="AL41" s="97">
        <f t="shared" si="24"/>
        <v>0</v>
      </c>
      <c r="AM41" s="96"/>
      <c r="AN41" s="97">
        <f t="shared" si="25"/>
        <v>0</v>
      </c>
      <c r="AO41" s="97">
        <f t="shared" si="26"/>
        <v>0</v>
      </c>
      <c r="AP41" s="97">
        <f t="shared" si="27"/>
        <v>0</v>
      </c>
      <c r="AQ41" s="96"/>
      <c r="AR41" s="97">
        <f t="shared" si="28"/>
        <v>0</v>
      </c>
      <c r="AS41" s="97">
        <f t="shared" si="29"/>
        <v>0</v>
      </c>
      <c r="AT41" s="97">
        <f t="shared" si="30"/>
        <v>0</v>
      </c>
      <c r="AU41" s="96"/>
      <c r="AV41" s="97">
        <f t="shared" si="31"/>
        <v>0</v>
      </c>
      <c r="AW41" s="97">
        <f t="shared" si="32"/>
        <v>0</v>
      </c>
      <c r="AX41" s="97">
        <f t="shared" si="33"/>
        <v>0</v>
      </c>
      <c r="AY41" s="96"/>
      <c r="AZ41" s="65">
        <f t="shared" si="34"/>
        <v>0</v>
      </c>
      <c r="BA41" s="65">
        <f t="shared" si="35"/>
        <v>0</v>
      </c>
      <c r="BB41" s="65">
        <f t="shared" si="36"/>
        <v>0</v>
      </c>
      <c r="BC41" s="96"/>
      <c r="BD41" s="65">
        <f t="shared" si="37"/>
        <v>0</v>
      </c>
      <c r="BE41" s="65">
        <f t="shared" si="38"/>
        <v>0</v>
      </c>
      <c r="BF41" s="65">
        <f t="shared" si="39"/>
        <v>0</v>
      </c>
      <c r="BG41" s="96"/>
      <c r="BH41" s="65">
        <f t="shared" si="40"/>
        <v>0</v>
      </c>
      <c r="BI41" s="65">
        <f t="shared" si="41"/>
        <v>0</v>
      </c>
      <c r="BJ41" s="65">
        <f t="shared" si="42"/>
        <v>0</v>
      </c>
      <c r="BK41" s="96"/>
      <c r="BL41" s="97">
        <f t="shared" si="43"/>
        <v>0</v>
      </c>
      <c r="BM41" s="97">
        <f t="shared" si="44"/>
        <v>0</v>
      </c>
      <c r="BN41" s="97">
        <f t="shared" si="45"/>
        <v>0</v>
      </c>
      <c r="BO41" s="96"/>
      <c r="BP41" s="97">
        <f t="shared" si="46"/>
        <v>0</v>
      </c>
      <c r="BQ41" s="97">
        <f t="shared" si="47"/>
        <v>0</v>
      </c>
      <c r="BR41" s="97">
        <f t="shared" si="48"/>
        <v>0</v>
      </c>
      <c r="BS41" s="96"/>
      <c r="BT41" s="97">
        <f t="shared" si="49"/>
        <v>0</v>
      </c>
      <c r="BU41" s="97">
        <f t="shared" si="50"/>
        <v>0</v>
      </c>
      <c r="BV41" s="97">
        <f t="shared" si="51"/>
        <v>0</v>
      </c>
      <c r="BW41" s="96"/>
      <c r="BX41" s="97">
        <f t="shared" si="52"/>
        <v>0</v>
      </c>
      <c r="BY41" s="97">
        <f t="shared" si="53"/>
        <v>0</v>
      </c>
      <c r="BZ41" s="97">
        <f t="shared" si="54"/>
        <v>0</v>
      </c>
      <c r="CA41" s="96"/>
      <c r="CB41" s="97">
        <f t="shared" si="55"/>
        <v>0</v>
      </c>
      <c r="CC41" s="97">
        <f t="shared" si="56"/>
        <v>0</v>
      </c>
      <c r="CD41" s="97">
        <f t="shared" si="57"/>
        <v>0</v>
      </c>
      <c r="CE41" s="96"/>
      <c r="CF41" s="65">
        <f t="shared" si="58"/>
        <v>0</v>
      </c>
      <c r="CG41" s="65">
        <f t="shared" si="59"/>
        <v>0</v>
      </c>
      <c r="CH41" s="65">
        <f t="shared" si="60"/>
        <v>0</v>
      </c>
      <c r="CI41" s="96"/>
      <c r="CJ41" s="65">
        <f t="shared" si="61"/>
        <v>0</v>
      </c>
      <c r="CK41" s="65">
        <f t="shared" si="62"/>
        <v>0</v>
      </c>
      <c r="CL41" s="65">
        <f t="shared" si="63"/>
        <v>0</v>
      </c>
      <c r="CM41" s="96"/>
      <c r="CN41" s="65">
        <f t="shared" si="64"/>
        <v>0</v>
      </c>
      <c r="CO41" s="65">
        <f t="shared" si="65"/>
        <v>0</v>
      </c>
      <c r="CP41" s="65">
        <f t="shared" si="66"/>
        <v>0</v>
      </c>
      <c r="CQ41" s="96"/>
      <c r="CR41" s="65">
        <f t="shared" si="67"/>
        <v>0</v>
      </c>
      <c r="CS41" s="65">
        <f t="shared" si="68"/>
        <v>0</v>
      </c>
      <c r="CT41" s="65">
        <f t="shared" si="69"/>
        <v>0</v>
      </c>
      <c r="CU41" s="96"/>
      <c r="CV41" s="65">
        <f t="shared" si="70"/>
        <v>0</v>
      </c>
      <c r="CW41" s="65">
        <f t="shared" si="71"/>
        <v>0</v>
      </c>
      <c r="CX41" s="65">
        <f t="shared" si="72"/>
        <v>0</v>
      </c>
      <c r="CY41" s="96"/>
      <c r="CZ41" s="97">
        <f t="shared" si="73"/>
        <v>0</v>
      </c>
      <c r="DA41" s="97">
        <f t="shared" si="74"/>
        <v>0</v>
      </c>
      <c r="DB41" s="97">
        <f t="shared" si="75"/>
        <v>0</v>
      </c>
      <c r="DC41" s="96"/>
      <c r="DD41" s="97">
        <f t="shared" si="76"/>
        <v>0</v>
      </c>
      <c r="DE41" s="97">
        <f t="shared" si="77"/>
        <v>0</v>
      </c>
      <c r="DF41" s="97">
        <f t="shared" si="78"/>
        <v>0</v>
      </c>
      <c r="DG41" s="96"/>
      <c r="DH41" s="97">
        <f t="shared" si="79"/>
        <v>0</v>
      </c>
      <c r="DI41" s="97">
        <f t="shared" si="80"/>
        <v>0</v>
      </c>
      <c r="DJ41" s="97">
        <f t="shared" si="81"/>
        <v>0</v>
      </c>
      <c r="DK41" s="96"/>
      <c r="DL41" s="97">
        <f t="shared" si="82"/>
        <v>0</v>
      </c>
      <c r="DM41" s="97">
        <f t="shared" si="83"/>
        <v>0</v>
      </c>
      <c r="DN41" s="97">
        <f t="shared" si="84"/>
        <v>0</v>
      </c>
      <c r="DO41" s="96"/>
      <c r="DP41" s="97">
        <f t="shared" si="85"/>
        <v>0</v>
      </c>
      <c r="DQ41" s="97">
        <f t="shared" si="86"/>
        <v>0</v>
      </c>
      <c r="DR41" s="97">
        <f t="shared" si="87"/>
        <v>0</v>
      </c>
      <c r="DS41" s="96"/>
      <c r="DT41" s="65">
        <f t="shared" si="88"/>
        <v>0</v>
      </c>
      <c r="DU41" s="65">
        <f t="shared" si="89"/>
        <v>0</v>
      </c>
      <c r="DV41" s="65">
        <f t="shared" si="90"/>
        <v>0</v>
      </c>
      <c r="DW41" s="96"/>
      <c r="DX41" s="65">
        <f t="shared" si="91"/>
        <v>0</v>
      </c>
      <c r="DY41" s="65">
        <f t="shared" si="92"/>
        <v>0</v>
      </c>
      <c r="DZ41" s="65">
        <f t="shared" si="93"/>
        <v>0</v>
      </c>
      <c r="EA41" s="96"/>
      <c r="EB41" s="65">
        <f t="shared" si="94"/>
        <v>0</v>
      </c>
      <c r="EC41" s="65">
        <f t="shared" si="95"/>
        <v>0</v>
      </c>
      <c r="ED41" s="65">
        <f t="shared" si="96"/>
        <v>0</v>
      </c>
    </row>
    <row r="42" spans="1:134" x14ac:dyDescent="0.2">
      <c r="A42" s="71"/>
      <c r="B42" s="96" t="s">
        <v>52</v>
      </c>
      <c r="C42" s="96"/>
      <c r="D42" s="97">
        <f t="shared" si="0"/>
        <v>0</v>
      </c>
      <c r="E42" s="97">
        <f>IF($B42="2-media",C42,0)</f>
        <v>0</v>
      </c>
      <c r="F42" s="97">
        <f>IF($B42="3-Alta",C42,0)</f>
        <v>0</v>
      </c>
      <c r="G42" s="96"/>
      <c r="H42" s="97">
        <f t="shared" si="1"/>
        <v>0</v>
      </c>
      <c r="I42" s="97">
        <f t="shared" si="2"/>
        <v>0</v>
      </c>
      <c r="J42" s="97">
        <f t="shared" si="3"/>
        <v>0</v>
      </c>
      <c r="K42" s="96"/>
      <c r="L42" s="97">
        <f t="shared" si="4"/>
        <v>0</v>
      </c>
      <c r="M42" s="97">
        <f t="shared" si="5"/>
        <v>0</v>
      </c>
      <c r="N42" s="97">
        <f t="shared" si="6"/>
        <v>0</v>
      </c>
      <c r="O42" s="96"/>
      <c r="P42" s="97">
        <f t="shared" si="7"/>
        <v>0</v>
      </c>
      <c r="Q42" s="97">
        <f t="shared" si="8"/>
        <v>0</v>
      </c>
      <c r="R42" s="97">
        <f t="shared" si="9"/>
        <v>0</v>
      </c>
      <c r="S42" s="96"/>
      <c r="T42" s="97">
        <f t="shared" si="10"/>
        <v>0</v>
      </c>
      <c r="U42" s="97">
        <f t="shared" si="11"/>
        <v>0</v>
      </c>
      <c r="V42" s="97">
        <f t="shared" si="12"/>
        <v>0</v>
      </c>
      <c r="W42" s="96"/>
      <c r="X42" s="97">
        <f t="shared" si="13"/>
        <v>0</v>
      </c>
      <c r="Y42" s="97">
        <f t="shared" si="14"/>
        <v>0</v>
      </c>
      <c r="Z42" s="97">
        <f t="shared" si="15"/>
        <v>0</v>
      </c>
      <c r="AA42" s="96"/>
      <c r="AB42" s="97">
        <f t="shared" si="16"/>
        <v>0</v>
      </c>
      <c r="AC42" s="97">
        <f t="shared" si="17"/>
        <v>0</v>
      </c>
      <c r="AD42" s="97">
        <f t="shared" si="18"/>
        <v>0</v>
      </c>
      <c r="AE42" s="96"/>
      <c r="AF42" s="97">
        <f t="shared" si="19"/>
        <v>0</v>
      </c>
      <c r="AG42" s="97">
        <f t="shared" si="20"/>
        <v>0</v>
      </c>
      <c r="AH42" s="97">
        <f t="shared" si="21"/>
        <v>0</v>
      </c>
      <c r="AI42" s="96"/>
      <c r="AJ42" s="97">
        <f t="shared" si="22"/>
        <v>0</v>
      </c>
      <c r="AK42" s="97">
        <f t="shared" si="23"/>
        <v>0</v>
      </c>
      <c r="AL42" s="97">
        <f t="shared" si="24"/>
        <v>0</v>
      </c>
      <c r="AM42" s="96"/>
      <c r="AN42" s="97">
        <f t="shared" si="25"/>
        <v>0</v>
      </c>
      <c r="AO42" s="97">
        <f t="shared" si="26"/>
        <v>0</v>
      </c>
      <c r="AP42" s="97">
        <f t="shared" si="27"/>
        <v>0</v>
      </c>
      <c r="AQ42" s="96"/>
      <c r="AR42" s="97">
        <f t="shared" si="28"/>
        <v>0</v>
      </c>
      <c r="AS42" s="97">
        <f t="shared" si="29"/>
        <v>0</v>
      </c>
      <c r="AT42" s="97">
        <f t="shared" si="30"/>
        <v>0</v>
      </c>
      <c r="AU42" s="96"/>
      <c r="AV42" s="97">
        <f t="shared" si="31"/>
        <v>0</v>
      </c>
      <c r="AW42" s="97">
        <f t="shared" si="32"/>
        <v>0</v>
      </c>
      <c r="AX42" s="97">
        <f t="shared" si="33"/>
        <v>0</v>
      </c>
      <c r="AY42" s="96"/>
      <c r="AZ42" s="65">
        <f t="shared" si="34"/>
        <v>0</v>
      </c>
      <c r="BA42" s="65">
        <f t="shared" si="35"/>
        <v>0</v>
      </c>
      <c r="BB42" s="65">
        <f t="shared" si="36"/>
        <v>0</v>
      </c>
      <c r="BC42" s="96"/>
      <c r="BD42" s="65">
        <f t="shared" si="37"/>
        <v>0</v>
      </c>
      <c r="BE42" s="65">
        <f t="shared" si="38"/>
        <v>0</v>
      </c>
      <c r="BF42" s="65">
        <f t="shared" si="39"/>
        <v>0</v>
      </c>
      <c r="BG42" s="96"/>
      <c r="BH42" s="65">
        <f t="shared" si="40"/>
        <v>0</v>
      </c>
      <c r="BI42" s="65">
        <f t="shared" si="41"/>
        <v>0</v>
      </c>
      <c r="BJ42" s="65">
        <f t="shared" si="42"/>
        <v>0</v>
      </c>
      <c r="BK42" s="96"/>
      <c r="BL42" s="97">
        <f t="shared" si="43"/>
        <v>0</v>
      </c>
      <c r="BM42" s="97">
        <f t="shared" si="44"/>
        <v>0</v>
      </c>
      <c r="BN42" s="97">
        <f t="shared" si="45"/>
        <v>0</v>
      </c>
      <c r="BO42" s="96"/>
      <c r="BP42" s="97">
        <f t="shared" si="46"/>
        <v>0</v>
      </c>
      <c r="BQ42" s="97">
        <f t="shared" si="47"/>
        <v>0</v>
      </c>
      <c r="BR42" s="97">
        <f t="shared" si="48"/>
        <v>0</v>
      </c>
      <c r="BS42" s="96"/>
      <c r="BT42" s="97">
        <f t="shared" si="49"/>
        <v>0</v>
      </c>
      <c r="BU42" s="97">
        <f t="shared" si="50"/>
        <v>0</v>
      </c>
      <c r="BV42" s="97">
        <f t="shared" si="51"/>
        <v>0</v>
      </c>
      <c r="BW42" s="96"/>
      <c r="BX42" s="97">
        <f t="shared" si="52"/>
        <v>0</v>
      </c>
      <c r="BY42" s="97">
        <f t="shared" si="53"/>
        <v>0</v>
      </c>
      <c r="BZ42" s="97">
        <f t="shared" si="54"/>
        <v>0</v>
      </c>
      <c r="CA42" s="96"/>
      <c r="CB42" s="97">
        <f t="shared" si="55"/>
        <v>0</v>
      </c>
      <c r="CC42" s="97">
        <f t="shared" si="56"/>
        <v>0</v>
      </c>
      <c r="CD42" s="97">
        <f t="shared" si="57"/>
        <v>0</v>
      </c>
      <c r="CE42" s="96"/>
      <c r="CF42" s="65">
        <f t="shared" si="58"/>
        <v>0</v>
      </c>
      <c r="CG42" s="65">
        <f t="shared" si="59"/>
        <v>0</v>
      </c>
      <c r="CH42" s="65">
        <f t="shared" si="60"/>
        <v>0</v>
      </c>
      <c r="CI42" s="96"/>
      <c r="CJ42" s="65">
        <f t="shared" si="61"/>
        <v>0</v>
      </c>
      <c r="CK42" s="65">
        <f t="shared" si="62"/>
        <v>0</v>
      </c>
      <c r="CL42" s="65">
        <f t="shared" si="63"/>
        <v>0</v>
      </c>
      <c r="CM42" s="96"/>
      <c r="CN42" s="65">
        <f t="shared" si="64"/>
        <v>0</v>
      </c>
      <c r="CO42" s="65">
        <f t="shared" si="65"/>
        <v>0</v>
      </c>
      <c r="CP42" s="65">
        <f t="shared" si="66"/>
        <v>0</v>
      </c>
      <c r="CQ42" s="96"/>
      <c r="CR42" s="65">
        <f t="shared" si="67"/>
        <v>0</v>
      </c>
      <c r="CS42" s="65">
        <f t="shared" si="68"/>
        <v>0</v>
      </c>
      <c r="CT42" s="65">
        <f t="shared" si="69"/>
        <v>0</v>
      </c>
      <c r="CU42" s="96"/>
      <c r="CV42" s="65">
        <f t="shared" si="70"/>
        <v>0</v>
      </c>
      <c r="CW42" s="65">
        <f t="shared" si="71"/>
        <v>0</v>
      </c>
      <c r="CX42" s="65">
        <f t="shared" si="72"/>
        <v>0</v>
      </c>
      <c r="CY42" s="96"/>
      <c r="CZ42" s="97">
        <f t="shared" si="73"/>
        <v>0</v>
      </c>
      <c r="DA42" s="97">
        <f t="shared" si="74"/>
        <v>0</v>
      </c>
      <c r="DB42" s="97">
        <f t="shared" si="75"/>
        <v>0</v>
      </c>
      <c r="DC42" s="96"/>
      <c r="DD42" s="97">
        <f t="shared" si="76"/>
        <v>0</v>
      </c>
      <c r="DE42" s="97">
        <f t="shared" si="77"/>
        <v>0</v>
      </c>
      <c r="DF42" s="97">
        <f t="shared" si="78"/>
        <v>0</v>
      </c>
      <c r="DG42" s="96"/>
      <c r="DH42" s="97">
        <f t="shared" si="79"/>
        <v>0</v>
      </c>
      <c r="DI42" s="97">
        <f t="shared" si="80"/>
        <v>0</v>
      </c>
      <c r="DJ42" s="97">
        <f t="shared" si="81"/>
        <v>0</v>
      </c>
      <c r="DK42" s="96"/>
      <c r="DL42" s="97">
        <f t="shared" si="82"/>
        <v>0</v>
      </c>
      <c r="DM42" s="97">
        <f t="shared" si="83"/>
        <v>0</v>
      </c>
      <c r="DN42" s="97">
        <f t="shared" si="84"/>
        <v>0</v>
      </c>
      <c r="DO42" s="96"/>
      <c r="DP42" s="97">
        <f t="shared" si="85"/>
        <v>0</v>
      </c>
      <c r="DQ42" s="97">
        <f t="shared" si="86"/>
        <v>0</v>
      </c>
      <c r="DR42" s="97">
        <f t="shared" si="87"/>
        <v>0</v>
      </c>
      <c r="DS42" s="96"/>
      <c r="DT42" s="65">
        <f t="shared" si="88"/>
        <v>0</v>
      </c>
      <c r="DU42" s="65">
        <f t="shared" si="89"/>
        <v>0</v>
      </c>
      <c r="DV42" s="65">
        <f t="shared" si="90"/>
        <v>0</v>
      </c>
      <c r="DW42" s="96"/>
      <c r="DX42" s="65">
        <f t="shared" si="91"/>
        <v>0</v>
      </c>
      <c r="DY42" s="65">
        <f t="shared" si="92"/>
        <v>0</v>
      </c>
      <c r="DZ42" s="65">
        <f t="shared" si="93"/>
        <v>0</v>
      </c>
      <c r="EA42" s="96"/>
      <c r="EB42" s="65">
        <f t="shared" si="94"/>
        <v>0</v>
      </c>
      <c r="EC42" s="65">
        <f t="shared" si="95"/>
        <v>0</v>
      </c>
      <c r="ED42" s="65">
        <f t="shared" si="96"/>
        <v>0</v>
      </c>
    </row>
    <row r="43" spans="1:134" x14ac:dyDescent="0.2">
      <c r="A43" s="71"/>
      <c r="B43" s="96" t="s">
        <v>52</v>
      </c>
      <c r="C43" s="96"/>
      <c r="D43" s="97">
        <f t="shared" si="0"/>
        <v>0</v>
      </c>
      <c r="E43" s="97">
        <f t="shared" ref="E43:E96" si="97">IF($B43="2-media",C43,0)</f>
        <v>0</v>
      </c>
      <c r="F43" s="97">
        <f t="shared" ref="F43:F96" si="98">IF($B43="3-Alta",C43,0)</f>
        <v>0</v>
      </c>
      <c r="G43" s="96"/>
      <c r="H43" s="97">
        <f t="shared" si="1"/>
        <v>0</v>
      </c>
      <c r="I43" s="97">
        <f t="shared" si="2"/>
        <v>0</v>
      </c>
      <c r="J43" s="97">
        <f t="shared" si="3"/>
        <v>0</v>
      </c>
      <c r="K43" s="96"/>
      <c r="L43" s="97">
        <f t="shared" si="4"/>
        <v>0</v>
      </c>
      <c r="M43" s="97">
        <f t="shared" si="5"/>
        <v>0</v>
      </c>
      <c r="N43" s="97">
        <f t="shared" si="6"/>
        <v>0</v>
      </c>
      <c r="O43" s="96"/>
      <c r="P43" s="97">
        <f t="shared" si="7"/>
        <v>0</v>
      </c>
      <c r="Q43" s="97">
        <f t="shared" si="8"/>
        <v>0</v>
      </c>
      <c r="R43" s="97">
        <f t="shared" si="9"/>
        <v>0</v>
      </c>
      <c r="S43" s="96"/>
      <c r="T43" s="97">
        <f t="shared" si="10"/>
        <v>0</v>
      </c>
      <c r="U43" s="97">
        <f t="shared" si="11"/>
        <v>0</v>
      </c>
      <c r="V43" s="97">
        <f t="shared" si="12"/>
        <v>0</v>
      </c>
      <c r="W43" s="96"/>
      <c r="X43" s="97">
        <f t="shared" si="13"/>
        <v>0</v>
      </c>
      <c r="Y43" s="97">
        <f t="shared" si="14"/>
        <v>0</v>
      </c>
      <c r="Z43" s="97">
        <f t="shared" si="15"/>
        <v>0</v>
      </c>
      <c r="AA43" s="96"/>
      <c r="AB43" s="97">
        <f t="shared" si="16"/>
        <v>0</v>
      </c>
      <c r="AC43" s="97">
        <f t="shared" si="17"/>
        <v>0</v>
      </c>
      <c r="AD43" s="97">
        <f t="shared" si="18"/>
        <v>0</v>
      </c>
      <c r="AE43" s="96"/>
      <c r="AF43" s="97">
        <f t="shared" si="19"/>
        <v>0</v>
      </c>
      <c r="AG43" s="97">
        <f t="shared" si="20"/>
        <v>0</v>
      </c>
      <c r="AH43" s="97">
        <f t="shared" si="21"/>
        <v>0</v>
      </c>
      <c r="AI43" s="96"/>
      <c r="AJ43" s="97">
        <f t="shared" si="22"/>
        <v>0</v>
      </c>
      <c r="AK43" s="97">
        <f t="shared" si="23"/>
        <v>0</v>
      </c>
      <c r="AL43" s="97">
        <f t="shared" si="24"/>
        <v>0</v>
      </c>
      <c r="AM43" s="96"/>
      <c r="AN43" s="97">
        <f t="shared" si="25"/>
        <v>0</v>
      </c>
      <c r="AO43" s="97">
        <f t="shared" si="26"/>
        <v>0</v>
      </c>
      <c r="AP43" s="97">
        <f t="shared" si="27"/>
        <v>0</v>
      </c>
      <c r="AQ43" s="96"/>
      <c r="AR43" s="97">
        <f t="shared" si="28"/>
        <v>0</v>
      </c>
      <c r="AS43" s="97">
        <f t="shared" si="29"/>
        <v>0</v>
      </c>
      <c r="AT43" s="97">
        <f t="shared" si="30"/>
        <v>0</v>
      </c>
      <c r="AU43" s="96"/>
      <c r="AV43" s="97">
        <f t="shared" si="31"/>
        <v>0</v>
      </c>
      <c r="AW43" s="97">
        <f t="shared" si="32"/>
        <v>0</v>
      </c>
      <c r="AX43" s="97">
        <f t="shared" si="33"/>
        <v>0</v>
      </c>
      <c r="AY43" s="96"/>
      <c r="AZ43" s="65">
        <f t="shared" si="34"/>
        <v>0</v>
      </c>
      <c r="BA43" s="65">
        <f t="shared" si="35"/>
        <v>0</v>
      </c>
      <c r="BB43" s="65">
        <f t="shared" si="36"/>
        <v>0</v>
      </c>
      <c r="BC43" s="96"/>
      <c r="BD43" s="65">
        <f t="shared" si="37"/>
        <v>0</v>
      </c>
      <c r="BE43" s="65">
        <f t="shared" si="38"/>
        <v>0</v>
      </c>
      <c r="BF43" s="65">
        <f t="shared" si="39"/>
        <v>0</v>
      </c>
      <c r="BG43" s="96"/>
      <c r="BH43" s="65">
        <f t="shared" si="40"/>
        <v>0</v>
      </c>
      <c r="BI43" s="65">
        <f t="shared" si="41"/>
        <v>0</v>
      </c>
      <c r="BJ43" s="65">
        <f t="shared" si="42"/>
        <v>0</v>
      </c>
      <c r="BK43" s="96"/>
      <c r="BL43" s="97">
        <f t="shared" si="43"/>
        <v>0</v>
      </c>
      <c r="BM43" s="97">
        <f t="shared" si="44"/>
        <v>0</v>
      </c>
      <c r="BN43" s="97">
        <f t="shared" si="45"/>
        <v>0</v>
      </c>
      <c r="BO43" s="96"/>
      <c r="BP43" s="97">
        <f t="shared" si="46"/>
        <v>0</v>
      </c>
      <c r="BQ43" s="97">
        <f t="shared" si="47"/>
        <v>0</v>
      </c>
      <c r="BR43" s="97">
        <f t="shared" si="48"/>
        <v>0</v>
      </c>
      <c r="BS43" s="96"/>
      <c r="BT43" s="97">
        <f t="shared" si="49"/>
        <v>0</v>
      </c>
      <c r="BU43" s="97">
        <f t="shared" si="50"/>
        <v>0</v>
      </c>
      <c r="BV43" s="97">
        <f t="shared" si="51"/>
        <v>0</v>
      </c>
      <c r="BW43" s="96"/>
      <c r="BX43" s="97">
        <f t="shared" si="52"/>
        <v>0</v>
      </c>
      <c r="BY43" s="97">
        <f t="shared" si="53"/>
        <v>0</v>
      </c>
      <c r="BZ43" s="97">
        <f t="shared" si="54"/>
        <v>0</v>
      </c>
      <c r="CA43" s="96"/>
      <c r="CB43" s="97">
        <f t="shared" si="55"/>
        <v>0</v>
      </c>
      <c r="CC43" s="97">
        <f t="shared" si="56"/>
        <v>0</v>
      </c>
      <c r="CD43" s="97">
        <f t="shared" si="57"/>
        <v>0</v>
      </c>
      <c r="CE43" s="96"/>
      <c r="CF43" s="65">
        <f t="shared" si="58"/>
        <v>0</v>
      </c>
      <c r="CG43" s="65">
        <f t="shared" si="59"/>
        <v>0</v>
      </c>
      <c r="CH43" s="65">
        <f t="shared" si="60"/>
        <v>0</v>
      </c>
      <c r="CI43" s="96"/>
      <c r="CJ43" s="65">
        <f t="shared" si="61"/>
        <v>0</v>
      </c>
      <c r="CK43" s="65">
        <f t="shared" si="62"/>
        <v>0</v>
      </c>
      <c r="CL43" s="65">
        <f t="shared" si="63"/>
        <v>0</v>
      </c>
      <c r="CM43" s="96"/>
      <c r="CN43" s="65">
        <f t="shared" si="64"/>
        <v>0</v>
      </c>
      <c r="CO43" s="65">
        <f t="shared" si="65"/>
        <v>0</v>
      </c>
      <c r="CP43" s="65">
        <f t="shared" si="66"/>
        <v>0</v>
      </c>
      <c r="CQ43" s="96"/>
      <c r="CR43" s="65">
        <f t="shared" si="67"/>
        <v>0</v>
      </c>
      <c r="CS43" s="65">
        <f t="shared" si="68"/>
        <v>0</v>
      </c>
      <c r="CT43" s="65">
        <f t="shared" si="69"/>
        <v>0</v>
      </c>
      <c r="CU43" s="96"/>
      <c r="CV43" s="65">
        <f t="shared" si="70"/>
        <v>0</v>
      </c>
      <c r="CW43" s="65">
        <f t="shared" si="71"/>
        <v>0</v>
      </c>
      <c r="CX43" s="65">
        <f t="shared" si="72"/>
        <v>0</v>
      </c>
      <c r="CY43" s="96"/>
      <c r="CZ43" s="97">
        <f t="shared" si="73"/>
        <v>0</v>
      </c>
      <c r="DA43" s="97">
        <f t="shared" si="74"/>
        <v>0</v>
      </c>
      <c r="DB43" s="97">
        <f t="shared" si="75"/>
        <v>0</v>
      </c>
      <c r="DC43" s="96"/>
      <c r="DD43" s="97">
        <f t="shared" si="76"/>
        <v>0</v>
      </c>
      <c r="DE43" s="97">
        <f t="shared" si="77"/>
        <v>0</v>
      </c>
      <c r="DF43" s="97">
        <f t="shared" si="78"/>
        <v>0</v>
      </c>
      <c r="DG43" s="96"/>
      <c r="DH43" s="97">
        <f t="shared" si="79"/>
        <v>0</v>
      </c>
      <c r="DI43" s="97">
        <f t="shared" si="80"/>
        <v>0</v>
      </c>
      <c r="DJ43" s="97">
        <f t="shared" si="81"/>
        <v>0</v>
      </c>
      <c r="DK43" s="96"/>
      <c r="DL43" s="97">
        <f t="shared" si="82"/>
        <v>0</v>
      </c>
      <c r="DM43" s="97">
        <f t="shared" si="83"/>
        <v>0</v>
      </c>
      <c r="DN43" s="97">
        <f t="shared" si="84"/>
        <v>0</v>
      </c>
      <c r="DO43" s="96"/>
      <c r="DP43" s="97">
        <f t="shared" si="85"/>
        <v>0</v>
      </c>
      <c r="DQ43" s="97">
        <f t="shared" si="86"/>
        <v>0</v>
      </c>
      <c r="DR43" s="97">
        <f t="shared" si="87"/>
        <v>0</v>
      </c>
      <c r="DS43" s="96"/>
      <c r="DT43" s="65">
        <f t="shared" si="88"/>
        <v>0</v>
      </c>
      <c r="DU43" s="65">
        <f t="shared" si="89"/>
        <v>0</v>
      </c>
      <c r="DV43" s="65">
        <f t="shared" si="90"/>
        <v>0</v>
      </c>
      <c r="DW43" s="96"/>
      <c r="DX43" s="65">
        <f t="shared" si="91"/>
        <v>0</v>
      </c>
      <c r="DY43" s="65">
        <f t="shared" si="92"/>
        <v>0</v>
      </c>
      <c r="DZ43" s="65">
        <f t="shared" si="93"/>
        <v>0</v>
      </c>
      <c r="EA43" s="96"/>
      <c r="EB43" s="65">
        <f t="shared" si="94"/>
        <v>0</v>
      </c>
      <c r="EC43" s="65">
        <f t="shared" si="95"/>
        <v>0</v>
      </c>
      <c r="ED43" s="65">
        <f t="shared" si="96"/>
        <v>0</v>
      </c>
    </row>
    <row r="44" spans="1:134" x14ac:dyDescent="0.2">
      <c r="A44" s="71"/>
      <c r="B44" s="96" t="s">
        <v>52</v>
      </c>
      <c r="C44" s="96"/>
      <c r="D44" s="97">
        <f t="shared" si="0"/>
        <v>0</v>
      </c>
      <c r="E44" s="97">
        <f t="shared" si="97"/>
        <v>0</v>
      </c>
      <c r="F44" s="97">
        <f t="shared" si="98"/>
        <v>0</v>
      </c>
      <c r="G44" s="96"/>
      <c r="H44" s="97">
        <f t="shared" si="1"/>
        <v>0</v>
      </c>
      <c r="I44" s="97">
        <f t="shared" si="2"/>
        <v>0</v>
      </c>
      <c r="J44" s="97">
        <f t="shared" si="3"/>
        <v>0</v>
      </c>
      <c r="K44" s="96"/>
      <c r="L44" s="97">
        <f t="shared" si="4"/>
        <v>0</v>
      </c>
      <c r="M44" s="97">
        <f t="shared" si="5"/>
        <v>0</v>
      </c>
      <c r="N44" s="97">
        <f t="shared" si="6"/>
        <v>0</v>
      </c>
      <c r="O44" s="96"/>
      <c r="P44" s="97">
        <f t="shared" si="7"/>
        <v>0</v>
      </c>
      <c r="Q44" s="97">
        <f t="shared" si="8"/>
        <v>0</v>
      </c>
      <c r="R44" s="97">
        <f t="shared" si="9"/>
        <v>0</v>
      </c>
      <c r="S44" s="96"/>
      <c r="T44" s="97">
        <f t="shared" si="10"/>
        <v>0</v>
      </c>
      <c r="U44" s="97">
        <f t="shared" si="11"/>
        <v>0</v>
      </c>
      <c r="V44" s="97">
        <f t="shared" si="12"/>
        <v>0</v>
      </c>
      <c r="W44" s="96"/>
      <c r="X44" s="97">
        <f t="shared" si="13"/>
        <v>0</v>
      </c>
      <c r="Y44" s="97">
        <f t="shared" si="14"/>
        <v>0</v>
      </c>
      <c r="Z44" s="97">
        <f t="shared" si="15"/>
        <v>0</v>
      </c>
      <c r="AA44" s="96"/>
      <c r="AB44" s="97">
        <f t="shared" si="16"/>
        <v>0</v>
      </c>
      <c r="AC44" s="97">
        <f t="shared" si="17"/>
        <v>0</v>
      </c>
      <c r="AD44" s="97">
        <f t="shared" si="18"/>
        <v>0</v>
      </c>
      <c r="AE44" s="96"/>
      <c r="AF44" s="97">
        <f t="shared" si="19"/>
        <v>0</v>
      </c>
      <c r="AG44" s="97">
        <f t="shared" si="20"/>
        <v>0</v>
      </c>
      <c r="AH44" s="97">
        <f t="shared" si="21"/>
        <v>0</v>
      </c>
      <c r="AI44" s="96"/>
      <c r="AJ44" s="97">
        <f t="shared" si="22"/>
        <v>0</v>
      </c>
      <c r="AK44" s="97">
        <f t="shared" si="23"/>
        <v>0</v>
      </c>
      <c r="AL44" s="97">
        <f t="shared" si="24"/>
        <v>0</v>
      </c>
      <c r="AM44" s="96"/>
      <c r="AN44" s="97">
        <f t="shared" si="25"/>
        <v>0</v>
      </c>
      <c r="AO44" s="97">
        <f t="shared" si="26"/>
        <v>0</v>
      </c>
      <c r="AP44" s="97">
        <f t="shared" si="27"/>
        <v>0</v>
      </c>
      <c r="AQ44" s="96"/>
      <c r="AR44" s="97">
        <f t="shared" si="28"/>
        <v>0</v>
      </c>
      <c r="AS44" s="97">
        <f t="shared" si="29"/>
        <v>0</v>
      </c>
      <c r="AT44" s="97">
        <f t="shared" si="30"/>
        <v>0</v>
      </c>
      <c r="AU44" s="96"/>
      <c r="AV44" s="97">
        <f t="shared" si="31"/>
        <v>0</v>
      </c>
      <c r="AW44" s="97">
        <f t="shared" si="32"/>
        <v>0</v>
      </c>
      <c r="AX44" s="97">
        <f t="shared" si="33"/>
        <v>0</v>
      </c>
      <c r="AY44" s="96"/>
      <c r="AZ44" s="65">
        <f t="shared" si="34"/>
        <v>0</v>
      </c>
      <c r="BA44" s="65">
        <f t="shared" si="35"/>
        <v>0</v>
      </c>
      <c r="BB44" s="65">
        <f t="shared" si="36"/>
        <v>0</v>
      </c>
      <c r="BC44" s="96"/>
      <c r="BD44" s="65">
        <f t="shared" si="37"/>
        <v>0</v>
      </c>
      <c r="BE44" s="65">
        <f t="shared" si="38"/>
        <v>0</v>
      </c>
      <c r="BF44" s="65">
        <f t="shared" si="39"/>
        <v>0</v>
      </c>
      <c r="BG44" s="96"/>
      <c r="BH44" s="65">
        <f t="shared" si="40"/>
        <v>0</v>
      </c>
      <c r="BI44" s="65">
        <f t="shared" si="41"/>
        <v>0</v>
      </c>
      <c r="BJ44" s="65">
        <f t="shared" si="42"/>
        <v>0</v>
      </c>
      <c r="BK44" s="96"/>
      <c r="BL44" s="97">
        <f t="shared" si="43"/>
        <v>0</v>
      </c>
      <c r="BM44" s="97">
        <f t="shared" si="44"/>
        <v>0</v>
      </c>
      <c r="BN44" s="97">
        <f t="shared" si="45"/>
        <v>0</v>
      </c>
      <c r="BO44" s="96"/>
      <c r="BP44" s="97">
        <f t="shared" si="46"/>
        <v>0</v>
      </c>
      <c r="BQ44" s="97">
        <f t="shared" si="47"/>
        <v>0</v>
      </c>
      <c r="BR44" s="97">
        <f t="shared" si="48"/>
        <v>0</v>
      </c>
      <c r="BS44" s="96"/>
      <c r="BT44" s="97">
        <f t="shared" si="49"/>
        <v>0</v>
      </c>
      <c r="BU44" s="97">
        <f t="shared" si="50"/>
        <v>0</v>
      </c>
      <c r="BV44" s="97">
        <f t="shared" si="51"/>
        <v>0</v>
      </c>
      <c r="BW44" s="96"/>
      <c r="BX44" s="97">
        <f t="shared" si="52"/>
        <v>0</v>
      </c>
      <c r="BY44" s="97">
        <f t="shared" si="53"/>
        <v>0</v>
      </c>
      <c r="BZ44" s="97">
        <f t="shared" si="54"/>
        <v>0</v>
      </c>
      <c r="CA44" s="96"/>
      <c r="CB44" s="97">
        <f t="shared" si="55"/>
        <v>0</v>
      </c>
      <c r="CC44" s="97">
        <f t="shared" si="56"/>
        <v>0</v>
      </c>
      <c r="CD44" s="97">
        <f t="shared" si="57"/>
        <v>0</v>
      </c>
      <c r="CE44" s="96"/>
      <c r="CF44" s="65">
        <f t="shared" si="58"/>
        <v>0</v>
      </c>
      <c r="CG44" s="65">
        <f t="shared" si="59"/>
        <v>0</v>
      </c>
      <c r="CH44" s="65">
        <f t="shared" si="60"/>
        <v>0</v>
      </c>
      <c r="CI44" s="96"/>
      <c r="CJ44" s="65">
        <f t="shared" si="61"/>
        <v>0</v>
      </c>
      <c r="CK44" s="65">
        <f t="shared" si="62"/>
        <v>0</v>
      </c>
      <c r="CL44" s="65">
        <f t="shared" si="63"/>
        <v>0</v>
      </c>
      <c r="CM44" s="96"/>
      <c r="CN44" s="65">
        <f t="shared" si="64"/>
        <v>0</v>
      </c>
      <c r="CO44" s="65">
        <f t="shared" si="65"/>
        <v>0</v>
      </c>
      <c r="CP44" s="65">
        <f t="shared" si="66"/>
        <v>0</v>
      </c>
      <c r="CQ44" s="96"/>
      <c r="CR44" s="65">
        <f t="shared" si="67"/>
        <v>0</v>
      </c>
      <c r="CS44" s="65">
        <f t="shared" si="68"/>
        <v>0</v>
      </c>
      <c r="CT44" s="65">
        <f t="shared" si="69"/>
        <v>0</v>
      </c>
      <c r="CU44" s="96"/>
      <c r="CV44" s="65">
        <f t="shared" si="70"/>
        <v>0</v>
      </c>
      <c r="CW44" s="65">
        <f t="shared" si="71"/>
        <v>0</v>
      </c>
      <c r="CX44" s="65">
        <f t="shared" si="72"/>
        <v>0</v>
      </c>
      <c r="CY44" s="96"/>
      <c r="CZ44" s="97">
        <f t="shared" si="73"/>
        <v>0</v>
      </c>
      <c r="DA44" s="97">
        <f t="shared" si="74"/>
        <v>0</v>
      </c>
      <c r="DB44" s="97">
        <f t="shared" si="75"/>
        <v>0</v>
      </c>
      <c r="DC44" s="96"/>
      <c r="DD44" s="97">
        <f t="shared" si="76"/>
        <v>0</v>
      </c>
      <c r="DE44" s="97">
        <f t="shared" si="77"/>
        <v>0</v>
      </c>
      <c r="DF44" s="97">
        <f t="shared" si="78"/>
        <v>0</v>
      </c>
      <c r="DG44" s="96"/>
      <c r="DH44" s="97">
        <f t="shared" si="79"/>
        <v>0</v>
      </c>
      <c r="DI44" s="97">
        <f t="shared" si="80"/>
        <v>0</v>
      </c>
      <c r="DJ44" s="97">
        <f t="shared" si="81"/>
        <v>0</v>
      </c>
      <c r="DK44" s="96"/>
      <c r="DL44" s="97">
        <f t="shared" si="82"/>
        <v>0</v>
      </c>
      <c r="DM44" s="97">
        <f t="shared" si="83"/>
        <v>0</v>
      </c>
      <c r="DN44" s="97">
        <f t="shared" si="84"/>
        <v>0</v>
      </c>
      <c r="DO44" s="96"/>
      <c r="DP44" s="97">
        <f t="shared" si="85"/>
        <v>0</v>
      </c>
      <c r="DQ44" s="97">
        <f t="shared" si="86"/>
        <v>0</v>
      </c>
      <c r="DR44" s="97">
        <f t="shared" si="87"/>
        <v>0</v>
      </c>
      <c r="DS44" s="96"/>
      <c r="DT44" s="65">
        <f t="shared" si="88"/>
        <v>0</v>
      </c>
      <c r="DU44" s="65">
        <f t="shared" si="89"/>
        <v>0</v>
      </c>
      <c r="DV44" s="65">
        <f t="shared" si="90"/>
        <v>0</v>
      </c>
      <c r="DW44" s="96"/>
      <c r="DX44" s="65">
        <f t="shared" si="91"/>
        <v>0</v>
      </c>
      <c r="DY44" s="65">
        <f t="shared" si="92"/>
        <v>0</v>
      </c>
      <c r="DZ44" s="65">
        <f t="shared" si="93"/>
        <v>0</v>
      </c>
      <c r="EA44" s="96"/>
      <c r="EB44" s="65">
        <f t="shared" si="94"/>
        <v>0</v>
      </c>
      <c r="EC44" s="65">
        <f t="shared" si="95"/>
        <v>0</v>
      </c>
      <c r="ED44" s="65">
        <f t="shared" si="96"/>
        <v>0</v>
      </c>
    </row>
    <row r="45" spans="1:134" x14ac:dyDescent="0.2">
      <c r="A45" s="71"/>
      <c r="B45" s="96" t="s">
        <v>52</v>
      </c>
      <c r="C45" s="96"/>
      <c r="D45" s="97">
        <f t="shared" si="0"/>
        <v>0</v>
      </c>
      <c r="E45" s="97">
        <f t="shared" si="97"/>
        <v>0</v>
      </c>
      <c r="F45" s="97">
        <f t="shared" si="98"/>
        <v>0</v>
      </c>
      <c r="G45" s="96"/>
      <c r="H45" s="97">
        <f t="shared" si="1"/>
        <v>0</v>
      </c>
      <c r="I45" s="97">
        <f t="shared" si="2"/>
        <v>0</v>
      </c>
      <c r="J45" s="97">
        <f t="shared" si="3"/>
        <v>0</v>
      </c>
      <c r="K45" s="96"/>
      <c r="L45" s="97">
        <f t="shared" si="4"/>
        <v>0</v>
      </c>
      <c r="M45" s="97">
        <f t="shared" si="5"/>
        <v>0</v>
      </c>
      <c r="N45" s="97">
        <f t="shared" si="6"/>
        <v>0</v>
      </c>
      <c r="O45" s="96"/>
      <c r="P45" s="97">
        <f t="shared" si="7"/>
        <v>0</v>
      </c>
      <c r="Q45" s="97">
        <f t="shared" si="8"/>
        <v>0</v>
      </c>
      <c r="R45" s="97">
        <f t="shared" si="9"/>
        <v>0</v>
      </c>
      <c r="S45" s="96"/>
      <c r="T45" s="97">
        <f t="shared" si="10"/>
        <v>0</v>
      </c>
      <c r="U45" s="97">
        <f t="shared" si="11"/>
        <v>0</v>
      </c>
      <c r="V45" s="97">
        <f t="shared" si="12"/>
        <v>0</v>
      </c>
      <c r="W45" s="96"/>
      <c r="X45" s="97">
        <f t="shared" si="13"/>
        <v>0</v>
      </c>
      <c r="Y45" s="97">
        <f t="shared" si="14"/>
        <v>0</v>
      </c>
      <c r="Z45" s="97">
        <f t="shared" si="15"/>
        <v>0</v>
      </c>
      <c r="AA45" s="96"/>
      <c r="AB45" s="97">
        <f t="shared" si="16"/>
        <v>0</v>
      </c>
      <c r="AC45" s="97">
        <f t="shared" si="17"/>
        <v>0</v>
      </c>
      <c r="AD45" s="97">
        <f t="shared" si="18"/>
        <v>0</v>
      </c>
      <c r="AE45" s="96"/>
      <c r="AF45" s="97">
        <f t="shared" si="19"/>
        <v>0</v>
      </c>
      <c r="AG45" s="97">
        <f t="shared" si="20"/>
        <v>0</v>
      </c>
      <c r="AH45" s="97">
        <f t="shared" si="21"/>
        <v>0</v>
      </c>
      <c r="AI45" s="96"/>
      <c r="AJ45" s="97">
        <f t="shared" si="22"/>
        <v>0</v>
      </c>
      <c r="AK45" s="97">
        <f t="shared" si="23"/>
        <v>0</v>
      </c>
      <c r="AL45" s="97">
        <f t="shared" si="24"/>
        <v>0</v>
      </c>
      <c r="AM45" s="96"/>
      <c r="AN45" s="97">
        <f t="shared" si="25"/>
        <v>0</v>
      </c>
      <c r="AO45" s="97">
        <f t="shared" si="26"/>
        <v>0</v>
      </c>
      <c r="AP45" s="97">
        <f t="shared" si="27"/>
        <v>0</v>
      </c>
      <c r="AQ45" s="96"/>
      <c r="AR45" s="97">
        <f t="shared" si="28"/>
        <v>0</v>
      </c>
      <c r="AS45" s="97">
        <f t="shared" si="29"/>
        <v>0</v>
      </c>
      <c r="AT45" s="97">
        <f t="shared" si="30"/>
        <v>0</v>
      </c>
      <c r="AU45" s="96"/>
      <c r="AV45" s="97">
        <f t="shared" si="31"/>
        <v>0</v>
      </c>
      <c r="AW45" s="97">
        <f t="shared" si="32"/>
        <v>0</v>
      </c>
      <c r="AX45" s="97">
        <f t="shared" si="33"/>
        <v>0</v>
      </c>
      <c r="AY45" s="96"/>
      <c r="AZ45" s="65">
        <f t="shared" si="34"/>
        <v>0</v>
      </c>
      <c r="BA45" s="65">
        <f t="shared" si="35"/>
        <v>0</v>
      </c>
      <c r="BB45" s="65">
        <f t="shared" si="36"/>
        <v>0</v>
      </c>
      <c r="BC45" s="96"/>
      <c r="BD45" s="65">
        <f t="shared" si="37"/>
        <v>0</v>
      </c>
      <c r="BE45" s="65">
        <f t="shared" si="38"/>
        <v>0</v>
      </c>
      <c r="BF45" s="65">
        <f t="shared" si="39"/>
        <v>0</v>
      </c>
      <c r="BG45" s="96"/>
      <c r="BH45" s="65">
        <f t="shared" si="40"/>
        <v>0</v>
      </c>
      <c r="BI45" s="65">
        <f t="shared" si="41"/>
        <v>0</v>
      </c>
      <c r="BJ45" s="65">
        <f t="shared" si="42"/>
        <v>0</v>
      </c>
      <c r="BK45" s="96"/>
      <c r="BL45" s="97">
        <f t="shared" si="43"/>
        <v>0</v>
      </c>
      <c r="BM45" s="97">
        <f t="shared" si="44"/>
        <v>0</v>
      </c>
      <c r="BN45" s="97">
        <f t="shared" si="45"/>
        <v>0</v>
      </c>
      <c r="BO45" s="96"/>
      <c r="BP45" s="97">
        <f t="shared" si="46"/>
        <v>0</v>
      </c>
      <c r="BQ45" s="97">
        <f t="shared" si="47"/>
        <v>0</v>
      </c>
      <c r="BR45" s="97">
        <f t="shared" si="48"/>
        <v>0</v>
      </c>
      <c r="BS45" s="96"/>
      <c r="BT45" s="97">
        <f t="shared" si="49"/>
        <v>0</v>
      </c>
      <c r="BU45" s="97">
        <f t="shared" si="50"/>
        <v>0</v>
      </c>
      <c r="BV45" s="97">
        <f t="shared" si="51"/>
        <v>0</v>
      </c>
      <c r="BW45" s="96"/>
      <c r="BX45" s="97">
        <f t="shared" si="52"/>
        <v>0</v>
      </c>
      <c r="BY45" s="97">
        <f t="shared" si="53"/>
        <v>0</v>
      </c>
      <c r="BZ45" s="97">
        <f t="shared" si="54"/>
        <v>0</v>
      </c>
      <c r="CA45" s="96"/>
      <c r="CB45" s="97">
        <f t="shared" si="55"/>
        <v>0</v>
      </c>
      <c r="CC45" s="97">
        <f t="shared" si="56"/>
        <v>0</v>
      </c>
      <c r="CD45" s="97">
        <f t="shared" si="57"/>
        <v>0</v>
      </c>
      <c r="CE45" s="96"/>
      <c r="CF45" s="65">
        <f t="shared" si="58"/>
        <v>0</v>
      </c>
      <c r="CG45" s="65">
        <f t="shared" si="59"/>
        <v>0</v>
      </c>
      <c r="CH45" s="65">
        <f t="shared" si="60"/>
        <v>0</v>
      </c>
      <c r="CI45" s="96"/>
      <c r="CJ45" s="65">
        <f t="shared" si="61"/>
        <v>0</v>
      </c>
      <c r="CK45" s="65">
        <f t="shared" si="62"/>
        <v>0</v>
      </c>
      <c r="CL45" s="65">
        <f t="shared" si="63"/>
        <v>0</v>
      </c>
      <c r="CM45" s="96"/>
      <c r="CN45" s="65">
        <f t="shared" si="64"/>
        <v>0</v>
      </c>
      <c r="CO45" s="65">
        <f t="shared" si="65"/>
        <v>0</v>
      </c>
      <c r="CP45" s="65">
        <f t="shared" si="66"/>
        <v>0</v>
      </c>
      <c r="CQ45" s="96"/>
      <c r="CR45" s="65">
        <f t="shared" si="67"/>
        <v>0</v>
      </c>
      <c r="CS45" s="65">
        <f t="shared" si="68"/>
        <v>0</v>
      </c>
      <c r="CT45" s="65">
        <f t="shared" si="69"/>
        <v>0</v>
      </c>
      <c r="CU45" s="96"/>
      <c r="CV45" s="65">
        <f t="shared" si="70"/>
        <v>0</v>
      </c>
      <c r="CW45" s="65">
        <f t="shared" si="71"/>
        <v>0</v>
      </c>
      <c r="CX45" s="65">
        <f t="shared" si="72"/>
        <v>0</v>
      </c>
      <c r="CY45" s="96"/>
      <c r="CZ45" s="97">
        <f t="shared" si="73"/>
        <v>0</v>
      </c>
      <c r="DA45" s="97">
        <f t="shared" si="74"/>
        <v>0</v>
      </c>
      <c r="DB45" s="97">
        <f t="shared" si="75"/>
        <v>0</v>
      </c>
      <c r="DC45" s="96"/>
      <c r="DD45" s="97">
        <f t="shared" si="76"/>
        <v>0</v>
      </c>
      <c r="DE45" s="97">
        <f t="shared" si="77"/>
        <v>0</v>
      </c>
      <c r="DF45" s="97">
        <f t="shared" si="78"/>
        <v>0</v>
      </c>
      <c r="DG45" s="96"/>
      <c r="DH45" s="97">
        <f t="shared" si="79"/>
        <v>0</v>
      </c>
      <c r="DI45" s="97">
        <f t="shared" si="80"/>
        <v>0</v>
      </c>
      <c r="DJ45" s="97">
        <f t="shared" si="81"/>
        <v>0</v>
      </c>
      <c r="DK45" s="96"/>
      <c r="DL45" s="97">
        <f t="shared" si="82"/>
        <v>0</v>
      </c>
      <c r="DM45" s="97">
        <f t="shared" si="83"/>
        <v>0</v>
      </c>
      <c r="DN45" s="97">
        <f t="shared" si="84"/>
        <v>0</v>
      </c>
      <c r="DO45" s="96"/>
      <c r="DP45" s="97">
        <f t="shared" si="85"/>
        <v>0</v>
      </c>
      <c r="DQ45" s="97">
        <f t="shared" si="86"/>
        <v>0</v>
      </c>
      <c r="DR45" s="97">
        <f t="shared" si="87"/>
        <v>0</v>
      </c>
      <c r="DS45" s="96"/>
      <c r="DT45" s="65">
        <f t="shared" si="88"/>
        <v>0</v>
      </c>
      <c r="DU45" s="65">
        <f t="shared" si="89"/>
        <v>0</v>
      </c>
      <c r="DV45" s="65">
        <f t="shared" si="90"/>
        <v>0</v>
      </c>
      <c r="DW45" s="96"/>
      <c r="DX45" s="65">
        <f t="shared" si="91"/>
        <v>0</v>
      </c>
      <c r="DY45" s="65">
        <f t="shared" si="92"/>
        <v>0</v>
      </c>
      <c r="DZ45" s="65">
        <f t="shared" si="93"/>
        <v>0</v>
      </c>
      <c r="EA45" s="96"/>
      <c r="EB45" s="65">
        <f t="shared" si="94"/>
        <v>0</v>
      </c>
      <c r="EC45" s="65">
        <f t="shared" si="95"/>
        <v>0</v>
      </c>
      <c r="ED45" s="65">
        <f t="shared" si="96"/>
        <v>0</v>
      </c>
    </row>
    <row r="46" spans="1:134" x14ac:dyDescent="0.2">
      <c r="A46" s="71"/>
      <c r="B46" s="96" t="s">
        <v>52</v>
      </c>
      <c r="C46" s="96"/>
      <c r="D46" s="97">
        <f t="shared" si="0"/>
        <v>0</v>
      </c>
      <c r="E46" s="97">
        <f t="shared" si="97"/>
        <v>0</v>
      </c>
      <c r="F46" s="97">
        <f t="shared" si="98"/>
        <v>0</v>
      </c>
      <c r="G46" s="96"/>
      <c r="H46" s="97">
        <f t="shared" si="1"/>
        <v>0</v>
      </c>
      <c r="I46" s="97">
        <f t="shared" si="2"/>
        <v>0</v>
      </c>
      <c r="J46" s="97">
        <f t="shared" si="3"/>
        <v>0</v>
      </c>
      <c r="K46" s="96"/>
      <c r="L46" s="97">
        <f t="shared" si="4"/>
        <v>0</v>
      </c>
      <c r="M46" s="97">
        <f t="shared" si="5"/>
        <v>0</v>
      </c>
      <c r="N46" s="97">
        <f t="shared" si="6"/>
        <v>0</v>
      </c>
      <c r="O46" s="96"/>
      <c r="P46" s="97">
        <f t="shared" si="7"/>
        <v>0</v>
      </c>
      <c r="Q46" s="97">
        <f t="shared" si="8"/>
        <v>0</v>
      </c>
      <c r="R46" s="97">
        <f t="shared" si="9"/>
        <v>0</v>
      </c>
      <c r="S46" s="96"/>
      <c r="T46" s="97">
        <f t="shared" si="10"/>
        <v>0</v>
      </c>
      <c r="U46" s="97">
        <f t="shared" si="11"/>
        <v>0</v>
      </c>
      <c r="V46" s="97">
        <f t="shared" si="12"/>
        <v>0</v>
      </c>
      <c r="W46" s="96"/>
      <c r="X46" s="97">
        <f t="shared" si="13"/>
        <v>0</v>
      </c>
      <c r="Y46" s="97">
        <f t="shared" si="14"/>
        <v>0</v>
      </c>
      <c r="Z46" s="97">
        <f t="shared" si="15"/>
        <v>0</v>
      </c>
      <c r="AA46" s="96"/>
      <c r="AB46" s="97">
        <f t="shared" si="16"/>
        <v>0</v>
      </c>
      <c r="AC46" s="97">
        <f t="shared" si="17"/>
        <v>0</v>
      </c>
      <c r="AD46" s="97">
        <f t="shared" si="18"/>
        <v>0</v>
      </c>
      <c r="AE46" s="96"/>
      <c r="AF46" s="97">
        <f t="shared" si="19"/>
        <v>0</v>
      </c>
      <c r="AG46" s="97">
        <f t="shared" si="20"/>
        <v>0</v>
      </c>
      <c r="AH46" s="97">
        <f t="shared" si="21"/>
        <v>0</v>
      </c>
      <c r="AI46" s="96"/>
      <c r="AJ46" s="97">
        <f t="shared" si="22"/>
        <v>0</v>
      </c>
      <c r="AK46" s="97">
        <f t="shared" si="23"/>
        <v>0</v>
      </c>
      <c r="AL46" s="97">
        <f t="shared" si="24"/>
        <v>0</v>
      </c>
      <c r="AM46" s="96"/>
      <c r="AN46" s="97">
        <f t="shared" si="25"/>
        <v>0</v>
      </c>
      <c r="AO46" s="97">
        <f t="shared" si="26"/>
        <v>0</v>
      </c>
      <c r="AP46" s="97">
        <f t="shared" si="27"/>
        <v>0</v>
      </c>
      <c r="AQ46" s="96"/>
      <c r="AR46" s="97">
        <f t="shared" si="28"/>
        <v>0</v>
      </c>
      <c r="AS46" s="97">
        <f t="shared" si="29"/>
        <v>0</v>
      </c>
      <c r="AT46" s="97">
        <f t="shared" si="30"/>
        <v>0</v>
      </c>
      <c r="AU46" s="96"/>
      <c r="AV46" s="97">
        <f t="shared" si="31"/>
        <v>0</v>
      </c>
      <c r="AW46" s="97">
        <f t="shared" si="32"/>
        <v>0</v>
      </c>
      <c r="AX46" s="97">
        <f t="shared" si="33"/>
        <v>0</v>
      </c>
      <c r="AY46" s="96"/>
      <c r="AZ46" s="65">
        <f t="shared" si="34"/>
        <v>0</v>
      </c>
      <c r="BA46" s="65">
        <f t="shared" si="35"/>
        <v>0</v>
      </c>
      <c r="BB46" s="65">
        <f t="shared" si="36"/>
        <v>0</v>
      </c>
      <c r="BC46" s="96"/>
      <c r="BD46" s="65">
        <f t="shared" si="37"/>
        <v>0</v>
      </c>
      <c r="BE46" s="65">
        <f t="shared" si="38"/>
        <v>0</v>
      </c>
      <c r="BF46" s="65">
        <f t="shared" si="39"/>
        <v>0</v>
      </c>
      <c r="BG46" s="96"/>
      <c r="BH46" s="65">
        <f t="shared" si="40"/>
        <v>0</v>
      </c>
      <c r="BI46" s="65">
        <f t="shared" si="41"/>
        <v>0</v>
      </c>
      <c r="BJ46" s="65">
        <f t="shared" si="42"/>
        <v>0</v>
      </c>
      <c r="BK46" s="96"/>
      <c r="BL46" s="97">
        <f t="shared" si="43"/>
        <v>0</v>
      </c>
      <c r="BM46" s="97">
        <f t="shared" si="44"/>
        <v>0</v>
      </c>
      <c r="BN46" s="97">
        <f t="shared" si="45"/>
        <v>0</v>
      </c>
      <c r="BO46" s="96"/>
      <c r="BP46" s="97">
        <f t="shared" si="46"/>
        <v>0</v>
      </c>
      <c r="BQ46" s="97">
        <f t="shared" si="47"/>
        <v>0</v>
      </c>
      <c r="BR46" s="97">
        <f t="shared" si="48"/>
        <v>0</v>
      </c>
      <c r="BS46" s="96"/>
      <c r="BT46" s="97">
        <f t="shared" si="49"/>
        <v>0</v>
      </c>
      <c r="BU46" s="97">
        <f t="shared" si="50"/>
        <v>0</v>
      </c>
      <c r="BV46" s="97">
        <f t="shared" si="51"/>
        <v>0</v>
      </c>
      <c r="BW46" s="96"/>
      <c r="BX46" s="97">
        <f t="shared" si="52"/>
        <v>0</v>
      </c>
      <c r="BY46" s="97">
        <f t="shared" si="53"/>
        <v>0</v>
      </c>
      <c r="BZ46" s="97">
        <f t="shared" si="54"/>
        <v>0</v>
      </c>
      <c r="CA46" s="96"/>
      <c r="CB46" s="97">
        <f t="shared" si="55"/>
        <v>0</v>
      </c>
      <c r="CC46" s="97">
        <f t="shared" si="56"/>
        <v>0</v>
      </c>
      <c r="CD46" s="97">
        <f t="shared" si="57"/>
        <v>0</v>
      </c>
      <c r="CE46" s="96"/>
      <c r="CF46" s="65">
        <f t="shared" si="58"/>
        <v>0</v>
      </c>
      <c r="CG46" s="65">
        <f t="shared" si="59"/>
        <v>0</v>
      </c>
      <c r="CH46" s="65">
        <f t="shared" si="60"/>
        <v>0</v>
      </c>
      <c r="CI46" s="96"/>
      <c r="CJ46" s="65">
        <f t="shared" si="61"/>
        <v>0</v>
      </c>
      <c r="CK46" s="65">
        <f t="shared" si="62"/>
        <v>0</v>
      </c>
      <c r="CL46" s="65">
        <f t="shared" si="63"/>
        <v>0</v>
      </c>
      <c r="CM46" s="96"/>
      <c r="CN46" s="65">
        <f t="shared" si="64"/>
        <v>0</v>
      </c>
      <c r="CO46" s="65">
        <f t="shared" si="65"/>
        <v>0</v>
      </c>
      <c r="CP46" s="65">
        <f t="shared" si="66"/>
        <v>0</v>
      </c>
      <c r="CQ46" s="96"/>
      <c r="CR46" s="65">
        <f t="shared" si="67"/>
        <v>0</v>
      </c>
      <c r="CS46" s="65">
        <f t="shared" si="68"/>
        <v>0</v>
      </c>
      <c r="CT46" s="65">
        <f t="shared" si="69"/>
        <v>0</v>
      </c>
      <c r="CU46" s="96"/>
      <c r="CV46" s="65">
        <f t="shared" si="70"/>
        <v>0</v>
      </c>
      <c r="CW46" s="65">
        <f t="shared" si="71"/>
        <v>0</v>
      </c>
      <c r="CX46" s="65">
        <f t="shared" si="72"/>
        <v>0</v>
      </c>
      <c r="CY46" s="96"/>
      <c r="CZ46" s="97">
        <f t="shared" si="73"/>
        <v>0</v>
      </c>
      <c r="DA46" s="97">
        <f t="shared" si="74"/>
        <v>0</v>
      </c>
      <c r="DB46" s="97">
        <f t="shared" si="75"/>
        <v>0</v>
      </c>
      <c r="DC46" s="96"/>
      <c r="DD46" s="97">
        <f t="shared" si="76"/>
        <v>0</v>
      </c>
      <c r="DE46" s="97">
        <f t="shared" si="77"/>
        <v>0</v>
      </c>
      <c r="DF46" s="97">
        <f t="shared" si="78"/>
        <v>0</v>
      </c>
      <c r="DG46" s="96"/>
      <c r="DH46" s="97">
        <f t="shared" si="79"/>
        <v>0</v>
      </c>
      <c r="DI46" s="97">
        <f t="shared" si="80"/>
        <v>0</v>
      </c>
      <c r="DJ46" s="97">
        <f t="shared" si="81"/>
        <v>0</v>
      </c>
      <c r="DK46" s="96"/>
      <c r="DL46" s="97">
        <f t="shared" si="82"/>
        <v>0</v>
      </c>
      <c r="DM46" s="97">
        <f t="shared" si="83"/>
        <v>0</v>
      </c>
      <c r="DN46" s="97">
        <f t="shared" si="84"/>
        <v>0</v>
      </c>
      <c r="DO46" s="96"/>
      <c r="DP46" s="97">
        <f t="shared" si="85"/>
        <v>0</v>
      </c>
      <c r="DQ46" s="97">
        <f t="shared" si="86"/>
        <v>0</v>
      </c>
      <c r="DR46" s="97">
        <f t="shared" si="87"/>
        <v>0</v>
      </c>
      <c r="DS46" s="96"/>
      <c r="DT46" s="65">
        <f t="shared" si="88"/>
        <v>0</v>
      </c>
      <c r="DU46" s="65">
        <f t="shared" si="89"/>
        <v>0</v>
      </c>
      <c r="DV46" s="65">
        <f t="shared" si="90"/>
        <v>0</v>
      </c>
      <c r="DW46" s="96"/>
      <c r="DX46" s="65">
        <f t="shared" si="91"/>
        <v>0</v>
      </c>
      <c r="DY46" s="65">
        <f t="shared" si="92"/>
        <v>0</v>
      </c>
      <c r="DZ46" s="65">
        <f t="shared" si="93"/>
        <v>0</v>
      </c>
      <c r="EA46" s="96"/>
      <c r="EB46" s="65">
        <f t="shared" si="94"/>
        <v>0</v>
      </c>
      <c r="EC46" s="65">
        <f t="shared" si="95"/>
        <v>0</v>
      </c>
      <c r="ED46" s="65">
        <f t="shared" si="96"/>
        <v>0</v>
      </c>
    </row>
    <row r="47" spans="1:134" x14ac:dyDescent="0.2">
      <c r="A47" s="71"/>
      <c r="B47" s="96" t="s">
        <v>52</v>
      </c>
      <c r="C47" s="96"/>
      <c r="D47" s="97">
        <f t="shared" si="0"/>
        <v>0</v>
      </c>
      <c r="E47" s="97">
        <f t="shared" si="97"/>
        <v>0</v>
      </c>
      <c r="F47" s="97">
        <f t="shared" si="98"/>
        <v>0</v>
      </c>
      <c r="G47" s="96"/>
      <c r="H47" s="97">
        <f t="shared" si="1"/>
        <v>0</v>
      </c>
      <c r="I47" s="97">
        <f t="shared" si="2"/>
        <v>0</v>
      </c>
      <c r="J47" s="97">
        <f t="shared" si="3"/>
        <v>0</v>
      </c>
      <c r="K47" s="96"/>
      <c r="L47" s="97">
        <f t="shared" si="4"/>
        <v>0</v>
      </c>
      <c r="M47" s="97">
        <f t="shared" si="5"/>
        <v>0</v>
      </c>
      <c r="N47" s="97">
        <f t="shared" si="6"/>
        <v>0</v>
      </c>
      <c r="O47" s="96"/>
      <c r="P47" s="97">
        <f t="shared" si="7"/>
        <v>0</v>
      </c>
      <c r="Q47" s="97">
        <f t="shared" si="8"/>
        <v>0</v>
      </c>
      <c r="R47" s="97">
        <f t="shared" si="9"/>
        <v>0</v>
      </c>
      <c r="S47" s="96"/>
      <c r="T47" s="97">
        <f t="shared" si="10"/>
        <v>0</v>
      </c>
      <c r="U47" s="97">
        <f t="shared" si="11"/>
        <v>0</v>
      </c>
      <c r="V47" s="97">
        <f t="shared" si="12"/>
        <v>0</v>
      </c>
      <c r="W47" s="96"/>
      <c r="X47" s="97">
        <f t="shared" si="13"/>
        <v>0</v>
      </c>
      <c r="Y47" s="97">
        <f t="shared" si="14"/>
        <v>0</v>
      </c>
      <c r="Z47" s="97">
        <f t="shared" si="15"/>
        <v>0</v>
      </c>
      <c r="AA47" s="96"/>
      <c r="AB47" s="97">
        <f t="shared" si="16"/>
        <v>0</v>
      </c>
      <c r="AC47" s="97">
        <f t="shared" si="17"/>
        <v>0</v>
      </c>
      <c r="AD47" s="97">
        <f t="shared" si="18"/>
        <v>0</v>
      </c>
      <c r="AE47" s="96"/>
      <c r="AF47" s="97">
        <f t="shared" si="19"/>
        <v>0</v>
      </c>
      <c r="AG47" s="97">
        <f t="shared" si="20"/>
        <v>0</v>
      </c>
      <c r="AH47" s="97">
        <f t="shared" si="21"/>
        <v>0</v>
      </c>
      <c r="AI47" s="96"/>
      <c r="AJ47" s="97">
        <f t="shared" si="22"/>
        <v>0</v>
      </c>
      <c r="AK47" s="97">
        <f t="shared" si="23"/>
        <v>0</v>
      </c>
      <c r="AL47" s="97">
        <f t="shared" si="24"/>
        <v>0</v>
      </c>
      <c r="AM47" s="96"/>
      <c r="AN47" s="97">
        <f t="shared" si="25"/>
        <v>0</v>
      </c>
      <c r="AO47" s="97">
        <f t="shared" si="26"/>
        <v>0</v>
      </c>
      <c r="AP47" s="97">
        <f t="shared" si="27"/>
        <v>0</v>
      </c>
      <c r="AQ47" s="96"/>
      <c r="AR47" s="97">
        <f t="shared" si="28"/>
        <v>0</v>
      </c>
      <c r="AS47" s="97">
        <f t="shared" si="29"/>
        <v>0</v>
      </c>
      <c r="AT47" s="97">
        <f t="shared" si="30"/>
        <v>0</v>
      </c>
      <c r="AU47" s="96"/>
      <c r="AV47" s="97">
        <f t="shared" si="31"/>
        <v>0</v>
      </c>
      <c r="AW47" s="97">
        <f t="shared" si="32"/>
        <v>0</v>
      </c>
      <c r="AX47" s="97">
        <f t="shared" si="33"/>
        <v>0</v>
      </c>
      <c r="AY47" s="96"/>
      <c r="AZ47" s="65">
        <f t="shared" si="34"/>
        <v>0</v>
      </c>
      <c r="BA47" s="65">
        <f t="shared" si="35"/>
        <v>0</v>
      </c>
      <c r="BB47" s="65">
        <f t="shared" si="36"/>
        <v>0</v>
      </c>
      <c r="BC47" s="96"/>
      <c r="BD47" s="65">
        <f t="shared" si="37"/>
        <v>0</v>
      </c>
      <c r="BE47" s="65">
        <f t="shared" si="38"/>
        <v>0</v>
      </c>
      <c r="BF47" s="65">
        <f t="shared" si="39"/>
        <v>0</v>
      </c>
      <c r="BG47" s="96"/>
      <c r="BH47" s="65">
        <f t="shared" si="40"/>
        <v>0</v>
      </c>
      <c r="BI47" s="65">
        <f t="shared" si="41"/>
        <v>0</v>
      </c>
      <c r="BJ47" s="65">
        <f t="shared" si="42"/>
        <v>0</v>
      </c>
      <c r="BK47" s="96"/>
      <c r="BL47" s="97">
        <f t="shared" si="43"/>
        <v>0</v>
      </c>
      <c r="BM47" s="97">
        <f t="shared" si="44"/>
        <v>0</v>
      </c>
      <c r="BN47" s="97">
        <f t="shared" si="45"/>
        <v>0</v>
      </c>
      <c r="BO47" s="96"/>
      <c r="BP47" s="97">
        <f t="shared" si="46"/>
        <v>0</v>
      </c>
      <c r="BQ47" s="97">
        <f t="shared" si="47"/>
        <v>0</v>
      </c>
      <c r="BR47" s="97">
        <f t="shared" si="48"/>
        <v>0</v>
      </c>
      <c r="BS47" s="96"/>
      <c r="BT47" s="97">
        <f t="shared" si="49"/>
        <v>0</v>
      </c>
      <c r="BU47" s="97">
        <f t="shared" si="50"/>
        <v>0</v>
      </c>
      <c r="BV47" s="97">
        <f t="shared" si="51"/>
        <v>0</v>
      </c>
      <c r="BW47" s="96"/>
      <c r="BX47" s="97">
        <f t="shared" si="52"/>
        <v>0</v>
      </c>
      <c r="BY47" s="97">
        <f t="shared" si="53"/>
        <v>0</v>
      </c>
      <c r="BZ47" s="97">
        <f t="shared" si="54"/>
        <v>0</v>
      </c>
      <c r="CA47" s="96"/>
      <c r="CB47" s="97">
        <f t="shared" si="55"/>
        <v>0</v>
      </c>
      <c r="CC47" s="97">
        <f t="shared" si="56"/>
        <v>0</v>
      </c>
      <c r="CD47" s="97">
        <f t="shared" si="57"/>
        <v>0</v>
      </c>
      <c r="CE47" s="96"/>
      <c r="CF47" s="65">
        <f t="shared" si="58"/>
        <v>0</v>
      </c>
      <c r="CG47" s="65">
        <f t="shared" si="59"/>
        <v>0</v>
      </c>
      <c r="CH47" s="65">
        <f t="shared" si="60"/>
        <v>0</v>
      </c>
      <c r="CI47" s="96"/>
      <c r="CJ47" s="65">
        <f t="shared" si="61"/>
        <v>0</v>
      </c>
      <c r="CK47" s="65">
        <f t="shared" si="62"/>
        <v>0</v>
      </c>
      <c r="CL47" s="65">
        <f t="shared" si="63"/>
        <v>0</v>
      </c>
      <c r="CM47" s="96"/>
      <c r="CN47" s="65">
        <f t="shared" si="64"/>
        <v>0</v>
      </c>
      <c r="CO47" s="65">
        <f t="shared" si="65"/>
        <v>0</v>
      </c>
      <c r="CP47" s="65">
        <f t="shared" si="66"/>
        <v>0</v>
      </c>
      <c r="CQ47" s="96"/>
      <c r="CR47" s="65">
        <f t="shared" si="67"/>
        <v>0</v>
      </c>
      <c r="CS47" s="65">
        <f t="shared" si="68"/>
        <v>0</v>
      </c>
      <c r="CT47" s="65">
        <f t="shared" si="69"/>
        <v>0</v>
      </c>
      <c r="CU47" s="96"/>
      <c r="CV47" s="65">
        <f t="shared" si="70"/>
        <v>0</v>
      </c>
      <c r="CW47" s="65">
        <f t="shared" si="71"/>
        <v>0</v>
      </c>
      <c r="CX47" s="65">
        <f t="shared" si="72"/>
        <v>0</v>
      </c>
      <c r="CY47" s="96"/>
      <c r="CZ47" s="97">
        <f t="shared" si="73"/>
        <v>0</v>
      </c>
      <c r="DA47" s="97">
        <f t="shared" si="74"/>
        <v>0</v>
      </c>
      <c r="DB47" s="97">
        <f t="shared" si="75"/>
        <v>0</v>
      </c>
      <c r="DC47" s="96"/>
      <c r="DD47" s="97">
        <f t="shared" si="76"/>
        <v>0</v>
      </c>
      <c r="DE47" s="97">
        <f t="shared" si="77"/>
        <v>0</v>
      </c>
      <c r="DF47" s="97">
        <f t="shared" si="78"/>
        <v>0</v>
      </c>
      <c r="DG47" s="96"/>
      <c r="DH47" s="97">
        <f t="shared" si="79"/>
        <v>0</v>
      </c>
      <c r="DI47" s="97">
        <f t="shared" si="80"/>
        <v>0</v>
      </c>
      <c r="DJ47" s="97">
        <f t="shared" si="81"/>
        <v>0</v>
      </c>
      <c r="DK47" s="96"/>
      <c r="DL47" s="97">
        <f t="shared" si="82"/>
        <v>0</v>
      </c>
      <c r="DM47" s="97">
        <f t="shared" si="83"/>
        <v>0</v>
      </c>
      <c r="DN47" s="97">
        <f t="shared" si="84"/>
        <v>0</v>
      </c>
      <c r="DO47" s="96"/>
      <c r="DP47" s="97">
        <f t="shared" si="85"/>
        <v>0</v>
      </c>
      <c r="DQ47" s="97">
        <f t="shared" si="86"/>
        <v>0</v>
      </c>
      <c r="DR47" s="97">
        <f t="shared" si="87"/>
        <v>0</v>
      </c>
      <c r="DS47" s="96"/>
      <c r="DT47" s="65">
        <f t="shared" si="88"/>
        <v>0</v>
      </c>
      <c r="DU47" s="65">
        <f t="shared" si="89"/>
        <v>0</v>
      </c>
      <c r="DV47" s="65">
        <f t="shared" si="90"/>
        <v>0</v>
      </c>
      <c r="DW47" s="96"/>
      <c r="DX47" s="65">
        <f t="shared" si="91"/>
        <v>0</v>
      </c>
      <c r="DY47" s="65">
        <f t="shared" si="92"/>
        <v>0</v>
      </c>
      <c r="DZ47" s="65">
        <f t="shared" si="93"/>
        <v>0</v>
      </c>
      <c r="EA47" s="96"/>
      <c r="EB47" s="65">
        <f t="shared" si="94"/>
        <v>0</v>
      </c>
      <c r="EC47" s="65">
        <f t="shared" si="95"/>
        <v>0</v>
      </c>
      <c r="ED47" s="65">
        <f t="shared" si="96"/>
        <v>0</v>
      </c>
    </row>
    <row r="48" spans="1:134" x14ac:dyDescent="0.2">
      <c r="A48" s="71"/>
      <c r="B48" s="96" t="s">
        <v>52</v>
      </c>
      <c r="C48" s="96"/>
      <c r="D48" s="97">
        <f t="shared" si="0"/>
        <v>0</v>
      </c>
      <c r="E48" s="97">
        <f t="shared" si="97"/>
        <v>0</v>
      </c>
      <c r="F48" s="97">
        <f t="shared" si="98"/>
        <v>0</v>
      </c>
      <c r="G48" s="96"/>
      <c r="H48" s="97">
        <f t="shared" si="1"/>
        <v>0</v>
      </c>
      <c r="I48" s="97">
        <f t="shared" si="2"/>
        <v>0</v>
      </c>
      <c r="J48" s="97">
        <f t="shared" si="3"/>
        <v>0</v>
      </c>
      <c r="K48" s="96"/>
      <c r="L48" s="97">
        <f t="shared" si="4"/>
        <v>0</v>
      </c>
      <c r="M48" s="97">
        <f t="shared" si="5"/>
        <v>0</v>
      </c>
      <c r="N48" s="97">
        <f t="shared" si="6"/>
        <v>0</v>
      </c>
      <c r="O48" s="96"/>
      <c r="P48" s="97">
        <f t="shared" si="7"/>
        <v>0</v>
      </c>
      <c r="Q48" s="97">
        <f t="shared" si="8"/>
        <v>0</v>
      </c>
      <c r="R48" s="97">
        <f t="shared" si="9"/>
        <v>0</v>
      </c>
      <c r="S48" s="96"/>
      <c r="T48" s="97">
        <f t="shared" si="10"/>
        <v>0</v>
      </c>
      <c r="U48" s="97">
        <f t="shared" si="11"/>
        <v>0</v>
      </c>
      <c r="V48" s="97">
        <f t="shared" si="12"/>
        <v>0</v>
      </c>
      <c r="W48" s="96"/>
      <c r="X48" s="97">
        <f t="shared" si="13"/>
        <v>0</v>
      </c>
      <c r="Y48" s="97">
        <f t="shared" si="14"/>
        <v>0</v>
      </c>
      <c r="Z48" s="97">
        <f t="shared" si="15"/>
        <v>0</v>
      </c>
      <c r="AA48" s="96"/>
      <c r="AB48" s="97">
        <f t="shared" si="16"/>
        <v>0</v>
      </c>
      <c r="AC48" s="97">
        <f t="shared" si="17"/>
        <v>0</v>
      </c>
      <c r="AD48" s="97">
        <f t="shared" si="18"/>
        <v>0</v>
      </c>
      <c r="AE48" s="96"/>
      <c r="AF48" s="97">
        <f t="shared" si="19"/>
        <v>0</v>
      </c>
      <c r="AG48" s="97">
        <f t="shared" si="20"/>
        <v>0</v>
      </c>
      <c r="AH48" s="97">
        <f t="shared" si="21"/>
        <v>0</v>
      </c>
      <c r="AI48" s="96"/>
      <c r="AJ48" s="97">
        <f t="shared" si="22"/>
        <v>0</v>
      </c>
      <c r="AK48" s="97">
        <f t="shared" si="23"/>
        <v>0</v>
      </c>
      <c r="AL48" s="97">
        <f t="shared" si="24"/>
        <v>0</v>
      </c>
      <c r="AM48" s="96"/>
      <c r="AN48" s="97">
        <f t="shared" si="25"/>
        <v>0</v>
      </c>
      <c r="AO48" s="97">
        <f t="shared" si="26"/>
        <v>0</v>
      </c>
      <c r="AP48" s="97">
        <f t="shared" si="27"/>
        <v>0</v>
      </c>
      <c r="AQ48" s="96"/>
      <c r="AR48" s="97">
        <f t="shared" si="28"/>
        <v>0</v>
      </c>
      <c r="AS48" s="97">
        <f t="shared" si="29"/>
        <v>0</v>
      </c>
      <c r="AT48" s="97">
        <f t="shared" si="30"/>
        <v>0</v>
      </c>
      <c r="AU48" s="96"/>
      <c r="AV48" s="97">
        <f t="shared" si="31"/>
        <v>0</v>
      </c>
      <c r="AW48" s="97">
        <f t="shared" si="32"/>
        <v>0</v>
      </c>
      <c r="AX48" s="97">
        <f t="shared" si="33"/>
        <v>0</v>
      </c>
      <c r="AY48" s="96"/>
      <c r="AZ48" s="65">
        <f t="shared" si="34"/>
        <v>0</v>
      </c>
      <c r="BA48" s="65">
        <f t="shared" si="35"/>
        <v>0</v>
      </c>
      <c r="BB48" s="65">
        <f t="shared" si="36"/>
        <v>0</v>
      </c>
      <c r="BC48" s="96"/>
      <c r="BD48" s="65">
        <f t="shared" si="37"/>
        <v>0</v>
      </c>
      <c r="BE48" s="65">
        <f t="shared" si="38"/>
        <v>0</v>
      </c>
      <c r="BF48" s="65">
        <f t="shared" si="39"/>
        <v>0</v>
      </c>
      <c r="BG48" s="96"/>
      <c r="BH48" s="65">
        <f t="shared" si="40"/>
        <v>0</v>
      </c>
      <c r="BI48" s="65">
        <f t="shared" si="41"/>
        <v>0</v>
      </c>
      <c r="BJ48" s="65">
        <f t="shared" si="42"/>
        <v>0</v>
      </c>
      <c r="BK48" s="96"/>
      <c r="BL48" s="97">
        <f t="shared" si="43"/>
        <v>0</v>
      </c>
      <c r="BM48" s="97">
        <f t="shared" si="44"/>
        <v>0</v>
      </c>
      <c r="BN48" s="97">
        <f t="shared" si="45"/>
        <v>0</v>
      </c>
      <c r="BO48" s="96"/>
      <c r="BP48" s="97">
        <f t="shared" si="46"/>
        <v>0</v>
      </c>
      <c r="BQ48" s="97">
        <f t="shared" si="47"/>
        <v>0</v>
      </c>
      <c r="BR48" s="97">
        <f t="shared" si="48"/>
        <v>0</v>
      </c>
      <c r="BS48" s="96"/>
      <c r="BT48" s="97">
        <f t="shared" si="49"/>
        <v>0</v>
      </c>
      <c r="BU48" s="97">
        <f t="shared" si="50"/>
        <v>0</v>
      </c>
      <c r="BV48" s="97">
        <f t="shared" si="51"/>
        <v>0</v>
      </c>
      <c r="BW48" s="96"/>
      <c r="BX48" s="97">
        <f t="shared" si="52"/>
        <v>0</v>
      </c>
      <c r="BY48" s="97">
        <f t="shared" si="53"/>
        <v>0</v>
      </c>
      <c r="BZ48" s="97">
        <f t="shared" si="54"/>
        <v>0</v>
      </c>
      <c r="CA48" s="96"/>
      <c r="CB48" s="97">
        <f t="shared" si="55"/>
        <v>0</v>
      </c>
      <c r="CC48" s="97">
        <f t="shared" si="56"/>
        <v>0</v>
      </c>
      <c r="CD48" s="97">
        <f t="shared" si="57"/>
        <v>0</v>
      </c>
      <c r="CE48" s="96"/>
      <c r="CF48" s="65">
        <f t="shared" si="58"/>
        <v>0</v>
      </c>
      <c r="CG48" s="65">
        <f t="shared" si="59"/>
        <v>0</v>
      </c>
      <c r="CH48" s="65">
        <f t="shared" si="60"/>
        <v>0</v>
      </c>
      <c r="CI48" s="96"/>
      <c r="CJ48" s="65">
        <f t="shared" si="61"/>
        <v>0</v>
      </c>
      <c r="CK48" s="65">
        <f t="shared" si="62"/>
        <v>0</v>
      </c>
      <c r="CL48" s="65">
        <f t="shared" si="63"/>
        <v>0</v>
      </c>
      <c r="CM48" s="96"/>
      <c r="CN48" s="65">
        <f t="shared" si="64"/>
        <v>0</v>
      </c>
      <c r="CO48" s="65">
        <f t="shared" si="65"/>
        <v>0</v>
      </c>
      <c r="CP48" s="65">
        <f t="shared" si="66"/>
        <v>0</v>
      </c>
      <c r="CQ48" s="96"/>
      <c r="CR48" s="65">
        <f t="shared" si="67"/>
        <v>0</v>
      </c>
      <c r="CS48" s="65">
        <f t="shared" si="68"/>
        <v>0</v>
      </c>
      <c r="CT48" s="65">
        <f t="shared" si="69"/>
        <v>0</v>
      </c>
      <c r="CU48" s="96"/>
      <c r="CV48" s="65">
        <f t="shared" si="70"/>
        <v>0</v>
      </c>
      <c r="CW48" s="65">
        <f t="shared" si="71"/>
        <v>0</v>
      </c>
      <c r="CX48" s="65">
        <f t="shared" si="72"/>
        <v>0</v>
      </c>
      <c r="CY48" s="96"/>
      <c r="CZ48" s="97">
        <f t="shared" si="73"/>
        <v>0</v>
      </c>
      <c r="DA48" s="97">
        <f t="shared" si="74"/>
        <v>0</v>
      </c>
      <c r="DB48" s="97">
        <f t="shared" si="75"/>
        <v>0</v>
      </c>
      <c r="DC48" s="96"/>
      <c r="DD48" s="97">
        <f t="shared" si="76"/>
        <v>0</v>
      </c>
      <c r="DE48" s="97">
        <f t="shared" si="77"/>
        <v>0</v>
      </c>
      <c r="DF48" s="97">
        <f t="shared" si="78"/>
        <v>0</v>
      </c>
      <c r="DG48" s="96"/>
      <c r="DH48" s="97">
        <f t="shared" si="79"/>
        <v>0</v>
      </c>
      <c r="DI48" s="97">
        <f t="shared" si="80"/>
        <v>0</v>
      </c>
      <c r="DJ48" s="97">
        <f t="shared" si="81"/>
        <v>0</v>
      </c>
      <c r="DK48" s="96"/>
      <c r="DL48" s="97">
        <f t="shared" si="82"/>
        <v>0</v>
      </c>
      <c r="DM48" s="97">
        <f t="shared" si="83"/>
        <v>0</v>
      </c>
      <c r="DN48" s="97">
        <f t="shared" si="84"/>
        <v>0</v>
      </c>
      <c r="DO48" s="96"/>
      <c r="DP48" s="97">
        <f t="shared" si="85"/>
        <v>0</v>
      </c>
      <c r="DQ48" s="97">
        <f t="shared" si="86"/>
        <v>0</v>
      </c>
      <c r="DR48" s="97">
        <f t="shared" si="87"/>
        <v>0</v>
      </c>
      <c r="DS48" s="96"/>
      <c r="DT48" s="65">
        <f t="shared" si="88"/>
        <v>0</v>
      </c>
      <c r="DU48" s="65">
        <f t="shared" si="89"/>
        <v>0</v>
      </c>
      <c r="DV48" s="65">
        <f t="shared" si="90"/>
        <v>0</v>
      </c>
      <c r="DW48" s="96"/>
      <c r="DX48" s="65">
        <f t="shared" si="91"/>
        <v>0</v>
      </c>
      <c r="DY48" s="65">
        <f t="shared" si="92"/>
        <v>0</v>
      </c>
      <c r="DZ48" s="65">
        <f t="shared" si="93"/>
        <v>0</v>
      </c>
      <c r="EA48" s="96"/>
      <c r="EB48" s="65">
        <f t="shared" si="94"/>
        <v>0</v>
      </c>
      <c r="EC48" s="65">
        <f t="shared" si="95"/>
        <v>0</v>
      </c>
      <c r="ED48" s="65">
        <f t="shared" si="96"/>
        <v>0</v>
      </c>
    </row>
    <row r="49" spans="1:134" x14ac:dyDescent="0.2">
      <c r="A49" s="71"/>
      <c r="B49" s="96" t="s">
        <v>52</v>
      </c>
      <c r="C49" s="96"/>
      <c r="D49" s="97">
        <f t="shared" si="0"/>
        <v>0</v>
      </c>
      <c r="E49" s="97">
        <f t="shared" si="97"/>
        <v>0</v>
      </c>
      <c r="F49" s="97">
        <f t="shared" si="98"/>
        <v>0</v>
      </c>
      <c r="G49" s="96"/>
      <c r="H49" s="97">
        <f t="shared" si="1"/>
        <v>0</v>
      </c>
      <c r="I49" s="97">
        <f t="shared" si="2"/>
        <v>0</v>
      </c>
      <c r="J49" s="97">
        <f t="shared" si="3"/>
        <v>0</v>
      </c>
      <c r="K49" s="96"/>
      <c r="L49" s="97">
        <f t="shared" si="4"/>
        <v>0</v>
      </c>
      <c r="M49" s="97">
        <f t="shared" si="5"/>
        <v>0</v>
      </c>
      <c r="N49" s="97">
        <f t="shared" si="6"/>
        <v>0</v>
      </c>
      <c r="O49" s="96"/>
      <c r="P49" s="97">
        <f t="shared" si="7"/>
        <v>0</v>
      </c>
      <c r="Q49" s="97">
        <f t="shared" si="8"/>
        <v>0</v>
      </c>
      <c r="R49" s="97">
        <f t="shared" si="9"/>
        <v>0</v>
      </c>
      <c r="S49" s="96"/>
      <c r="T49" s="97">
        <f t="shared" si="10"/>
        <v>0</v>
      </c>
      <c r="U49" s="97">
        <f t="shared" si="11"/>
        <v>0</v>
      </c>
      <c r="V49" s="97">
        <f t="shared" si="12"/>
        <v>0</v>
      </c>
      <c r="W49" s="96"/>
      <c r="X49" s="97">
        <f t="shared" si="13"/>
        <v>0</v>
      </c>
      <c r="Y49" s="97">
        <f t="shared" si="14"/>
        <v>0</v>
      </c>
      <c r="Z49" s="97">
        <f t="shared" si="15"/>
        <v>0</v>
      </c>
      <c r="AA49" s="96"/>
      <c r="AB49" s="97">
        <f t="shared" si="16"/>
        <v>0</v>
      </c>
      <c r="AC49" s="97">
        <f t="shared" si="17"/>
        <v>0</v>
      </c>
      <c r="AD49" s="97">
        <f t="shared" si="18"/>
        <v>0</v>
      </c>
      <c r="AE49" s="96"/>
      <c r="AF49" s="97">
        <f t="shared" si="19"/>
        <v>0</v>
      </c>
      <c r="AG49" s="97">
        <f t="shared" si="20"/>
        <v>0</v>
      </c>
      <c r="AH49" s="97">
        <f t="shared" si="21"/>
        <v>0</v>
      </c>
      <c r="AI49" s="96"/>
      <c r="AJ49" s="97">
        <f t="shared" si="22"/>
        <v>0</v>
      </c>
      <c r="AK49" s="97">
        <f t="shared" si="23"/>
        <v>0</v>
      </c>
      <c r="AL49" s="97">
        <f t="shared" si="24"/>
        <v>0</v>
      </c>
      <c r="AM49" s="96"/>
      <c r="AN49" s="97">
        <f t="shared" si="25"/>
        <v>0</v>
      </c>
      <c r="AO49" s="97">
        <f t="shared" si="26"/>
        <v>0</v>
      </c>
      <c r="AP49" s="97">
        <f t="shared" si="27"/>
        <v>0</v>
      </c>
      <c r="AQ49" s="96"/>
      <c r="AR49" s="97">
        <f t="shared" si="28"/>
        <v>0</v>
      </c>
      <c r="AS49" s="97">
        <f t="shared" si="29"/>
        <v>0</v>
      </c>
      <c r="AT49" s="97">
        <f t="shared" si="30"/>
        <v>0</v>
      </c>
      <c r="AU49" s="96"/>
      <c r="AV49" s="97">
        <f t="shared" si="31"/>
        <v>0</v>
      </c>
      <c r="AW49" s="97">
        <f t="shared" si="32"/>
        <v>0</v>
      </c>
      <c r="AX49" s="97">
        <f t="shared" si="33"/>
        <v>0</v>
      </c>
      <c r="AY49" s="96"/>
      <c r="AZ49" s="65">
        <f t="shared" si="34"/>
        <v>0</v>
      </c>
      <c r="BA49" s="65">
        <f t="shared" si="35"/>
        <v>0</v>
      </c>
      <c r="BB49" s="65">
        <f t="shared" si="36"/>
        <v>0</v>
      </c>
      <c r="BC49" s="96"/>
      <c r="BD49" s="65">
        <f t="shared" si="37"/>
        <v>0</v>
      </c>
      <c r="BE49" s="65">
        <f t="shared" si="38"/>
        <v>0</v>
      </c>
      <c r="BF49" s="65">
        <f t="shared" si="39"/>
        <v>0</v>
      </c>
      <c r="BG49" s="96"/>
      <c r="BH49" s="65">
        <f t="shared" si="40"/>
        <v>0</v>
      </c>
      <c r="BI49" s="65">
        <f t="shared" si="41"/>
        <v>0</v>
      </c>
      <c r="BJ49" s="65">
        <f t="shared" si="42"/>
        <v>0</v>
      </c>
      <c r="BK49" s="96"/>
      <c r="BL49" s="97">
        <f t="shared" si="43"/>
        <v>0</v>
      </c>
      <c r="BM49" s="97">
        <f t="shared" si="44"/>
        <v>0</v>
      </c>
      <c r="BN49" s="97">
        <f t="shared" si="45"/>
        <v>0</v>
      </c>
      <c r="BO49" s="96"/>
      <c r="BP49" s="97">
        <f t="shared" si="46"/>
        <v>0</v>
      </c>
      <c r="BQ49" s="97">
        <f t="shared" si="47"/>
        <v>0</v>
      </c>
      <c r="BR49" s="97">
        <f t="shared" si="48"/>
        <v>0</v>
      </c>
      <c r="BS49" s="96"/>
      <c r="BT49" s="97">
        <f t="shared" si="49"/>
        <v>0</v>
      </c>
      <c r="BU49" s="97">
        <f t="shared" si="50"/>
        <v>0</v>
      </c>
      <c r="BV49" s="97">
        <f t="shared" si="51"/>
        <v>0</v>
      </c>
      <c r="BW49" s="96"/>
      <c r="BX49" s="97">
        <f t="shared" si="52"/>
        <v>0</v>
      </c>
      <c r="BY49" s="97">
        <f t="shared" si="53"/>
        <v>0</v>
      </c>
      <c r="BZ49" s="97">
        <f t="shared" si="54"/>
        <v>0</v>
      </c>
      <c r="CA49" s="96"/>
      <c r="CB49" s="97">
        <f t="shared" si="55"/>
        <v>0</v>
      </c>
      <c r="CC49" s="97">
        <f t="shared" si="56"/>
        <v>0</v>
      </c>
      <c r="CD49" s="97">
        <f t="shared" si="57"/>
        <v>0</v>
      </c>
      <c r="CE49" s="96"/>
      <c r="CF49" s="65">
        <f t="shared" si="58"/>
        <v>0</v>
      </c>
      <c r="CG49" s="65">
        <f t="shared" si="59"/>
        <v>0</v>
      </c>
      <c r="CH49" s="65">
        <f t="shared" si="60"/>
        <v>0</v>
      </c>
      <c r="CI49" s="96"/>
      <c r="CJ49" s="65">
        <f t="shared" si="61"/>
        <v>0</v>
      </c>
      <c r="CK49" s="65">
        <f t="shared" si="62"/>
        <v>0</v>
      </c>
      <c r="CL49" s="65">
        <f t="shared" si="63"/>
        <v>0</v>
      </c>
      <c r="CM49" s="96"/>
      <c r="CN49" s="65">
        <f t="shared" si="64"/>
        <v>0</v>
      </c>
      <c r="CO49" s="65">
        <f t="shared" si="65"/>
        <v>0</v>
      </c>
      <c r="CP49" s="65">
        <f t="shared" si="66"/>
        <v>0</v>
      </c>
      <c r="CQ49" s="96"/>
      <c r="CR49" s="65">
        <f t="shared" si="67"/>
        <v>0</v>
      </c>
      <c r="CS49" s="65">
        <f t="shared" si="68"/>
        <v>0</v>
      </c>
      <c r="CT49" s="65">
        <f t="shared" si="69"/>
        <v>0</v>
      </c>
      <c r="CU49" s="96"/>
      <c r="CV49" s="65">
        <f t="shared" si="70"/>
        <v>0</v>
      </c>
      <c r="CW49" s="65">
        <f t="shared" si="71"/>
        <v>0</v>
      </c>
      <c r="CX49" s="65">
        <f t="shared" si="72"/>
        <v>0</v>
      </c>
      <c r="CY49" s="96"/>
      <c r="CZ49" s="97">
        <f t="shared" si="73"/>
        <v>0</v>
      </c>
      <c r="DA49" s="97">
        <f t="shared" si="74"/>
        <v>0</v>
      </c>
      <c r="DB49" s="97">
        <f t="shared" si="75"/>
        <v>0</v>
      </c>
      <c r="DC49" s="96"/>
      <c r="DD49" s="97">
        <f t="shared" si="76"/>
        <v>0</v>
      </c>
      <c r="DE49" s="97">
        <f t="shared" si="77"/>
        <v>0</v>
      </c>
      <c r="DF49" s="97">
        <f t="shared" si="78"/>
        <v>0</v>
      </c>
      <c r="DG49" s="96"/>
      <c r="DH49" s="97">
        <f t="shared" si="79"/>
        <v>0</v>
      </c>
      <c r="DI49" s="97">
        <f t="shared" si="80"/>
        <v>0</v>
      </c>
      <c r="DJ49" s="97">
        <f t="shared" si="81"/>
        <v>0</v>
      </c>
      <c r="DK49" s="96"/>
      <c r="DL49" s="97">
        <f t="shared" si="82"/>
        <v>0</v>
      </c>
      <c r="DM49" s="97">
        <f t="shared" si="83"/>
        <v>0</v>
      </c>
      <c r="DN49" s="97">
        <f t="shared" si="84"/>
        <v>0</v>
      </c>
      <c r="DO49" s="96"/>
      <c r="DP49" s="97">
        <f t="shared" si="85"/>
        <v>0</v>
      </c>
      <c r="DQ49" s="97">
        <f t="shared" si="86"/>
        <v>0</v>
      </c>
      <c r="DR49" s="97">
        <f t="shared" si="87"/>
        <v>0</v>
      </c>
      <c r="DS49" s="96"/>
      <c r="DT49" s="65">
        <f t="shared" si="88"/>
        <v>0</v>
      </c>
      <c r="DU49" s="65">
        <f t="shared" si="89"/>
        <v>0</v>
      </c>
      <c r="DV49" s="65">
        <f t="shared" si="90"/>
        <v>0</v>
      </c>
      <c r="DW49" s="96"/>
      <c r="DX49" s="65">
        <f t="shared" si="91"/>
        <v>0</v>
      </c>
      <c r="DY49" s="65">
        <f t="shared" si="92"/>
        <v>0</v>
      </c>
      <c r="DZ49" s="65">
        <f t="shared" si="93"/>
        <v>0</v>
      </c>
      <c r="EA49" s="96"/>
      <c r="EB49" s="65">
        <f t="shared" si="94"/>
        <v>0</v>
      </c>
      <c r="EC49" s="65">
        <f t="shared" si="95"/>
        <v>0</v>
      </c>
      <c r="ED49" s="65">
        <f t="shared" si="96"/>
        <v>0</v>
      </c>
    </row>
    <row r="50" spans="1:134" x14ac:dyDescent="0.2">
      <c r="A50" s="71"/>
      <c r="B50" s="96" t="s">
        <v>52</v>
      </c>
      <c r="C50" s="96"/>
      <c r="D50" s="97">
        <f t="shared" si="0"/>
        <v>0</v>
      </c>
      <c r="E50" s="97">
        <f t="shared" si="97"/>
        <v>0</v>
      </c>
      <c r="F50" s="97">
        <f t="shared" si="98"/>
        <v>0</v>
      </c>
      <c r="G50" s="96"/>
      <c r="H50" s="97">
        <f t="shared" si="1"/>
        <v>0</v>
      </c>
      <c r="I50" s="97">
        <f t="shared" si="2"/>
        <v>0</v>
      </c>
      <c r="J50" s="97">
        <f t="shared" si="3"/>
        <v>0</v>
      </c>
      <c r="K50" s="96"/>
      <c r="L50" s="97">
        <f t="shared" si="4"/>
        <v>0</v>
      </c>
      <c r="M50" s="97">
        <f t="shared" si="5"/>
        <v>0</v>
      </c>
      <c r="N50" s="97">
        <f t="shared" si="6"/>
        <v>0</v>
      </c>
      <c r="O50" s="96"/>
      <c r="P50" s="97">
        <f t="shared" si="7"/>
        <v>0</v>
      </c>
      <c r="Q50" s="97">
        <f t="shared" si="8"/>
        <v>0</v>
      </c>
      <c r="R50" s="97">
        <f t="shared" si="9"/>
        <v>0</v>
      </c>
      <c r="S50" s="96"/>
      <c r="T50" s="97">
        <f t="shared" si="10"/>
        <v>0</v>
      </c>
      <c r="U50" s="97">
        <f t="shared" si="11"/>
        <v>0</v>
      </c>
      <c r="V50" s="97">
        <f t="shared" si="12"/>
        <v>0</v>
      </c>
      <c r="W50" s="96"/>
      <c r="X50" s="97">
        <f t="shared" si="13"/>
        <v>0</v>
      </c>
      <c r="Y50" s="97">
        <f t="shared" si="14"/>
        <v>0</v>
      </c>
      <c r="Z50" s="97">
        <f t="shared" si="15"/>
        <v>0</v>
      </c>
      <c r="AA50" s="96"/>
      <c r="AB50" s="97">
        <f t="shared" si="16"/>
        <v>0</v>
      </c>
      <c r="AC50" s="97">
        <f t="shared" si="17"/>
        <v>0</v>
      </c>
      <c r="AD50" s="97">
        <f t="shared" si="18"/>
        <v>0</v>
      </c>
      <c r="AE50" s="96"/>
      <c r="AF50" s="97">
        <f t="shared" si="19"/>
        <v>0</v>
      </c>
      <c r="AG50" s="97">
        <f t="shared" si="20"/>
        <v>0</v>
      </c>
      <c r="AH50" s="97">
        <f t="shared" si="21"/>
        <v>0</v>
      </c>
      <c r="AI50" s="96"/>
      <c r="AJ50" s="97">
        <f t="shared" si="22"/>
        <v>0</v>
      </c>
      <c r="AK50" s="97">
        <f t="shared" si="23"/>
        <v>0</v>
      </c>
      <c r="AL50" s="97">
        <f t="shared" si="24"/>
        <v>0</v>
      </c>
      <c r="AM50" s="96"/>
      <c r="AN50" s="97">
        <f t="shared" si="25"/>
        <v>0</v>
      </c>
      <c r="AO50" s="97">
        <f t="shared" si="26"/>
        <v>0</v>
      </c>
      <c r="AP50" s="97">
        <f t="shared" si="27"/>
        <v>0</v>
      </c>
      <c r="AQ50" s="96"/>
      <c r="AR50" s="97">
        <f t="shared" si="28"/>
        <v>0</v>
      </c>
      <c r="AS50" s="97">
        <f t="shared" si="29"/>
        <v>0</v>
      </c>
      <c r="AT50" s="97">
        <f t="shared" si="30"/>
        <v>0</v>
      </c>
      <c r="AU50" s="96"/>
      <c r="AV50" s="97">
        <f t="shared" si="31"/>
        <v>0</v>
      </c>
      <c r="AW50" s="97">
        <f t="shared" si="32"/>
        <v>0</v>
      </c>
      <c r="AX50" s="97">
        <f t="shared" si="33"/>
        <v>0</v>
      </c>
      <c r="AY50" s="96"/>
      <c r="AZ50" s="65">
        <f t="shared" si="34"/>
        <v>0</v>
      </c>
      <c r="BA50" s="65">
        <f t="shared" si="35"/>
        <v>0</v>
      </c>
      <c r="BB50" s="65">
        <f t="shared" si="36"/>
        <v>0</v>
      </c>
      <c r="BC50" s="96"/>
      <c r="BD50" s="65">
        <f t="shared" si="37"/>
        <v>0</v>
      </c>
      <c r="BE50" s="65">
        <f t="shared" si="38"/>
        <v>0</v>
      </c>
      <c r="BF50" s="65">
        <f t="shared" si="39"/>
        <v>0</v>
      </c>
      <c r="BG50" s="96"/>
      <c r="BH50" s="65">
        <f t="shared" si="40"/>
        <v>0</v>
      </c>
      <c r="BI50" s="65">
        <f t="shared" si="41"/>
        <v>0</v>
      </c>
      <c r="BJ50" s="65">
        <f t="shared" si="42"/>
        <v>0</v>
      </c>
      <c r="BK50" s="96"/>
      <c r="BL50" s="97">
        <f t="shared" si="43"/>
        <v>0</v>
      </c>
      <c r="BM50" s="97">
        <f t="shared" si="44"/>
        <v>0</v>
      </c>
      <c r="BN50" s="97">
        <f t="shared" si="45"/>
        <v>0</v>
      </c>
      <c r="BO50" s="96"/>
      <c r="BP50" s="97">
        <f t="shared" si="46"/>
        <v>0</v>
      </c>
      <c r="BQ50" s="97">
        <f t="shared" si="47"/>
        <v>0</v>
      </c>
      <c r="BR50" s="97">
        <f t="shared" si="48"/>
        <v>0</v>
      </c>
      <c r="BS50" s="96"/>
      <c r="BT50" s="97">
        <f t="shared" si="49"/>
        <v>0</v>
      </c>
      <c r="BU50" s="97">
        <f t="shared" si="50"/>
        <v>0</v>
      </c>
      <c r="BV50" s="97">
        <f t="shared" si="51"/>
        <v>0</v>
      </c>
      <c r="BW50" s="96"/>
      <c r="BX50" s="97">
        <f t="shared" si="52"/>
        <v>0</v>
      </c>
      <c r="BY50" s="97">
        <f t="shared" si="53"/>
        <v>0</v>
      </c>
      <c r="BZ50" s="97">
        <f t="shared" si="54"/>
        <v>0</v>
      </c>
      <c r="CA50" s="96"/>
      <c r="CB50" s="97">
        <f t="shared" si="55"/>
        <v>0</v>
      </c>
      <c r="CC50" s="97">
        <f t="shared" si="56"/>
        <v>0</v>
      </c>
      <c r="CD50" s="97">
        <f t="shared" si="57"/>
        <v>0</v>
      </c>
      <c r="CE50" s="96"/>
      <c r="CF50" s="65">
        <f t="shared" si="58"/>
        <v>0</v>
      </c>
      <c r="CG50" s="65">
        <f t="shared" si="59"/>
        <v>0</v>
      </c>
      <c r="CH50" s="65">
        <f t="shared" si="60"/>
        <v>0</v>
      </c>
      <c r="CI50" s="96"/>
      <c r="CJ50" s="65">
        <f t="shared" si="61"/>
        <v>0</v>
      </c>
      <c r="CK50" s="65">
        <f t="shared" si="62"/>
        <v>0</v>
      </c>
      <c r="CL50" s="65">
        <f t="shared" si="63"/>
        <v>0</v>
      </c>
      <c r="CM50" s="96"/>
      <c r="CN50" s="65">
        <f t="shared" si="64"/>
        <v>0</v>
      </c>
      <c r="CO50" s="65">
        <f t="shared" si="65"/>
        <v>0</v>
      </c>
      <c r="CP50" s="65">
        <f t="shared" si="66"/>
        <v>0</v>
      </c>
      <c r="CQ50" s="96"/>
      <c r="CR50" s="65">
        <f t="shared" si="67"/>
        <v>0</v>
      </c>
      <c r="CS50" s="65">
        <f t="shared" si="68"/>
        <v>0</v>
      </c>
      <c r="CT50" s="65">
        <f t="shared" si="69"/>
        <v>0</v>
      </c>
      <c r="CU50" s="96"/>
      <c r="CV50" s="65">
        <f t="shared" si="70"/>
        <v>0</v>
      </c>
      <c r="CW50" s="65">
        <f t="shared" si="71"/>
        <v>0</v>
      </c>
      <c r="CX50" s="65">
        <f t="shared" si="72"/>
        <v>0</v>
      </c>
      <c r="CY50" s="96"/>
      <c r="CZ50" s="97">
        <f t="shared" si="73"/>
        <v>0</v>
      </c>
      <c r="DA50" s="97">
        <f t="shared" si="74"/>
        <v>0</v>
      </c>
      <c r="DB50" s="97">
        <f t="shared" si="75"/>
        <v>0</v>
      </c>
      <c r="DC50" s="96"/>
      <c r="DD50" s="97">
        <f t="shared" si="76"/>
        <v>0</v>
      </c>
      <c r="DE50" s="97">
        <f t="shared" si="77"/>
        <v>0</v>
      </c>
      <c r="DF50" s="97">
        <f t="shared" si="78"/>
        <v>0</v>
      </c>
      <c r="DG50" s="96"/>
      <c r="DH50" s="97">
        <f t="shared" si="79"/>
        <v>0</v>
      </c>
      <c r="DI50" s="97">
        <f t="shared" si="80"/>
        <v>0</v>
      </c>
      <c r="DJ50" s="97">
        <f t="shared" si="81"/>
        <v>0</v>
      </c>
      <c r="DK50" s="96"/>
      <c r="DL50" s="97">
        <f t="shared" si="82"/>
        <v>0</v>
      </c>
      <c r="DM50" s="97">
        <f t="shared" si="83"/>
        <v>0</v>
      </c>
      <c r="DN50" s="97">
        <f t="shared" si="84"/>
        <v>0</v>
      </c>
      <c r="DO50" s="96"/>
      <c r="DP50" s="97">
        <f t="shared" si="85"/>
        <v>0</v>
      </c>
      <c r="DQ50" s="97">
        <f t="shared" si="86"/>
        <v>0</v>
      </c>
      <c r="DR50" s="97">
        <f t="shared" si="87"/>
        <v>0</v>
      </c>
      <c r="DS50" s="96"/>
      <c r="DT50" s="65">
        <f t="shared" si="88"/>
        <v>0</v>
      </c>
      <c r="DU50" s="65">
        <f t="shared" si="89"/>
        <v>0</v>
      </c>
      <c r="DV50" s="65">
        <f t="shared" si="90"/>
        <v>0</v>
      </c>
      <c r="DW50" s="96"/>
      <c r="DX50" s="65">
        <f t="shared" si="91"/>
        <v>0</v>
      </c>
      <c r="DY50" s="65">
        <f t="shared" si="92"/>
        <v>0</v>
      </c>
      <c r="DZ50" s="65">
        <f t="shared" si="93"/>
        <v>0</v>
      </c>
      <c r="EA50" s="96"/>
      <c r="EB50" s="65">
        <f t="shared" si="94"/>
        <v>0</v>
      </c>
      <c r="EC50" s="65">
        <f t="shared" si="95"/>
        <v>0</v>
      </c>
      <c r="ED50" s="65">
        <f t="shared" si="96"/>
        <v>0</v>
      </c>
    </row>
    <row r="51" spans="1:134" x14ac:dyDescent="0.2">
      <c r="A51" s="71"/>
      <c r="B51" s="96" t="s">
        <v>52</v>
      </c>
      <c r="C51" s="96"/>
      <c r="D51" s="97">
        <f t="shared" si="0"/>
        <v>0</v>
      </c>
      <c r="E51" s="97">
        <f t="shared" si="97"/>
        <v>0</v>
      </c>
      <c r="F51" s="97">
        <f t="shared" si="98"/>
        <v>0</v>
      </c>
      <c r="G51" s="96"/>
      <c r="H51" s="97">
        <f t="shared" si="1"/>
        <v>0</v>
      </c>
      <c r="I51" s="97">
        <f t="shared" si="2"/>
        <v>0</v>
      </c>
      <c r="J51" s="97">
        <f t="shared" si="3"/>
        <v>0</v>
      </c>
      <c r="K51" s="96"/>
      <c r="L51" s="97">
        <f t="shared" si="4"/>
        <v>0</v>
      </c>
      <c r="M51" s="97">
        <f t="shared" si="5"/>
        <v>0</v>
      </c>
      <c r="N51" s="97">
        <f t="shared" si="6"/>
        <v>0</v>
      </c>
      <c r="O51" s="96"/>
      <c r="P51" s="97">
        <f t="shared" si="7"/>
        <v>0</v>
      </c>
      <c r="Q51" s="97">
        <f t="shared" si="8"/>
        <v>0</v>
      </c>
      <c r="R51" s="97">
        <f t="shared" si="9"/>
        <v>0</v>
      </c>
      <c r="S51" s="96"/>
      <c r="T51" s="97">
        <f t="shared" si="10"/>
        <v>0</v>
      </c>
      <c r="U51" s="97">
        <f t="shared" si="11"/>
        <v>0</v>
      </c>
      <c r="V51" s="97">
        <f t="shared" si="12"/>
        <v>0</v>
      </c>
      <c r="W51" s="96"/>
      <c r="X51" s="97">
        <f t="shared" si="13"/>
        <v>0</v>
      </c>
      <c r="Y51" s="97">
        <f t="shared" si="14"/>
        <v>0</v>
      </c>
      <c r="Z51" s="97">
        <f t="shared" si="15"/>
        <v>0</v>
      </c>
      <c r="AA51" s="96"/>
      <c r="AB51" s="97">
        <f t="shared" si="16"/>
        <v>0</v>
      </c>
      <c r="AC51" s="97">
        <f t="shared" si="17"/>
        <v>0</v>
      </c>
      <c r="AD51" s="97">
        <f t="shared" si="18"/>
        <v>0</v>
      </c>
      <c r="AE51" s="96"/>
      <c r="AF51" s="97">
        <f t="shared" si="19"/>
        <v>0</v>
      </c>
      <c r="AG51" s="97">
        <f t="shared" si="20"/>
        <v>0</v>
      </c>
      <c r="AH51" s="97">
        <f t="shared" si="21"/>
        <v>0</v>
      </c>
      <c r="AI51" s="96"/>
      <c r="AJ51" s="97">
        <f t="shared" si="22"/>
        <v>0</v>
      </c>
      <c r="AK51" s="97">
        <f t="shared" si="23"/>
        <v>0</v>
      </c>
      <c r="AL51" s="97">
        <f t="shared" si="24"/>
        <v>0</v>
      </c>
      <c r="AM51" s="96"/>
      <c r="AN51" s="97">
        <f t="shared" si="25"/>
        <v>0</v>
      </c>
      <c r="AO51" s="97">
        <f t="shared" si="26"/>
        <v>0</v>
      </c>
      <c r="AP51" s="97">
        <f t="shared" si="27"/>
        <v>0</v>
      </c>
      <c r="AQ51" s="96"/>
      <c r="AR51" s="97">
        <f t="shared" si="28"/>
        <v>0</v>
      </c>
      <c r="AS51" s="97">
        <f t="shared" si="29"/>
        <v>0</v>
      </c>
      <c r="AT51" s="97">
        <f t="shared" si="30"/>
        <v>0</v>
      </c>
      <c r="AU51" s="96"/>
      <c r="AV51" s="97">
        <f t="shared" si="31"/>
        <v>0</v>
      </c>
      <c r="AW51" s="97">
        <f t="shared" si="32"/>
        <v>0</v>
      </c>
      <c r="AX51" s="97">
        <f t="shared" si="33"/>
        <v>0</v>
      </c>
      <c r="AY51" s="96"/>
      <c r="AZ51" s="65">
        <f t="shared" si="34"/>
        <v>0</v>
      </c>
      <c r="BA51" s="65">
        <f t="shared" si="35"/>
        <v>0</v>
      </c>
      <c r="BB51" s="65">
        <f t="shared" si="36"/>
        <v>0</v>
      </c>
      <c r="BC51" s="96"/>
      <c r="BD51" s="65">
        <f t="shared" si="37"/>
        <v>0</v>
      </c>
      <c r="BE51" s="65">
        <f t="shared" si="38"/>
        <v>0</v>
      </c>
      <c r="BF51" s="65">
        <f t="shared" si="39"/>
        <v>0</v>
      </c>
      <c r="BG51" s="96"/>
      <c r="BH51" s="65">
        <f t="shared" si="40"/>
        <v>0</v>
      </c>
      <c r="BI51" s="65">
        <f t="shared" si="41"/>
        <v>0</v>
      </c>
      <c r="BJ51" s="65">
        <f t="shared" si="42"/>
        <v>0</v>
      </c>
      <c r="BK51" s="96"/>
      <c r="BL51" s="97">
        <f t="shared" si="43"/>
        <v>0</v>
      </c>
      <c r="BM51" s="97">
        <f t="shared" si="44"/>
        <v>0</v>
      </c>
      <c r="BN51" s="97">
        <f t="shared" si="45"/>
        <v>0</v>
      </c>
      <c r="BO51" s="96"/>
      <c r="BP51" s="97">
        <f t="shared" si="46"/>
        <v>0</v>
      </c>
      <c r="BQ51" s="97">
        <f t="shared" si="47"/>
        <v>0</v>
      </c>
      <c r="BR51" s="97">
        <f t="shared" si="48"/>
        <v>0</v>
      </c>
      <c r="BS51" s="96"/>
      <c r="BT51" s="97">
        <f t="shared" si="49"/>
        <v>0</v>
      </c>
      <c r="BU51" s="97">
        <f t="shared" si="50"/>
        <v>0</v>
      </c>
      <c r="BV51" s="97">
        <f t="shared" si="51"/>
        <v>0</v>
      </c>
      <c r="BW51" s="96"/>
      <c r="BX51" s="97">
        <f t="shared" si="52"/>
        <v>0</v>
      </c>
      <c r="BY51" s="97">
        <f t="shared" si="53"/>
        <v>0</v>
      </c>
      <c r="BZ51" s="97">
        <f t="shared" si="54"/>
        <v>0</v>
      </c>
      <c r="CA51" s="96"/>
      <c r="CB51" s="97">
        <f t="shared" si="55"/>
        <v>0</v>
      </c>
      <c r="CC51" s="97">
        <f t="shared" si="56"/>
        <v>0</v>
      </c>
      <c r="CD51" s="97">
        <f t="shared" si="57"/>
        <v>0</v>
      </c>
      <c r="CE51" s="96"/>
      <c r="CF51" s="65">
        <f t="shared" si="58"/>
        <v>0</v>
      </c>
      <c r="CG51" s="65">
        <f t="shared" si="59"/>
        <v>0</v>
      </c>
      <c r="CH51" s="65">
        <f t="shared" si="60"/>
        <v>0</v>
      </c>
      <c r="CI51" s="96"/>
      <c r="CJ51" s="65">
        <f t="shared" si="61"/>
        <v>0</v>
      </c>
      <c r="CK51" s="65">
        <f t="shared" si="62"/>
        <v>0</v>
      </c>
      <c r="CL51" s="65">
        <f t="shared" si="63"/>
        <v>0</v>
      </c>
      <c r="CM51" s="96"/>
      <c r="CN51" s="65">
        <f t="shared" si="64"/>
        <v>0</v>
      </c>
      <c r="CO51" s="65">
        <f t="shared" si="65"/>
        <v>0</v>
      </c>
      <c r="CP51" s="65">
        <f t="shared" si="66"/>
        <v>0</v>
      </c>
      <c r="CQ51" s="96"/>
      <c r="CR51" s="65">
        <f t="shared" si="67"/>
        <v>0</v>
      </c>
      <c r="CS51" s="65">
        <f t="shared" si="68"/>
        <v>0</v>
      </c>
      <c r="CT51" s="65">
        <f t="shared" si="69"/>
        <v>0</v>
      </c>
      <c r="CU51" s="96"/>
      <c r="CV51" s="65">
        <f t="shared" si="70"/>
        <v>0</v>
      </c>
      <c r="CW51" s="65">
        <f t="shared" si="71"/>
        <v>0</v>
      </c>
      <c r="CX51" s="65">
        <f t="shared" si="72"/>
        <v>0</v>
      </c>
      <c r="CY51" s="96"/>
      <c r="CZ51" s="97">
        <f t="shared" si="73"/>
        <v>0</v>
      </c>
      <c r="DA51" s="97">
        <f t="shared" si="74"/>
        <v>0</v>
      </c>
      <c r="DB51" s="97">
        <f t="shared" si="75"/>
        <v>0</v>
      </c>
      <c r="DC51" s="96"/>
      <c r="DD51" s="97">
        <f t="shared" si="76"/>
        <v>0</v>
      </c>
      <c r="DE51" s="97">
        <f t="shared" si="77"/>
        <v>0</v>
      </c>
      <c r="DF51" s="97">
        <f t="shared" si="78"/>
        <v>0</v>
      </c>
      <c r="DG51" s="96"/>
      <c r="DH51" s="97">
        <f t="shared" si="79"/>
        <v>0</v>
      </c>
      <c r="DI51" s="97">
        <f t="shared" si="80"/>
        <v>0</v>
      </c>
      <c r="DJ51" s="97">
        <f t="shared" si="81"/>
        <v>0</v>
      </c>
      <c r="DK51" s="96"/>
      <c r="DL51" s="97">
        <f t="shared" si="82"/>
        <v>0</v>
      </c>
      <c r="DM51" s="97">
        <f t="shared" si="83"/>
        <v>0</v>
      </c>
      <c r="DN51" s="97">
        <f t="shared" si="84"/>
        <v>0</v>
      </c>
      <c r="DO51" s="96"/>
      <c r="DP51" s="97">
        <f t="shared" si="85"/>
        <v>0</v>
      </c>
      <c r="DQ51" s="97">
        <f t="shared" si="86"/>
        <v>0</v>
      </c>
      <c r="DR51" s="97">
        <f t="shared" si="87"/>
        <v>0</v>
      </c>
      <c r="DS51" s="96"/>
      <c r="DT51" s="65">
        <f t="shared" si="88"/>
        <v>0</v>
      </c>
      <c r="DU51" s="65">
        <f t="shared" si="89"/>
        <v>0</v>
      </c>
      <c r="DV51" s="65">
        <f t="shared" si="90"/>
        <v>0</v>
      </c>
      <c r="DW51" s="96"/>
      <c r="DX51" s="65">
        <f t="shared" si="91"/>
        <v>0</v>
      </c>
      <c r="DY51" s="65">
        <f t="shared" si="92"/>
        <v>0</v>
      </c>
      <c r="DZ51" s="65">
        <f t="shared" si="93"/>
        <v>0</v>
      </c>
      <c r="EA51" s="96"/>
      <c r="EB51" s="65">
        <f t="shared" si="94"/>
        <v>0</v>
      </c>
      <c r="EC51" s="65">
        <f t="shared" si="95"/>
        <v>0</v>
      </c>
      <c r="ED51" s="65">
        <f t="shared" si="96"/>
        <v>0</v>
      </c>
    </row>
    <row r="52" spans="1:134" x14ac:dyDescent="0.2">
      <c r="A52" s="71"/>
      <c r="B52" s="96" t="s">
        <v>52</v>
      </c>
      <c r="C52" s="96"/>
      <c r="D52" s="97">
        <f t="shared" si="0"/>
        <v>0</v>
      </c>
      <c r="E52" s="97">
        <f t="shared" si="97"/>
        <v>0</v>
      </c>
      <c r="F52" s="97">
        <f t="shared" si="98"/>
        <v>0</v>
      </c>
      <c r="G52" s="96"/>
      <c r="H52" s="97">
        <f t="shared" si="1"/>
        <v>0</v>
      </c>
      <c r="I52" s="97">
        <f t="shared" si="2"/>
        <v>0</v>
      </c>
      <c r="J52" s="97">
        <f t="shared" si="3"/>
        <v>0</v>
      </c>
      <c r="K52" s="96"/>
      <c r="L52" s="97">
        <f t="shared" si="4"/>
        <v>0</v>
      </c>
      <c r="M52" s="97">
        <f t="shared" si="5"/>
        <v>0</v>
      </c>
      <c r="N52" s="97">
        <f t="shared" si="6"/>
        <v>0</v>
      </c>
      <c r="O52" s="96"/>
      <c r="P52" s="97">
        <f t="shared" si="7"/>
        <v>0</v>
      </c>
      <c r="Q52" s="97">
        <f t="shared" si="8"/>
        <v>0</v>
      </c>
      <c r="R52" s="97">
        <f t="shared" si="9"/>
        <v>0</v>
      </c>
      <c r="S52" s="96"/>
      <c r="T52" s="97">
        <f t="shared" si="10"/>
        <v>0</v>
      </c>
      <c r="U52" s="97">
        <f t="shared" si="11"/>
        <v>0</v>
      </c>
      <c r="V52" s="97">
        <f t="shared" si="12"/>
        <v>0</v>
      </c>
      <c r="W52" s="96"/>
      <c r="X52" s="97">
        <f t="shared" si="13"/>
        <v>0</v>
      </c>
      <c r="Y52" s="97">
        <f t="shared" si="14"/>
        <v>0</v>
      </c>
      <c r="Z52" s="97">
        <f t="shared" si="15"/>
        <v>0</v>
      </c>
      <c r="AA52" s="96"/>
      <c r="AB52" s="97">
        <f t="shared" si="16"/>
        <v>0</v>
      </c>
      <c r="AC52" s="97">
        <f t="shared" si="17"/>
        <v>0</v>
      </c>
      <c r="AD52" s="97">
        <f t="shared" si="18"/>
        <v>0</v>
      </c>
      <c r="AE52" s="96"/>
      <c r="AF52" s="97">
        <f t="shared" si="19"/>
        <v>0</v>
      </c>
      <c r="AG52" s="97">
        <f t="shared" si="20"/>
        <v>0</v>
      </c>
      <c r="AH52" s="97">
        <f t="shared" si="21"/>
        <v>0</v>
      </c>
      <c r="AI52" s="96"/>
      <c r="AJ52" s="97">
        <f t="shared" si="22"/>
        <v>0</v>
      </c>
      <c r="AK52" s="97">
        <f t="shared" si="23"/>
        <v>0</v>
      </c>
      <c r="AL52" s="97">
        <f t="shared" si="24"/>
        <v>0</v>
      </c>
      <c r="AM52" s="96"/>
      <c r="AN52" s="97">
        <f t="shared" si="25"/>
        <v>0</v>
      </c>
      <c r="AO52" s="97">
        <f t="shared" si="26"/>
        <v>0</v>
      </c>
      <c r="AP52" s="97">
        <f t="shared" si="27"/>
        <v>0</v>
      </c>
      <c r="AQ52" s="96"/>
      <c r="AR52" s="97">
        <f t="shared" si="28"/>
        <v>0</v>
      </c>
      <c r="AS52" s="97">
        <f t="shared" si="29"/>
        <v>0</v>
      </c>
      <c r="AT52" s="97">
        <f t="shared" si="30"/>
        <v>0</v>
      </c>
      <c r="AU52" s="96"/>
      <c r="AV52" s="97">
        <f t="shared" si="31"/>
        <v>0</v>
      </c>
      <c r="AW52" s="97">
        <f t="shared" si="32"/>
        <v>0</v>
      </c>
      <c r="AX52" s="97">
        <f t="shared" si="33"/>
        <v>0</v>
      </c>
      <c r="AY52" s="96"/>
      <c r="AZ52" s="65">
        <f t="shared" si="34"/>
        <v>0</v>
      </c>
      <c r="BA52" s="65">
        <f t="shared" si="35"/>
        <v>0</v>
      </c>
      <c r="BB52" s="65">
        <f t="shared" si="36"/>
        <v>0</v>
      </c>
      <c r="BC52" s="96"/>
      <c r="BD52" s="65">
        <f t="shared" si="37"/>
        <v>0</v>
      </c>
      <c r="BE52" s="65">
        <f t="shared" si="38"/>
        <v>0</v>
      </c>
      <c r="BF52" s="65">
        <f t="shared" si="39"/>
        <v>0</v>
      </c>
      <c r="BG52" s="96"/>
      <c r="BH52" s="65">
        <f t="shared" si="40"/>
        <v>0</v>
      </c>
      <c r="BI52" s="65">
        <f t="shared" si="41"/>
        <v>0</v>
      </c>
      <c r="BJ52" s="65">
        <f t="shared" si="42"/>
        <v>0</v>
      </c>
      <c r="BK52" s="96"/>
      <c r="BL52" s="97">
        <f t="shared" si="43"/>
        <v>0</v>
      </c>
      <c r="BM52" s="97">
        <f t="shared" si="44"/>
        <v>0</v>
      </c>
      <c r="BN52" s="97">
        <f t="shared" si="45"/>
        <v>0</v>
      </c>
      <c r="BO52" s="96"/>
      <c r="BP52" s="97">
        <f t="shared" si="46"/>
        <v>0</v>
      </c>
      <c r="BQ52" s="97">
        <f t="shared" si="47"/>
        <v>0</v>
      </c>
      <c r="BR52" s="97">
        <f t="shared" si="48"/>
        <v>0</v>
      </c>
      <c r="BS52" s="96"/>
      <c r="BT52" s="97">
        <f t="shared" si="49"/>
        <v>0</v>
      </c>
      <c r="BU52" s="97">
        <f t="shared" si="50"/>
        <v>0</v>
      </c>
      <c r="BV52" s="97">
        <f t="shared" si="51"/>
        <v>0</v>
      </c>
      <c r="BW52" s="96"/>
      <c r="BX52" s="97">
        <f t="shared" si="52"/>
        <v>0</v>
      </c>
      <c r="BY52" s="97">
        <f t="shared" si="53"/>
        <v>0</v>
      </c>
      <c r="BZ52" s="97">
        <f t="shared" si="54"/>
        <v>0</v>
      </c>
      <c r="CA52" s="96"/>
      <c r="CB52" s="97">
        <f t="shared" si="55"/>
        <v>0</v>
      </c>
      <c r="CC52" s="97">
        <f t="shared" si="56"/>
        <v>0</v>
      </c>
      <c r="CD52" s="97">
        <f t="shared" si="57"/>
        <v>0</v>
      </c>
      <c r="CE52" s="96"/>
      <c r="CF52" s="65">
        <f t="shared" si="58"/>
        <v>0</v>
      </c>
      <c r="CG52" s="65">
        <f t="shared" si="59"/>
        <v>0</v>
      </c>
      <c r="CH52" s="65">
        <f t="shared" si="60"/>
        <v>0</v>
      </c>
      <c r="CI52" s="96"/>
      <c r="CJ52" s="65">
        <f t="shared" si="61"/>
        <v>0</v>
      </c>
      <c r="CK52" s="65">
        <f t="shared" si="62"/>
        <v>0</v>
      </c>
      <c r="CL52" s="65">
        <f t="shared" si="63"/>
        <v>0</v>
      </c>
      <c r="CM52" s="96"/>
      <c r="CN52" s="65">
        <f t="shared" si="64"/>
        <v>0</v>
      </c>
      <c r="CO52" s="65">
        <f t="shared" si="65"/>
        <v>0</v>
      </c>
      <c r="CP52" s="65">
        <f t="shared" si="66"/>
        <v>0</v>
      </c>
      <c r="CQ52" s="96"/>
      <c r="CR52" s="65">
        <f t="shared" si="67"/>
        <v>0</v>
      </c>
      <c r="CS52" s="65">
        <f t="shared" si="68"/>
        <v>0</v>
      </c>
      <c r="CT52" s="65">
        <f t="shared" si="69"/>
        <v>0</v>
      </c>
      <c r="CU52" s="96"/>
      <c r="CV52" s="65">
        <f t="shared" si="70"/>
        <v>0</v>
      </c>
      <c r="CW52" s="65">
        <f t="shared" si="71"/>
        <v>0</v>
      </c>
      <c r="CX52" s="65">
        <f t="shared" si="72"/>
        <v>0</v>
      </c>
      <c r="CY52" s="96"/>
      <c r="CZ52" s="97">
        <f t="shared" si="73"/>
        <v>0</v>
      </c>
      <c r="DA52" s="97">
        <f t="shared" si="74"/>
        <v>0</v>
      </c>
      <c r="DB52" s="97">
        <f t="shared" si="75"/>
        <v>0</v>
      </c>
      <c r="DC52" s="96"/>
      <c r="DD52" s="97">
        <f t="shared" si="76"/>
        <v>0</v>
      </c>
      <c r="DE52" s="97">
        <f t="shared" si="77"/>
        <v>0</v>
      </c>
      <c r="DF52" s="97">
        <f t="shared" si="78"/>
        <v>0</v>
      </c>
      <c r="DG52" s="96"/>
      <c r="DH52" s="97">
        <f t="shared" si="79"/>
        <v>0</v>
      </c>
      <c r="DI52" s="97">
        <f t="shared" si="80"/>
        <v>0</v>
      </c>
      <c r="DJ52" s="97">
        <f t="shared" si="81"/>
        <v>0</v>
      </c>
      <c r="DK52" s="96"/>
      <c r="DL52" s="97">
        <f t="shared" si="82"/>
        <v>0</v>
      </c>
      <c r="DM52" s="97">
        <f t="shared" si="83"/>
        <v>0</v>
      </c>
      <c r="DN52" s="97">
        <f t="shared" si="84"/>
        <v>0</v>
      </c>
      <c r="DO52" s="96"/>
      <c r="DP52" s="97">
        <f t="shared" si="85"/>
        <v>0</v>
      </c>
      <c r="DQ52" s="97">
        <f t="shared" si="86"/>
        <v>0</v>
      </c>
      <c r="DR52" s="97">
        <f t="shared" si="87"/>
        <v>0</v>
      </c>
      <c r="DS52" s="96"/>
      <c r="DT52" s="65">
        <f t="shared" si="88"/>
        <v>0</v>
      </c>
      <c r="DU52" s="65">
        <f t="shared" si="89"/>
        <v>0</v>
      </c>
      <c r="DV52" s="65">
        <f t="shared" si="90"/>
        <v>0</v>
      </c>
      <c r="DW52" s="96"/>
      <c r="DX52" s="65">
        <f t="shared" si="91"/>
        <v>0</v>
      </c>
      <c r="DY52" s="65">
        <f t="shared" si="92"/>
        <v>0</v>
      </c>
      <c r="DZ52" s="65">
        <f t="shared" si="93"/>
        <v>0</v>
      </c>
      <c r="EA52" s="96"/>
      <c r="EB52" s="65">
        <f t="shared" si="94"/>
        <v>0</v>
      </c>
      <c r="EC52" s="65">
        <f t="shared" si="95"/>
        <v>0</v>
      </c>
      <c r="ED52" s="65">
        <f t="shared" si="96"/>
        <v>0</v>
      </c>
    </row>
    <row r="53" spans="1:134" x14ac:dyDescent="0.2">
      <c r="A53" s="71"/>
      <c r="B53" s="96" t="s">
        <v>52</v>
      </c>
      <c r="C53" s="96"/>
      <c r="D53" s="97">
        <f t="shared" si="0"/>
        <v>0</v>
      </c>
      <c r="E53" s="97">
        <f t="shared" si="97"/>
        <v>0</v>
      </c>
      <c r="F53" s="97">
        <f t="shared" si="98"/>
        <v>0</v>
      </c>
      <c r="G53" s="96"/>
      <c r="H53" s="97">
        <f t="shared" si="1"/>
        <v>0</v>
      </c>
      <c r="I53" s="97">
        <f t="shared" si="2"/>
        <v>0</v>
      </c>
      <c r="J53" s="97">
        <f t="shared" si="3"/>
        <v>0</v>
      </c>
      <c r="K53" s="96"/>
      <c r="L53" s="97">
        <f t="shared" si="4"/>
        <v>0</v>
      </c>
      <c r="M53" s="97">
        <f t="shared" si="5"/>
        <v>0</v>
      </c>
      <c r="N53" s="97">
        <f t="shared" si="6"/>
        <v>0</v>
      </c>
      <c r="O53" s="96"/>
      <c r="P53" s="97">
        <f t="shared" si="7"/>
        <v>0</v>
      </c>
      <c r="Q53" s="97">
        <f t="shared" si="8"/>
        <v>0</v>
      </c>
      <c r="R53" s="97">
        <f t="shared" si="9"/>
        <v>0</v>
      </c>
      <c r="S53" s="96"/>
      <c r="T53" s="97">
        <f t="shared" si="10"/>
        <v>0</v>
      </c>
      <c r="U53" s="97">
        <f t="shared" si="11"/>
        <v>0</v>
      </c>
      <c r="V53" s="97">
        <f t="shared" si="12"/>
        <v>0</v>
      </c>
      <c r="W53" s="96"/>
      <c r="X53" s="97">
        <f t="shared" si="13"/>
        <v>0</v>
      </c>
      <c r="Y53" s="97">
        <f t="shared" si="14"/>
        <v>0</v>
      </c>
      <c r="Z53" s="97">
        <f t="shared" si="15"/>
        <v>0</v>
      </c>
      <c r="AA53" s="96"/>
      <c r="AB53" s="97">
        <f t="shared" si="16"/>
        <v>0</v>
      </c>
      <c r="AC53" s="97">
        <f t="shared" si="17"/>
        <v>0</v>
      </c>
      <c r="AD53" s="97">
        <f t="shared" si="18"/>
        <v>0</v>
      </c>
      <c r="AE53" s="96"/>
      <c r="AF53" s="97">
        <f t="shared" si="19"/>
        <v>0</v>
      </c>
      <c r="AG53" s="97">
        <f t="shared" si="20"/>
        <v>0</v>
      </c>
      <c r="AH53" s="97">
        <f t="shared" si="21"/>
        <v>0</v>
      </c>
      <c r="AI53" s="96"/>
      <c r="AJ53" s="97">
        <f t="shared" si="22"/>
        <v>0</v>
      </c>
      <c r="AK53" s="97">
        <f t="shared" si="23"/>
        <v>0</v>
      </c>
      <c r="AL53" s="97">
        <f t="shared" si="24"/>
        <v>0</v>
      </c>
      <c r="AM53" s="96"/>
      <c r="AN53" s="97">
        <f t="shared" si="25"/>
        <v>0</v>
      </c>
      <c r="AO53" s="97">
        <f t="shared" si="26"/>
        <v>0</v>
      </c>
      <c r="AP53" s="97">
        <f t="shared" si="27"/>
        <v>0</v>
      </c>
      <c r="AQ53" s="96"/>
      <c r="AR53" s="97">
        <f t="shared" si="28"/>
        <v>0</v>
      </c>
      <c r="AS53" s="97">
        <f t="shared" si="29"/>
        <v>0</v>
      </c>
      <c r="AT53" s="97">
        <f t="shared" si="30"/>
        <v>0</v>
      </c>
      <c r="AU53" s="96"/>
      <c r="AV53" s="97">
        <f t="shared" si="31"/>
        <v>0</v>
      </c>
      <c r="AW53" s="97">
        <f t="shared" si="32"/>
        <v>0</v>
      </c>
      <c r="AX53" s="97">
        <f t="shared" si="33"/>
        <v>0</v>
      </c>
      <c r="AY53" s="96"/>
      <c r="AZ53" s="65">
        <f t="shared" si="34"/>
        <v>0</v>
      </c>
      <c r="BA53" s="65">
        <f t="shared" si="35"/>
        <v>0</v>
      </c>
      <c r="BB53" s="65">
        <f t="shared" si="36"/>
        <v>0</v>
      </c>
      <c r="BC53" s="96"/>
      <c r="BD53" s="65">
        <f t="shared" si="37"/>
        <v>0</v>
      </c>
      <c r="BE53" s="65">
        <f t="shared" si="38"/>
        <v>0</v>
      </c>
      <c r="BF53" s="65">
        <f t="shared" si="39"/>
        <v>0</v>
      </c>
      <c r="BG53" s="96"/>
      <c r="BH53" s="65">
        <f t="shared" si="40"/>
        <v>0</v>
      </c>
      <c r="BI53" s="65">
        <f t="shared" si="41"/>
        <v>0</v>
      </c>
      <c r="BJ53" s="65">
        <f t="shared" si="42"/>
        <v>0</v>
      </c>
      <c r="BK53" s="96"/>
      <c r="BL53" s="97">
        <f t="shared" si="43"/>
        <v>0</v>
      </c>
      <c r="BM53" s="97">
        <f t="shared" si="44"/>
        <v>0</v>
      </c>
      <c r="BN53" s="97">
        <f t="shared" si="45"/>
        <v>0</v>
      </c>
      <c r="BO53" s="96"/>
      <c r="BP53" s="97">
        <f t="shared" si="46"/>
        <v>0</v>
      </c>
      <c r="BQ53" s="97">
        <f t="shared" si="47"/>
        <v>0</v>
      </c>
      <c r="BR53" s="97">
        <f t="shared" si="48"/>
        <v>0</v>
      </c>
      <c r="BS53" s="96"/>
      <c r="BT53" s="97">
        <f t="shared" si="49"/>
        <v>0</v>
      </c>
      <c r="BU53" s="97">
        <f t="shared" si="50"/>
        <v>0</v>
      </c>
      <c r="BV53" s="97">
        <f t="shared" si="51"/>
        <v>0</v>
      </c>
      <c r="BW53" s="96"/>
      <c r="BX53" s="97">
        <f t="shared" si="52"/>
        <v>0</v>
      </c>
      <c r="BY53" s="97">
        <f t="shared" si="53"/>
        <v>0</v>
      </c>
      <c r="BZ53" s="97">
        <f t="shared" si="54"/>
        <v>0</v>
      </c>
      <c r="CA53" s="96"/>
      <c r="CB53" s="97">
        <f t="shared" si="55"/>
        <v>0</v>
      </c>
      <c r="CC53" s="97">
        <f t="shared" si="56"/>
        <v>0</v>
      </c>
      <c r="CD53" s="97">
        <f t="shared" si="57"/>
        <v>0</v>
      </c>
      <c r="CE53" s="96"/>
      <c r="CF53" s="65">
        <f t="shared" si="58"/>
        <v>0</v>
      </c>
      <c r="CG53" s="65">
        <f t="shared" si="59"/>
        <v>0</v>
      </c>
      <c r="CH53" s="65">
        <f t="shared" si="60"/>
        <v>0</v>
      </c>
      <c r="CI53" s="96"/>
      <c r="CJ53" s="65">
        <f t="shared" si="61"/>
        <v>0</v>
      </c>
      <c r="CK53" s="65">
        <f t="shared" si="62"/>
        <v>0</v>
      </c>
      <c r="CL53" s="65">
        <f t="shared" si="63"/>
        <v>0</v>
      </c>
      <c r="CM53" s="96"/>
      <c r="CN53" s="65">
        <f t="shared" si="64"/>
        <v>0</v>
      </c>
      <c r="CO53" s="65">
        <f t="shared" si="65"/>
        <v>0</v>
      </c>
      <c r="CP53" s="65">
        <f t="shared" si="66"/>
        <v>0</v>
      </c>
      <c r="CQ53" s="96"/>
      <c r="CR53" s="65">
        <f t="shared" si="67"/>
        <v>0</v>
      </c>
      <c r="CS53" s="65">
        <f t="shared" si="68"/>
        <v>0</v>
      </c>
      <c r="CT53" s="65">
        <f t="shared" si="69"/>
        <v>0</v>
      </c>
      <c r="CU53" s="96"/>
      <c r="CV53" s="65">
        <f t="shared" si="70"/>
        <v>0</v>
      </c>
      <c r="CW53" s="65">
        <f t="shared" si="71"/>
        <v>0</v>
      </c>
      <c r="CX53" s="65">
        <f t="shared" si="72"/>
        <v>0</v>
      </c>
      <c r="CY53" s="96"/>
      <c r="CZ53" s="97">
        <f t="shared" si="73"/>
        <v>0</v>
      </c>
      <c r="DA53" s="97">
        <f t="shared" si="74"/>
        <v>0</v>
      </c>
      <c r="DB53" s="97">
        <f t="shared" si="75"/>
        <v>0</v>
      </c>
      <c r="DC53" s="96"/>
      <c r="DD53" s="97">
        <f t="shared" si="76"/>
        <v>0</v>
      </c>
      <c r="DE53" s="97">
        <f t="shared" si="77"/>
        <v>0</v>
      </c>
      <c r="DF53" s="97">
        <f t="shared" si="78"/>
        <v>0</v>
      </c>
      <c r="DG53" s="96"/>
      <c r="DH53" s="97">
        <f t="shared" si="79"/>
        <v>0</v>
      </c>
      <c r="DI53" s="97">
        <f t="shared" si="80"/>
        <v>0</v>
      </c>
      <c r="DJ53" s="97">
        <f t="shared" si="81"/>
        <v>0</v>
      </c>
      <c r="DK53" s="96"/>
      <c r="DL53" s="97">
        <f t="shared" si="82"/>
        <v>0</v>
      </c>
      <c r="DM53" s="97">
        <f t="shared" si="83"/>
        <v>0</v>
      </c>
      <c r="DN53" s="97">
        <f t="shared" si="84"/>
        <v>0</v>
      </c>
      <c r="DO53" s="96"/>
      <c r="DP53" s="97">
        <f t="shared" si="85"/>
        <v>0</v>
      </c>
      <c r="DQ53" s="97">
        <f t="shared" si="86"/>
        <v>0</v>
      </c>
      <c r="DR53" s="97">
        <f t="shared" si="87"/>
        <v>0</v>
      </c>
      <c r="DS53" s="96"/>
      <c r="DT53" s="65">
        <f t="shared" si="88"/>
        <v>0</v>
      </c>
      <c r="DU53" s="65">
        <f t="shared" si="89"/>
        <v>0</v>
      </c>
      <c r="DV53" s="65">
        <f t="shared" si="90"/>
        <v>0</v>
      </c>
      <c r="DW53" s="96"/>
      <c r="DX53" s="65">
        <f t="shared" si="91"/>
        <v>0</v>
      </c>
      <c r="DY53" s="65">
        <f t="shared" si="92"/>
        <v>0</v>
      </c>
      <c r="DZ53" s="65">
        <f t="shared" si="93"/>
        <v>0</v>
      </c>
      <c r="EA53" s="96"/>
      <c r="EB53" s="65">
        <f t="shared" si="94"/>
        <v>0</v>
      </c>
      <c r="EC53" s="65">
        <f t="shared" si="95"/>
        <v>0</v>
      </c>
      <c r="ED53" s="65">
        <f t="shared" si="96"/>
        <v>0</v>
      </c>
    </row>
    <row r="54" spans="1:134" x14ac:dyDescent="0.2">
      <c r="A54" s="71"/>
      <c r="B54" s="96" t="s">
        <v>52</v>
      </c>
      <c r="C54" s="96"/>
      <c r="D54" s="97">
        <f t="shared" si="0"/>
        <v>0</v>
      </c>
      <c r="E54" s="97">
        <f t="shared" si="97"/>
        <v>0</v>
      </c>
      <c r="F54" s="97">
        <f t="shared" si="98"/>
        <v>0</v>
      </c>
      <c r="G54" s="96"/>
      <c r="H54" s="97">
        <f t="shared" si="1"/>
        <v>0</v>
      </c>
      <c r="I54" s="97">
        <f t="shared" si="2"/>
        <v>0</v>
      </c>
      <c r="J54" s="97">
        <f t="shared" si="3"/>
        <v>0</v>
      </c>
      <c r="K54" s="96"/>
      <c r="L54" s="97">
        <f t="shared" si="4"/>
        <v>0</v>
      </c>
      <c r="M54" s="97">
        <f t="shared" si="5"/>
        <v>0</v>
      </c>
      <c r="N54" s="97">
        <f t="shared" si="6"/>
        <v>0</v>
      </c>
      <c r="O54" s="96"/>
      <c r="P54" s="97">
        <f t="shared" si="7"/>
        <v>0</v>
      </c>
      <c r="Q54" s="97">
        <f t="shared" si="8"/>
        <v>0</v>
      </c>
      <c r="R54" s="97">
        <f t="shared" si="9"/>
        <v>0</v>
      </c>
      <c r="S54" s="96"/>
      <c r="T54" s="97">
        <f t="shared" si="10"/>
        <v>0</v>
      </c>
      <c r="U54" s="97">
        <f t="shared" si="11"/>
        <v>0</v>
      </c>
      <c r="V54" s="97">
        <f t="shared" si="12"/>
        <v>0</v>
      </c>
      <c r="W54" s="96"/>
      <c r="X54" s="97">
        <f t="shared" si="13"/>
        <v>0</v>
      </c>
      <c r="Y54" s="97">
        <f t="shared" si="14"/>
        <v>0</v>
      </c>
      <c r="Z54" s="97">
        <f t="shared" si="15"/>
        <v>0</v>
      </c>
      <c r="AA54" s="96"/>
      <c r="AB54" s="97">
        <f t="shared" si="16"/>
        <v>0</v>
      </c>
      <c r="AC54" s="97">
        <f t="shared" si="17"/>
        <v>0</v>
      </c>
      <c r="AD54" s="97">
        <f t="shared" si="18"/>
        <v>0</v>
      </c>
      <c r="AE54" s="96"/>
      <c r="AF54" s="97">
        <f t="shared" si="19"/>
        <v>0</v>
      </c>
      <c r="AG54" s="97">
        <f t="shared" si="20"/>
        <v>0</v>
      </c>
      <c r="AH54" s="97">
        <f t="shared" si="21"/>
        <v>0</v>
      </c>
      <c r="AI54" s="96"/>
      <c r="AJ54" s="97">
        <f t="shared" si="22"/>
        <v>0</v>
      </c>
      <c r="AK54" s="97">
        <f t="shared" si="23"/>
        <v>0</v>
      </c>
      <c r="AL54" s="97">
        <f t="shared" si="24"/>
        <v>0</v>
      </c>
      <c r="AM54" s="96"/>
      <c r="AN54" s="97">
        <f t="shared" si="25"/>
        <v>0</v>
      </c>
      <c r="AO54" s="97">
        <f t="shared" si="26"/>
        <v>0</v>
      </c>
      <c r="AP54" s="97">
        <f t="shared" si="27"/>
        <v>0</v>
      </c>
      <c r="AQ54" s="96"/>
      <c r="AR54" s="97">
        <f t="shared" si="28"/>
        <v>0</v>
      </c>
      <c r="AS54" s="97">
        <f t="shared" si="29"/>
        <v>0</v>
      </c>
      <c r="AT54" s="97">
        <f t="shared" si="30"/>
        <v>0</v>
      </c>
      <c r="AU54" s="96"/>
      <c r="AV54" s="97">
        <f t="shared" si="31"/>
        <v>0</v>
      </c>
      <c r="AW54" s="97">
        <f t="shared" si="32"/>
        <v>0</v>
      </c>
      <c r="AX54" s="97">
        <f t="shared" si="33"/>
        <v>0</v>
      </c>
      <c r="AY54" s="96"/>
      <c r="AZ54" s="65">
        <f t="shared" si="34"/>
        <v>0</v>
      </c>
      <c r="BA54" s="65">
        <f t="shared" si="35"/>
        <v>0</v>
      </c>
      <c r="BB54" s="65">
        <f t="shared" si="36"/>
        <v>0</v>
      </c>
      <c r="BC54" s="96"/>
      <c r="BD54" s="65">
        <f t="shared" si="37"/>
        <v>0</v>
      </c>
      <c r="BE54" s="65">
        <f t="shared" si="38"/>
        <v>0</v>
      </c>
      <c r="BF54" s="65">
        <f t="shared" si="39"/>
        <v>0</v>
      </c>
      <c r="BG54" s="96"/>
      <c r="BH54" s="65">
        <f t="shared" si="40"/>
        <v>0</v>
      </c>
      <c r="BI54" s="65">
        <f t="shared" si="41"/>
        <v>0</v>
      </c>
      <c r="BJ54" s="65">
        <f t="shared" si="42"/>
        <v>0</v>
      </c>
      <c r="BK54" s="96"/>
      <c r="BL54" s="97">
        <f t="shared" si="43"/>
        <v>0</v>
      </c>
      <c r="BM54" s="97">
        <f t="shared" si="44"/>
        <v>0</v>
      </c>
      <c r="BN54" s="97">
        <f t="shared" si="45"/>
        <v>0</v>
      </c>
      <c r="BO54" s="96"/>
      <c r="BP54" s="97">
        <f t="shared" si="46"/>
        <v>0</v>
      </c>
      <c r="BQ54" s="97">
        <f t="shared" si="47"/>
        <v>0</v>
      </c>
      <c r="BR54" s="97">
        <f t="shared" si="48"/>
        <v>0</v>
      </c>
      <c r="BS54" s="96"/>
      <c r="BT54" s="97">
        <f t="shared" si="49"/>
        <v>0</v>
      </c>
      <c r="BU54" s="97">
        <f t="shared" si="50"/>
        <v>0</v>
      </c>
      <c r="BV54" s="97">
        <f t="shared" si="51"/>
        <v>0</v>
      </c>
      <c r="BW54" s="96"/>
      <c r="BX54" s="97">
        <f t="shared" si="52"/>
        <v>0</v>
      </c>
      <c r="BY54" s="97">
        <f t="shared" si="53"/>
        <v>0</v>
      </c>
      <c r="BZ54" s="97">
        <f t="shared" si="54"/>
        <v>0</v>
      </c>
      <c r="CA54" s="96"/>
      <c r="CB54" s="97">
        <f t="shared" si="55"/>
        <v>0</v>
      </c>
      <c r="CC54" s="97">
        <f t="shared" si="56"/>
        <v>0</v>
      </c>
      <c r="CD54" s="97">
        <f t="shared" si="57"/>
        <v>0</v>
      </c>
      <c r="CE54" s="96"/>
      <c r="CF54" s="65">
        <f t="shared" si="58"/>
        <v>0</v>
      </c>
      <c r="CG54" s="65">
        <f t="shared" si="59"/>
        <v>0</v>
      </c>
      <c r="CH54" s="65">
        <f t="shared" si="60"/>
        <v>0</v>
      </c>
      <c r="CI54" s="96"/>
      <c r="CJ54" s="65">
        <f t="shared" si="61"/>
        <v>0</v>
      </c>
      <c r="CK54" s="65">
        <f t="shared" si="62"/>
        <v>0</v>
      </c>
      <c r="CL54" s="65">
        <f t="shared" si="63"/>
        <v>0</v>
      </c>
      <c r="CM54" s="96"/>
      <c r="CN54" s="65">
        <f t="shared" si="64"/>
        <v>0</v>
      </c>
      <c r="CO54" s="65">
        <f t="shared" si="65"/>
        <v>0</v>
      </c>
      <c r="CP54" s="65">
        <f t="shared" si="66"/>
        <v>0</v>
      </c>
      <c r="CQ54" s="96"/>
      <c r="CR54" s="65">
        <f t="shared" si="67"/>
        <v>0</v>
      </c>
      <c r="CS54" s="65">
        <f t="shared" si="68"/>
        <v>0</v>
      </c>
      <c r="CT54" s="65">
        <f t="shared" si="69"/>
        <v>0</v>
      </c>
      <c r="CU54" s="96"/>
      <c r="CV54" s="65">
        <f t="shared" si="70"/>
        <v>0</v>
      </c>
      <c r="CW54" s="65">
        <f t="shared" si="71"/>
        <v>0</v>
      </c>
      <c r="CX54" s="65">
        <f t="shared" si="72"/>
        <v>0</v>
      </c>
      <c r="CY54" s="96"/>
      <c r="CZ54" s="97">
        <f t="shared" si="73"/>
        <v>0</v>
      </c>
      <c r="DA54" s="97">
        <f t="shared" si="74"/>
        <v>0</v>
      </c>
      <c r="DB54" s="97">
        <f t="shared" si="75"/>
        <v>0</v>
      </c>
      <c r="DC54" s="96"/>
      <c r="DD54" s="97">
        <f t="shared" si="76"/>
        <v>0</v>
      </c>
      <c r="DE54" s="97">
        <f t="shared" si="77"/>
        <v>0</v>
      </c>
      <c r="DF54" s="97">
        <f t="shared" si="78"/>
        <v>0</v>
      </c>
      <c r="DG54" s="96"/>
      <c r="DH54" s="97">
        <f t="shared" si="79"/>
        <v>0</v>
      </c>
      <c r="DI54" s="97">
        <f t="shared" si="80"/>
        <v>0</v>
      </c>
      <c r="DJ54" s="97">
        <f t="shared" si="81"/>
        <v>0</v>
      </c>
      <c r="DK54" s="96"/>
      <c r="DL54" s="97">
        <f t="shared" si="82"/>
        <v>0</v>
      </c>
      <c r="DM54" s="97">
        <f t="shared" si="83"/>
        <v>0</v>
      </c>
      <c r="DN54" s="97">
        <f t="shared" si="84"/>
        <v>0</v>
      </c>
      <c r="DO54" s="96"/>
      <c r="DP54" s="97">
        <f t="shared" si="85"/>
        <v>0</v>
      </c>
      <c r="DQ54" s="97">
        <f t="shared" si="86"/>
        <v>0</v>
      </c>
      <c r="DR54" s="97">
        <f t="shared" si="87"/>
        <v>0</v>
      </c>
      <c r="DS54" s="96"/>
      <c r="DT54" s="65">
        <f t="shared" si="88"/>
        <v>0</v>
      </c>
      <c r="DU54" s="65">
        <f t="shared" si="89"/>
        <v>0</v>
      </c>
      <c r="DV54" s="65">
        <f t="shared" si="90"/>
        <v>0</v>
      </c>
      <c r="DW54" s="96"/>
      <c r="DX54" s="65">
        <f t="shared" si="91"/>
        <v>0</v>
      </c>
      <c r="DY54" s="65">
        <f t="shared" si="92"/>
        <v>0</v>
      </c>
      <c r="DZ54" s="65">
        <f t="shared" si="93"/>
        <v>0</v>
      </c>
      <c r="EA54" s="96"/>
      <c r="EB54" s="65">
        <f t="shared" si="94"/>
        <v>0</v>
      </c>
      <c r="EC54" s="65">
        <f t="shared" si="95"/>
        <v>0</v>
      </c>
      <c r="ED54" s="65">
        <f t="shared" si="96"/>
        <v>0</v>
      </c>
    </row>
    <row r="55" spans="1:134" x14ac:dyDescent="0.2">
      <c r="A55" s="71"/>
      <c r="B55" s="96" t="s">
        <v>52</v>
      </c>
      <c r="C55" s="96"/>
      <c r="D55" s="97">
        <f t="shared" si="0"/>
        <v>0</v>
      </c>
      <c r="E55" s="97">
        <f t="shared" si="97"/>
        <v>0</v>
      </c>
      <c r="F55" s="97">
        <f t="shared" si="98"/>
        <v>0</v>
      </c>
      <c r="G55" s="96"/>
      <c r="H55" s="97">
        <f t="shared" si="1"/>
        <v>0</v>
      </c>
      <c r="I55" s="97">
        <f t="shared" si="2"/>
        <v>0</v>
      </c>
      <c r="J55" s="97">
        <f t="shared" si="3"/>
        <v>0</v>
      </c>
      <c r="K55" s="96"/>
      <c r="L55" s="97">
        <f t="shared" si="4"/>
        <v>0</v>
      </c>
      <c r="M55" s="97">
        <f t="shared" si="5"/>
        <v>0</v>
      </c>
      <c r="N55" s="97">
        <f t="shared" si="6"/>
        <v>0</v>
      </c>
      <c r="O55" s="96"/>
      <c r="P55" s="97">
        <f t="shared" si="7"/>
        <v>0</v>
      </c>
      <c r="Q55" s="97">
        <f t="shared" si="8"/>
        <v>0</v>
      </c>
      <c r="R55" s="97">
        <f t="shared" si="9"/>
        <v>0</v>
      </c>
      <c r="S55" s="96"/>
      <c r="T55" s="97">
        <f t="shared" si="10"/>
        <v>0</v>
      </c>
      <c r="U55" s="97">
        <f t="shared" si="11"/>
        <v>0</v>
      </c>
      <c r="V55" s="97">
        <f t="shared" si="12"/>
        <v>0</v>
      </c>
      <c r="W55" s="96"/>
      <c r="X55" s="97">
        <f t="shared" si="13"/>
        <v>0</v>
      </c>
      <c r="Y55" s="97">
        <f t="shared" si="14"/>
        <v>0</v>
      </c>
      <c r="Z55" s="97">
        <f t="shared" si="15"/>
        <v>0</v>
      </c>
      <c r="AA55" s="96"/>
      <c r="AB55" s="97">
        <f t="shared" si="16"/>
        <v>0</v>
      </c>
      <c r="AC55" s="97">
        <f t="shared" si="17"/>
        <v>0</v>
      </c>
      <c r="AD55" s="97">
        <f t="shared" si="18"/>
        <v>0</v>
      </c>
      <c r="AE55" s="96"/>
      <c r="AF55" s="97">
        <f t="shared" si="19"/>
        <v>0</v>
      </c>
      <c r="AG55" s="97">
        <f t="shared" si="20"/>
        <v>0</v>
      </c>
      <c r="AH55" s="97">
        <f t="shared" si="21"/>
        <v>0</v>
      </c>
      <c r="AI55" s="96"/>
      <c r="AJ55" s="97">
        <f t="shared" si="22"/>
        <v>0</v>
      </c>
      <c r="AK55" s="97">
        <f t="shared" si="23"/>
        <v>0</v>
      </c>
      <c r="AL55" s="97">
        <f t="shared" si="24"/>
        <v>0</v>
      </c>
      <c r="AM55" s="96"/>
      <c r="AN55" s="97">
        <f t="shared" si="25"/>
        <v>0</v>
      </c>
      <c r="AO55" s="97">
        <f t="shared" si="26"/>
        <v>0</v>
      </c>
      <c r="AP55" s="97">
        <f t="shared" si="27"/>
        <v>0</v>
      </c>
      <c r="AQ55" s="96"/>
      <c r="AR55" s="97">
        <f t="shared" si="28"/>
        <v>0</v>
      </c>
      <c r="AS55" s="97">
        <f t="shared" si="29"/>
        <v>0</v>
      </c>
      <c r="AT55" s="97">
        <f t="shared" si="30"/>
        <v>0</v>
      </c>
      <c r="AU55" s="96"/>
      <c r="AV55" s="97">
        <f t="shared" si="31"/>
        <v>0</v>
      </c>
      <c r="AW55" s="97">
        <f t="shared" si="32"/>
        <v>0</v>
      </c>
      <c r="AX55" s="97">
        <f t="shared" si="33"/>
        <v>0</v>
      </c>
      <c r="AY55" s="96"/>
      <c r="AZ55" s="65">
        <f t="shared" si="34"/>
        <v>0</v>
      </c>
      <c r="BA55" s="65">
        <f t="shared" si="35"/>
        <v>0</v>
      </c>
      <c r="BB55" s="65">
        <f t="shared" si="36"/>
        <v>0</v>
      </c>
      <c r="BC55" s="96"/>
      <c r="BD55" s="65">
        <f t="shared" si="37"/>
        <v>0</v>
      </c>
      <c r="BE55" s="65">
        <f t="shared" si="38"/>
        <v>0</v>
      </c>
      <c r="BF55" s="65">
        <f t="shared" si="39"/>
        <v>0</v>
      </c>
      <c r="BG55" s="96"/>
      <c r="BH55" s="65">
        <f t="shared" si="40"/>
        <v>0</v>
      </c>
      <c r="BI55" s="65">
        <f t="shared" si="41"/>
        <v>0</v>
      </c>
      <c r="BJ55" s="65">
        <f t="shared" si="42"/>
        <v>0</v>
      </c>
      <c r="BK55" s="96"/>
      <c r="BL55" s="97">
        <f t="shared" si="43"/>
        <v>0</v>
      </c>
      <c r="BM55" s="97">
        <f t="shared" si="44"/>
        <v>0</v>
      </c>
      <c r="BN55" s="97">
        <f t="shared" si="45"/>
        <v>0</v>
      </c>
      <c r="BO55" s="96"/>
      <c r="BP55" s="97">
        <f t="shared" si="46"/>
        <v>0</v>
      </c>
      <c r="BQ55" s="97">
        <f t="shared" si="47"/>
        <v>0</v>
      </c>
      <c r="BR55" s="97">
        <f t="shared" si="48"/>
        <v>0</v>
      </c>
      <c r="BS55" s="96"/>
      <c r="BT55" s="97">
        <f t="shared" si="49"/>
        <v>0</v>
      </c>
      <c r="BU55" s="97">
        <f t="shared" si="50"/>
        <v>0</v>
      </c>
      <c r="BV55" s="97">
        <f t="shared" si="51"/>
        <v>0</v>
      </c>
      <c r="BW55" s="96"/>
      <c r="BX55" s="97">
        <f t="shared" si="52"/>
        <v>0</v>
      </c>
      <c r="BY55" s="97">
        <f t="shared" si="53"/>
        <v>0</v>
      </c>
      <c r="BZ55" s="97">
        <f t="shared" si="54"/>
        <v>0</v>
      </c>
      <c r="CA55" s="96"/>
      <c r="CB55" s="97">
        <f t="shared" si="55"/>
        <v>0</v>
      </c>
      <c r="CC55" s="97">
        <f t="shared" si="56"/>
        <v>0</v>
      </c>
      <c r="CD55" s="97">
        <f t="shared" si="57"/>
        <v>0</v>
      </c>
      <c r="CE55" s="96"/>
      <c r="CF55" s="65">
        <f t="shared" si="58"/>
        <v>0</v>
      </c>
      <c r="CG55" s="65">
        <f t="shared" si="59"/>
        <v>0</v>
      </c>
      <c r="CH55" s="65">
        <f t="shared" si="60"/>
        <v>0</v>
      </c>
      <c r="CI55" s="96"/>
      <c r="CJ55" s="65">
        <f t="shared" si="61"/>
        <v>0</v>
      </c>
      <c r="CK55" s="65">
        <f t="shared" si="62"/>
        <v>0</v>
      </c>
      <c r="CL55" s="65">
        <f t="shared" si="63"/>
        <v>0</v>
      </c>
      <c r="CM55" s="96"/>
      <c r="CN55" s="65">
        <f t="shared" si="64"/>
        <v>0</v>
      </c>
      <c r="CO55" s="65">
        <f t="shared" si="65"/>
        <v>0</v>
      </c>
      <c r="CP55" s="65">
        <f t="shared" si="66"/>
        <v>0</v>
      </c>
      <c r="CQ55" s="96"/>
      <c r="CR55" s="65">
        <f t="shared" si="67"/>
        <v>0</v>
      </c>
      <c r="CS55" s="65">
        <f t="shared" si="68"/>
        <v>0</v>
      </c>
      <c r="CT55" s="65">
        <f t="shared" si="69"/>
        <v>0</v>
      </c>
      <c r="CU55" s="96"/>
      <c r="CV55" s="65">
        <f t="shared" si="70"/>
        <v>0</v>
      </c>
      <c r="CW55" s="65">
        <f t="shared" si="71"/>
        <v>0</v>
      </c>
      <c r="CX55" s="65">
        <f t="shared" si="72"/>
        <v>0</v>
      </c>
      <c r="CY55" s="96"/>
      <c r="CZ55" s="97">
        <f t="shared" si="73"/>
        <v>0</v>
      </c>
      <c r="DA55" s="97">
        <f t="shared" si="74"/>
        <v>0</v>
      </c>
      <c r="DB55" s="97">
        <f t="shared" si="75"/>
        <v>0</v>
      </c>
      <c r="DC55" s="96"/>
      <c r="DD55" s="97">
        <f t="shared" si="76"/>
        <v>0</v>
      </c>
      <c r="DE55" s="97">
        <f t="shared" si="77"/>
        <v>0</v>
      </c>
      <c r="DF55" s="97">
        <f t="shared" si="78"/>
        <v>0</v>
      </c>
      <c r="DG55" s="96"/>
      <c r="DH55" s="97">
        <f t="shared" si="79"/>
        <v>0</v>
      </c>
      <c r="DI55" s="97">
        <f t="shared" si="80"/>
        <v>0</v>
      </c>
      <c r="DJ55" s="97">
        <f t="shared" si="81"/>
        <v>0</v>
      </c>
      <c r="DK55" s="96"/>
      <c r="DL55" s="97">
        <f t="shared" si="82"/>
        <v>0</v>
      </c>
      <c r="DM55" s="97">
        <f t="shared" si="83"/>
        <v>0</v>
      </c>
      <c r="DN55" s="97">
        <f t="shared" si="84"/>
        <v>0</v>
      </c>
      <c r="DO55" s="96"/>
      <c r="DP55" s="97">
        <f t="shared" si="85"/>
        <v>0</v>
      </c>
      <c r="DQ55" s="97">
        <f t="shared" si="86"/>
        <v>0</v>
      </c>
      <c r="DR55" s="97">
        <f t="shared" si="87"/>
        <v>0</v>
      </c>
      <c r="DS55" s="96"/>
      <c r="DT55" s="65">
        <f t="shared" si="88"/>
        <v>0</v>
      </c>
      <c r="DU55" s="65">
        <f t="shared" si="89"/>
        <v>0</v>
      </c>
      <c r="DV55" s="65">
        <f t="shared" si="90"/>
        <v>0</v>
      </c>
      <c r="DW55" s="96"/>
      <c r="DX55" s="65">
        <f t="shared" si="91"/>
        <v>0</v>
      </c>
      <c r="DY55" s="65">
        <f t="shared" si="92"/>
        <v>0</v>
      </c>
      <c r="DZ55" s="65">
        <f t="shared" si="93"/>
        <v>0</v>
      </c>
      <c r="EA55" s="96"/>
      <c r="EB55" s="65">
        <f t="shared" si="94"/>
        <v>0</v>
      </c>
      <c r="EC55" s="65">
        <f t="shared" si="95"/>
        <v>0</v>
      </c>
      <c r="ED55" s="65">
        <f t="shared" si="96"/>
        <v>0</v>
      </c>
    </row>
    <row r="56" spans="1:134" x14ac:dyDescent="0.2">
      <c r="A56" s="71"/>
      <c r="B56" s="96" t="s">
        <v>52</v>
      </c>
      <c r="C56" s="96"/>
      <c r="D56" s="97">
        <f t="shared" si="0"/>
        <v>0</v>
      </c>
      <c r="E56" s="97">
        <f t="shared" si="97"/>
        <v>0</v>
      </c>
      <c r="F56" s="97">
        <f t="shared" si="98"/>
        <v>0</v>
      </c>
      <c r="G56" s="96"/>
      <c r="H56" s="97">
        <f t="shared" si="1"/>
        <v>0</v>
      </c>
      <c r="I56" s="97">
        <f t="shared" si="2"/>
        <v>0</v>
      </c>
      <c r="J56" s="97">
        <f t="shared" si="3"/>
        <v>0</v>
      </c>
      <c r="K56" s="96"/>
      <c r="L56" s="97">
        <f t="shared" si="4"/>
        <v>0</v>
      </c>
      <c r="M56" s="97">
        <f t="shared" si="5"/>
        <v>0</v>
      </c>
      <c r="N56" s="97">
        <f t="shared" si="6"/>
        <v>0</v>
      </c>
      <c r="O56" s="96"/>
      <c r="P56" s="97">
        <f t="shared" si="7"/>
        <v>0</v>
      </c>
      <c r="Q56" s="97">
        <f t="shared" si="8"/>
        <v>0</v>
      </c>
      <c r="R56" s="97">
        <f t="shared" si="9"/>
        <v>0</v>
      </c>
      <c r="S56" s="96"/>
      <c r="T56" s="97">
        <f t="shared" si="10"/>
        <v>0</v>
      </c>
      <c r="U56" s="97">
        <f t="shared" si="11"/>
        <v>0</v>
      </c>
      <c r="V56" s="97">
        <f t="shared" si="12"/>
        <v>0</v>
      </c>
      <c r="W56" s="96"/>
      <c r="X56" s="97">
        <f t="shared" si="13"/>
        <v>0</v>
      </c>
      <c r="Y56" s="97">
        <f t="shared" si="14"/>
        <v>0</v>
      </c>
      <c r="Z56" s="97">
        <f t="shared" si="15"/>
        <v>0</v>
      </c>
      <c r="AA56" s="96"/>
      <c r="AB56" s="97">
        <f t="shared" si="16"/>
        <v>0</v>
      </c>
      <c r="AC56" s="97">
        <f t="shared" si="17"/>
        <v>0</v>
      </c>
      <c r="AD56" s="97">
        <f t="shared" si="18"/>
        <v>0</v>
      </c>
      <c r="AE56" s="96"/>
      <c r="AF56" s="97">
        <f t="shared" si="19"/>
        <v>0</v>
      </c>
      <c r="AG56" s="97">
        <f t="shared" si="20"/>
        <v>0</v>
      </c>
      <c r="AH56" s="97">
        <f t="shared" si="21"/>
        <v>0</v>
      </c>
      <c r="AI56" s="96"/>
      <c r="AJ56" s="97">
        <f t="shared" si="22"/>
        <v>0</v>
      </c>
      <c r="AK56" s="97">
        <f t="shared" si="23"/>
        <v>0</v>
      </c>
      <c r="AL56" s="97">
        <f t="shared" si="24"/>
        <v>0</v>
      </c>
      <c r="AM56" s="96"/>
      <c r="AN56" s="97">
        <f t="shared" si="25"/>
        <v>0</v>
      </c>
      <c r="AO56" s="97">
        <f t="shared" si="26"/>
        <v>0</v>
      </c>
      <c r="AP56" s="97">
        <f t="shared" si="27"/>
        <v>0</v>
      </c>
      <c r="AQ56" s="96"/>
      <c r="AR56" s="97">
        <f t="shared" si="28"/>
        <v>0</v>
      </c>
      <c r="AS56" s="97">
        <f t="shared" si="29"/>
        <v>0</v>
      </c>
      <c r="AT56" s="97">
        <f t="shared" si="30"/>
        <v>0</v>
      </c>
      <c r="AU56" s="96"/>
      <c r="AV56" s="97">
        <f t="shared" si="31"/>
        <v>0</v>
      </c>
      <c r="AW56" s="97">
        <f t="shared" si="32"/>
        <v>0</v>
      </c>
      <c r="AX56" s="97">
        <f t="shared" si="33"/>
        <v>0</v>
      </c>
      <c r="AY56" s="96"/>
      <c r="AZ56" s="65">
        <f t="shared" si="34"/>
        <v>0</v>
      </c>
      <c r="BA56" s="65">
        <f t="shared" si="35"/>
        <v>0</v>
      </c>
      <c r="BB56" s="65">
        <f t="shared" si="36"/>
        <v>0</v>
      </c>
      <c r="BC56" s="96"/>
      <c r="BD56" s="65">
        <f t="shared" si="37"/>
        <v>0</v>
      </c>
      <c r="BE56" s="65">
        <f t="shared" si="38"/>
        <v>0</v>
      </c>
      <c r="BF56" s="65">
        <f t="shared" si="39"/>
        <v>0</v>
      </c>
      <c r="BG56" s="96"/>
      <c r="BH56" s="65">
        <f t="shared" si="40"/>
        <v>0</v>
      </c>
      <c r="BI56" s="65">
        <f t="shared" si="41"/>
        <v>0</v>
      </c>
      <c r="BJ56" s="65">
        <f t="shared" si="42"/>
        <v>0</v>
      </c>
      <c r="BK56" s="96"/>
      <c r="BL56" s="97">
        <f t="shared" si="43"/>
        <v>0</v>
      </c>
      <c r="BM56" s="97">
        <f t="shared" si="44"/>
        <v>0</v>
      </c>
      <c r="BN56" s="97">
        <f t="shared" si="45"/>
        <v>0</v>
      </c>
      <c r="BO56" s="96"/>
      <c r="BP56" s="97">
        <f t="shared" si="46"/>
        <v>0</v>
      </c>
      <c r="BQ56" s="97">
        <f t="shared" si="47"/>
        <v>0</v>
      </c>
      <c r="BR56" s="97">
        <f t="shared" si="48"/>
        <v>0</v>
      </c>
      <c r="BS56" s="96"/>
      <c r="BT56" s="97">
        <f t="shared" si="49"/>
        <v>0</v>
      </c>
      <c r="BU56" s="97">
        <f t="shared" si="50"/>
        <v>0</v>
      </c>
      <c r="BV56" s="97">
        <f t="shared" si="51"/>
        <v>0</v>
      </c>
      <c r="BW56" s="96"/>
      <c r="BX56" s="97">
        <f t="shared" si="52"/>
        <v>0</v>
      </c>
      <c r="BY56" s="97">
        <f t="shared" si="53"/>
        <v>0</v>
      </c>
      <c r="BZ56" s="97">
        <f t="shared" si="54"/>
        <v>0</v>
      </c>
      <c r="CA56" s="96"/>
      <c r="CB56" s="97">
        <f t="shared" si="55"/>
        <v>0</v>
      </c>
      <c r="CC56" s="97">
        <f t="shared" si="56"/>
        <v>0</v>
      </c>
      <c r="CD56" s="97">
        <f t="shared" si="57"/>
        <v>0</v>
      </c>
      <c r="CE56" s="96"/>
      <c r="CF56" s="65">
        <f t="shared" si="58"/>
        <v>0</v>
      </c>
      <c r="CG56" s="65">
        <f t="shared" si="59"/>
        <v>0</v>
      </c>
      <c r="CH56" s="65">
        <f t="shared" si="60"/>
        <v>0</v>
      </c>
      <c r="CI56" s="96"/>
      <c r="CJ56" s="65">
        <f t="shared" si="61"/>
        <v>0</v>
      </c>
      <c r="CK56" s="65">
        <f t="shared" si="62"/>
        <v>0</v>
      </c>
      <c r="CL56" s="65">
        <f t="shared" si="63"/>
        <v>0</v>
      </c>
      <c r="CM56" s="96"/>
      <c r="CN56" s="65">
        <f t="shared" si="64"/>
        <v>0</v>
      </c>
      <c r="CO56" s="65">
        <f t="shared" si="65"/>
        <v>0</v>
      </c>
      <c r="CP56" s="65">
        <f t="shared" si="66"/>
        <v>0</v>
      </c>
      <c r="CQ56" s="96"/>
      <c r="CR56" s="65">
        <f t="shared" si="67"/>
        <v>0</v>
      </c>
      <c r="CS56" s="65">
        <f t="shared" si="68"/>
        <v>0</v>
      </c>
      <c r="CT56" s="65">
        <f t="shared" si="69"/>
        <v>0</v>
      </c>
      <c r="CU56" s="96"/>
      <c r="CV56" s="65">
        <f t="shared" si="70"/>
        <v>0</v>
      </c>
      <c r="CW56" s="65">
        <f t="shared" si="71"/>
        <v>0</v>
      </c>
      <c r="CX56" s="65">
        <f t="shared" si="72"/>
        <v>0</v>
      </c>
      <c r="CY56" s="96"/>
      <c r="CZ56" s="97">
        <f t="shared" si="73"/>
        <v>0</v>
      </c>
      <c r="DA56" s="97">
        <f t="shared" si="74"/>
        <v>0</v>
      </c>
      <c r="DB56" s="97">
        <f t="shared" si="75"/>
        <v>0</v>
      </c>
      <c r="DC56" s="96"/>
      <c r="DD56" s="97">
        <f t="shared" si="76"/>
        <v>0</v>
      </c>
      <c r="DE56" s="97">
        <f t="shared" si="77"/>
        <v>0</v>
      </c>
      <c r="DF56" s="97">
        <f t="shared" si="78"/>
        <v>0</v>
      </c>
      <c r="DG56" s="96"/>
      <c r="DH56" s="97">
        <f t="shared" si="79"/>
        <v>0</v>
      </c>
      <c r="DI56" s="97">
        <f t="shared" si="80"/>
        <v>0</v>
      </c>
      <c r="DJ56" s="97">
        <f t="shared" si="81"/>
        <v>0</v>
      </c>
      <c r="DK56" s="96"/>
      <c r="DL56" s="97">
        <f t="shared" si="82"/>
        <v>0</v>
      </c>
      <c r="DM56" s="97">
        <f t="shared" si="83"/>
        <v>0</v>
      </c>
      <c r="DN56" s="97">
        <f t="shared" si="84"/>
        <v>0</v>
      </c>
      <c r="DO56" s="96"/>
      <c r="DP56" s="97">
        <f t="shared" si="85"/>
        <v>0</v>
      </c>
      <c r="DQ56" s="97">
        <f t="shared" si="86"/>
        <v>0</v>
      </c>
      <c r="DR56" s="97">
        <f t="shared" si="87"/>
        <v>0</v>
      </c>
      <c r="DS56" s="96"/>
      <c r="DT56" s="65">
        <f t="shared" si="88"/>
        <v>0</v>
      </c>
      <c r="DU56" s="65">
        <f t="shared" si="89"/>
        <v>0</v>
      </c>
      <c r="DV56" s="65">
        <f t="shared" si="90"/>
        <v>0</v>
      </c>
      <c r="DW56" s="96"/>
      <c r="DX56" s="65">
        <f t="shared" si="91"/>
        <v>0</v>
      </c>
      <c r="DY56" s="65">
        <f t="shared" si="92"/>
        <v>0</v>
      </c>
      <c r="DZ56" s="65">
        <f t="shared" si="93"/>
        <v>0</v>
      </c>
      <c r="EA56" s="96"/>
      <c r="EB56" s="65">
        <f t="shared" si="94"/>
        <v>0</v>
      </c>
      <c r="EC56" s="65">
        <f t="shared" si="95"/>
        <v>0</v>
      </c>
      <c r="ED56" s="65">
        <f t="shared" si="96"/>
        <v>0</v>
      </c>
    </row>
    <row r="57" spans="1:134" x14ac:dyDescent="0.2">
      <c r="A57" s="71"/>
      <c r="B57" s="96" t="s">
        <v>52</v>
      </c>
      <c r="C57" s="96"/>
      <c r="D57" s="97">
        <f t="shared" si="0"/>
        <v>0</v>
      </c>
      <c r="E57" s="97">
        <f t="shared" si="97"/>
        <v>0</v>
      </c>
      <c r="F57" s="97">
        <f t="shared" si="98"/>
        <v>0</v>
      </c>
      <c r="G57" s="96"/>
      <c r="H57" s="97">
        <f t="shared" si="1"/>
        <v>0</v>
      </c>
      <c r="I57" s="97">
        <f t="shared" si="2"/>
        <v>0</v>
      </c>
      <c r="J57" s="97">
        <f t="shared" si="3"/>
        <v>0</v>
      </c>
      <c r="K57" s="96"/>
      <c r="L57" s="97">
        <f t="shared" si="4"/>
        <v>0</v>
      </c>
      <c r="M57" s="97">
        <f t="shared" si="5"/>
        <v>0</v>
      </c>
      <c r="N57" s="97">
        <f t="shared" si="6"/>
        <v>0</v>
      </c>
      <c r="O57" s="96"/>
      <c r="P57" s="97">
        <f t="shared" si="7"/>
        <v>0</v>
      </c>
      <c r="Q57" s="97">
        <f t="shared" si="8"/>
        <v>0</v>
      </c>
      <c r="R57" s="97">
        <f t="shared" si="9"/>
        <v>0</v>
      </c>
      <c r="S57" s="96"/>
      <c r="T57" s="97">
        <f t="shared" si="10"/>
        <v>0</v>
      </c>
      <c r="U57" s="97">
        <f t="shared" si="11"/>
        <v>0</v>
      </c>
      <c r="V57" s="97">
        <f t="shared" si="12"/>
        <v>0</v>
      </c>
      <c r="W57" s="96"/>
      <c r="X57" s="97">
        <f t="shared" si="13"/>
        <v>0</v>
      </c>
      <c r="Y57" s="97">
        <f t="shared" si="14"/>
        <v>0</v>
      </c>
      <c r="Z57" s="97">
        <f t="shared" si="15"/>
        <v>0</v>
      </c>
      <c r="AA57" s="96"/>
      <c r="AB57" s="97">
        <f t="shared" si="16"/>
        <v>0</v>
      </c>
      <c r="AC57" s="97">
        <f t="shared" si="17"/>
        <v>0</v>
      </c>
      <c r="AD57" s="97">
        <f t="shared" si="18"/>
        <v>0</v>
      </c>
      <c r="AE57" s="96"/>
      <c r="AF57" s="97">
        <f t="shared" si="19"/>
        <v>0</v>
      </c>
      <c r="AG57" s="97">
        <f t="shared" si="20"/>
        <v>0</v>
      </c>
      <c r="AH57" s="97">
        <f t="shared" si="21"/>
        <v>0</v>
      </c>
      <c r="AI57" s="96"/>
      <c r="AJ57" s="97">
        <f t="shared" si="22"/>
        <v>0</v>
      </c>
      <c r="AK57" s="97">
        <f t="shared" si="23"/>
        <v>0</v>
      </c>
      <c r="AL57" s="97">
        <f t="shared" si="24"/>
        <v>0</v>
      </c>
      <c r="AM57" s="96"/>
      <c r="AN57" s="97">
        <f t="shared" si="25"/>
        <v>0</v>
      </c>
      <c r="AO57" s="97">
        <f t="shared" si="26"/>
        <v>0</v>
      </c>
      <c r="AP57" s="97">
        <f t="shared" si="27"/>
        <v>0</v>
      </c>
      <c r="AQ57" s="96"/>
      <c r="AR57" s="97">
        <f t="shared" si="28"/>
        <v>0</v>
      </c>
      <c r="AS57" s="97">
        <f t="shared" si="29"/>
        <v>0</v>
      </c>
      <c r="AT57" s="97">
        <f t="shared" si="30"/>
        <v>0</v>
      </c>
      <c r="AU57" s="96"/>
      <c r="AV57" s="97">
        <f t="shared" si="31"/>
        <v>0</v>
      </c>
      <c r="AW57" s="97">
        <f t="shared" si="32"/>
        <v>0</v>
      </c>
      <c r="AX57" s="97">
        <f t="shared" si="33"/>
        <v>0</v>
      </c>
      <c r="AY57" s="96"/>
      <c r="AZ57" s="65">
        <f t="shared" si="34"/>
        <v>0</v>
      </c>
      <c r="BA57" s="65">
        <f t="shared" si="35"/>
        <v>0</v>
      </c>
      <c r="BB57" s="65">
        <f t="shared" si="36"/>
        <v>0</v>
      </c>
      <c r="BC57" s="96"/>
      <c r="BD57" s="65">
        <f t="shared" si="37"/>
        <v>0</v>
      </c>
      <c r="BE57" s="65">
        <f t="shared" si="38"/>
        <v>0</v>
      </c>
      <c r="BF57" s="65">
        <f t="shared" si="39"/>
        <v>0</v>
      </c>
      <c r="BG57" s="96"/>
      <c r="BH57" s="65">
        <f t="shared" si="40"/>
        <v>0</v>
      </c>
      <c r="BI57" s="65">
        <f t="shared" si="41"/>
        <v>0</v>
      </c>
      <c r="BJ57" s="65">
        <f t="shared" si="42"/>
        <v>0</v>
      </c>
      <c r="BK57" s="96"/>
      <c r="BL57" s="97">
        <f t="shared" si="43"/>
        <v>0</v>
      </c>
      <c r="BM57" s="97">
        <f t="shared" si="44"/>
        <v>0</v>
      </c>
      <c r="BN57" s="97">
        <f t="shared" si="45"/>
        <v>0</v>
      </c>
      <c r="BO57" s="96"/>
      <c r="BP57" s="97">
        <f t="shared" si="46"/>
        <v>0</v>
      </c>
      <c r="BQ57" s="97">
        <f t="shared" si="47"/>
        <v>0</v>
      </c>
      <c r="BR57" s="97">
        <f t="shared" si="48"/>
        <v>0</v>
      </c>
      <c r="BS57" s="96"/>
      <c r="BT57" s="97">
        <f t="shared" si="49"/>
        <v>0</v>
      </c>
      <c r="BU57" s="97">
        <f t="shared" si="50"/>
        <v>0</v>
      </c>
      <c r="BV57" s="97">
        <f t="shared" si="51"/>
        <v>0</v>
      </c>
      <c r="BW57" s="96"/>
      <c r="BX57" s="97">
        <f t="shared" si="52"/>
        <v>0</v>
      </c>
      <c r="BY57" s="97">
        <f t="shared" si="53"/>
        <v>0</v>
      </c>
      <c r="BZ57" s="97">
        <f t="shared" si="54"/>
        <v>0</v>
      </c>
      <c r="CA57" s="96"/>
      <c r="CB57" s="97">
        <f t="shared" si="55"/>
        <v>0</v>
      </c>
      <c r="CC57" s="97">
        <f t="shared" si="56"/>
        <v>0</v>
      </c>
      <c r="CD57" s="97">
        <f t="shared" si="57"/>
        <v>0</v>
      </c>
      <c r="CE57" s="96"/>
      <c r="CF57" s="65">
        <f t="shared" si="58"/>
        <v>0</v>
      </c>
      <c r="CG57" s="65">
        <f t="shared" si="59"/>
        <v>0</v>
      </c>
      <c r="CH57" s="65">
        <f t="shared" si="60"/>
        <v>0</v>
      </c>
      <c r="CI57" s="96"/>
      <c r="CJ57" s="65">
        <f t="shared" si="61"/>
        <v>0</v>
      </c>
      <c r="CK57" s="65">
        <f t="shared" si="62"/>
        <v>0</v>
      </c>
      <c r="CL57" s="65">
        <f t="shared" si="63"/>
        <v>0</v>
      </c>
      <c r="CM57" s="96"/>
      <c r="CN57" s="65">
        <f t="shared" si="64"/>
        <v>0</v>
      </c>
      <c r="CO57" s="65">
        <f t="shared" si="65"/>
        <v>0</v>
      </c>
      <c r="CP57" s="65">
        <f t="shared" si="66"/>
        <v>0</v>
      </c>
      <c r="CQ57" s="96"/>
      <c r="CR57" s="65">
        <f t="shared" si="67"/>
        <v>0</v>
      </c>
      <c r="CS57" s="65">
        <f t="shared" si="68"/>
        <v>0</v>
      </c>
      <c r="CT57" s="65">
        <f t="shared" si="69"/>
        <v>0</v>
      </c>
      <c r="CU57" s="96"/>
      <c r="CV57" s="65">
        <f t="shared" si="70"/>
        <v>0</v>
      </c>
      <c r="CW57" s="65">
        <f t="shared" si="71"/>
        <v>0</v>
      </c>
      <c r="CX57" s="65">
        <f t="shared" si="72"/>
        <v>0</v>
      </c>
      <c r="CY57" s="96"/>
      <c r="CZ57" s="97">
        <f t="shared" si="73"/>
        <v>0</v>
      </c>
      <c r="DA57" s="97">
        <f t="shared" si="74"/>
        <v>0</v>
      </c>
      <c r="DB57" s="97">
        <f t="shared" si="75"/>
        <v>0</v>
      </c>
      <c r="DC57" s="96"/>
      <c r="DD57" s="97">
        <f t="shared" si="76"/>
        <v>0</v>
      </c>
      <c r="DE57" s="97">
        <f t="shared" si="77"/>
        <v>0</v>
      </c>
      <c r="DF57" s="97">
        <f t="shared" si="78"/>
        <v>0</v>
      </c>
      <c r="DG57" s="96"/>
      <c r="DH57" s="97">
        <f t="shared" si="79"/>
        <v>0</v>
      </c>
      <c r="DI57" s="97">
        <f t="shared" si="80"/>
        <v>0</v>
      </c>
      <c r="DJ57" s="97">
        <f t="shared" si="81"/>
        <v>0</v>
      </c>
      <c r="DK57" s="96"/>
      <c r="DL57" s="97">
        <f t="shared" si="82"/>
        <v>0</v>
      </c>
      <c r="DM57" s="97">
        <f t="shared" si="83"/>
        <v>0</v>
      </c>
      <c r="DN57" s="97">
        <f t="shared" si="84"/>
        <v>0</v>
      </c>
      <c r="DO57" s="96"/>
      <c r="DP57" s="97">
        <f t="shared" si="85"/>
        <v>0</v>
      </c>
      <c r="DQ57" s="97">
        <f t="shared" si="86"/>
        <v>0</v>
      </c>
      <c r="DR57" s="97">
        <f t="shared" si="87"/>
        <v>0</v>
      </c>
      <c r="DS57" s="96"/>
      <c r="DT57" s="65">
        <f t="shared" si="88"/>
        <v>0</v>
      </c>
      <c r="DU57" s="65">
        <f t="shared" si="89"/>
        <v>0</v>
      </c>
      <c r="DV57" s="65">
        <f t="shared" si="90"/>
        <v>0</v>
      </c>
      <c r="DW57" s="96"/>
      <c r="DX57" s="65">
        <f t="shared" si="91"/>
        <v>0</v>
      </c>
      <c r="DY57" s="65">
        <f t="shared" si="92"/>
        <v>0</v>
      </c>
      <c r="DZ57" s="65">
        <f t="shared" si="93"/>
        <v>0</v>
      </c>
      <c r="EA57" s="96"/>
      <c r="EB57" s="65">
        <f t="shared" si="94"/>
        <v>0</v>
      </c>
      <c r="EC57" s="65">
        <f t="shared" si="95"/>
        <v>0</v>
      </c>
      <c r="ED57" s="65">
        <f t="shared" si="96"/>
        <v>0</v>
      </c>
    </row>
    <row r="58" spans="1:134" x14ac:dyDescent="0.2">
      <c r="A58" s="71"/>
      <c r="B58" s="96" t="s">
        <v>52</v>
      </c>
      <c r="C58" s="96"/>
      <c r="D58" s="97">
        <f t="shared" si="0"/>
        <v>0</v>
      </c>
      <c r="E58" s="97">
        <f t="shared" si="97"/>
        <v>0</v>
      </c>
      <c r="F58" s="97">
        <f t="shared" si="98"/>
        <v>0</v>
      </c>
      <c r="G58" s="96"/>
      <c r="H58" s="97">
        <f t="shared" si="1"/>
        <v>0</v>
      </c>
      <c r="I58" s="97">
        <f t="shared" si="2"/>
        <v>0</v>
      </c>
      <c r="J58" s="97">
        <f t="shared" si="3"/>
        <v>0</v>
      </c>
      <c r="K58" s="96"/>
      <c r="L58" s="97">
        <f t="shared" si="4"/>
        <v>0</v>
      </c>
      <c r="M58" s="97">
        <f t="shared" si="5"/>
        <v>0</v>
      </c>
      <c r="N58" s="97">
        <f t="shared" si="6"/>
        <v>0</v>
      </c>
      <c r="O58" s="96"/>
      <c r="P58" s="97">
        <f t="shared" si="7"/>
        <v>0</v>
      </c>
      <c r="Q58" s="97">
        <f t="shared" si="8"/>
        <v>0</v>
      </c>
      <c r="R58" s="97">
        <f t="shared" si="9"/>
        <v>0</v>
      </c>
      <c r="S58" s="96"/>
      <c r="T58" s="97">
        <f t="shared" si="10"/>
        <v>0</v>
      </c>
      <c r="U58" s="97">
        <f t="shared" si="11"/>
        <v>0</v>
      </c>
      <c r="V58" s="97">
        <f t="shared" si="12"/>
        <v>0</v>
      </c>
      <c r="W58" s="96"/>
      <c r="X58" s="97">
        <f t="shared" si="13"/>
        <v>0</v>
      </c>
      <c r="Y58" s="97">
        <f t="shared" si="14"/>
        <v>0</v>
      </c>
      <c r="Z58" s="97">
        <f t="shared" si="15"/>
        <v>0</v>
      </c>
      <c r="AA58" s="96"/>
      <c r="AB58" s="97">
        <f t="shared" si="16"/>
        <v>0</v>
      </c>
      <c r="AC58" s="97">
        <f t="shared" si="17"/>
        <v>0</v>
      </c>
      <c r="AD58" s="97">
        <f t="shared" si="18"/>
        <v>0</v>
      </c>
      <c r="AE58" s="96"/>
      <c r="AF58" s="97">
        <f t="shared" si="19"/>
        <v>0</v>
      </c>
      <c r="AG58" s="97">
        <f t="shared" si="20"/>
        <v>0</v>
      </c>
      <c r="AH58" s="97">
        <f t="shared" si="21"/>
        <v>0</v>
      </c>
      <c r="AI58" s="96"/>
      <c r="AJ58" s="97">
        <f t="shared" si="22"/>
        <v>0</v>
      </c>
      <c r="AK58" s="97">
        <f t="shared" si="23"/>
        <v>0</v>
      </c>
      <c r="AL58" s="97">
        <f t="shared" si="24"/>
        <v>0</v>
      </c>
      <c r="AM58" s="96"/>
      <c r="AN58" s="97">
        <f t="shared" si="25"/>
        <v>0</v>
      </c>
      <c r="AO58" s="97">
        <f t="shared" si="26"/>
        <v>0</v>
      </c>
      <c r="AP58" s="97">
        <f t="shared" si="27"/>
        <v>0</v>
      </c>
      <c r="AQ58" s="96"/>
      <c r="AR58" s="97">
        <f t="shared" si="28"/>
        <v>0</v>
      </c>
      <c r="AS58" s="97">
        <f t="shared" si="29"/>
        <v>0</v>
      </c>
      <c r="AT58" s="97">
        <f t="shared" si="30"/>
        <v>0</v>
      </c>
      <c r="AU58" s="96"/>
      <c r="AV58" s="97">
        <f t="shared" si="31"/>
        <v>0</v>
      </c>
      <c r="AW58" s="97">
        <f t="shared" si="32"/>
        <v>0</v>
      </c>
      <c r="AX58" s="97">
        <f t="shared" si="33"/>
        <v>0</v>
      </c>
      <c r="AY58" s="96"/>
      <c r="AZ58" s="65">
        <f t="shared" si="34"/>
        <v>0</v>
      </c>
      <c r="BA58" s="65">
        <f t="shared" si="35"/>
        <v>0</v>
      </c>
      <c r="BB58" s="65">
        <f t="shared" si="36"/>
        <v>0</v>
      </c>
      <c r="BC58" s="96"/>
      <c r="BD58" s="65">
        <f t="shared" si="37"/>
        <v>0</v>
      </c>
      <c r="BE58" s="65">
        <f t="shared" si="38"/>
        <v>0</v>
      </c>
      <c r="BF58" s="65">
        <f t="shared" si="39"/>
        <v>0</v>
      </c>
      <c r="BG58" s="96"/>
      <c r="BH58" s="65">
        <f t="shared" si="40"/>
        <v>0</v>
      </c>
      <c r="BI58" s="65">
        <f t="shared" si="41"/>
        <v>0</v>
      </c>
      <c r="BJ58" s="65">
        <f t="shared" si="42"/>
        <v>0</v>
      </c>
      <c r="BK58" s="96"/>
      <c r="BL58" s="97">
        <f t="shared" si="43"/>
        <v>0</v>
      </c>
      <c r="BM58" s="97">
        <f t="shared" si="44"/>
        <v>0</v>
      </c>
      <c r="BN58" s="97">
        <f t="shared" si="45"/>
        <v>0</v>
      </c>
      <c r="BO58" s="96"/>
      <c r="BP58" s="97">
        <f t="shared" si="46"/>
        <v>0</v>
      </c>
      <c r="BQ58" s="97">
        <f t="shared" si="47"/>
        <v>0</v>
      </c>
      <c r="BR58" s="97">
        <f t="shared" si="48"/>
        <v>0</v>
      </c>
      <c r="BS58" s="96"/>
      <c r="BT58" s="97">
        <f t="shared" si="49"/>
        <v>0</v>
      </c>
      <c r="BU58" s="97">
        <f t="shared" si="50"/>
        <v>0</v>
      </c>
      <c r="BV58" s="97">
        <f t="shared" si="51"/>
        <v>0</v>
      </c>
      <c r="BW58" s="96"/>
      <c r="BX58" s="97">
        <f t="shared" si="52"/>
        <v>0</v>
      </c>
      <c r="BY58" s="97">
        <f t="shared" si="53"/>
        <v>0</v>
      </c>
      <c r="BZ58" s="97">
        <f t="shared" si="54"/>
        <v>0</v>
      </c>
      <c r="CA58" s="96"/>
      <c r="CB58" s="97">
        <f t="shared" si="55"/>
        <v>0</v>
      </c>
      <c r="CC58" s="97">
        <f t="shared" si="56"/>
        <v>0</v>
      </c>
      <c r="CD58" s="97">
        <f t="shared" si="57"/>
        <v>0</v>
      </c>
      <c r="CE58" s="96"/>
      <c r="CF58" s="65">
        <f t="shared" si="58"/>
        <v>0</v>
      </c>
      <c r="CG58" s="65">
        <f t="shared" si="59"/>
        <v>0</v>
      </c>
      <c r="CH58" s="65">
        <f t="shared" si="60"/>
        <v>0</v>
      </c>
      <c r="CI58" s="96"/>
      <c r="CJ58" s="65">
        <f t="shared" si="61"/>
        <v>0</v>
      </c>
      <c r="CK58" s="65">
        <f t="shared" si="62"/>
        <v>0</v>
      </c>
      <c r="CL58" s="65">
        <f t="shared" si="63"/>
        <v>0</v>
      </c>
      <c r="CM58" s="96"/>
      <c r="CN58" s="65">
        <f t="shared" si="64"/>
        <v>0</v>
      </c>
      <c r="CO58" s="65">
        <f t="shared" si="65"/>
        <v>0</v>
      </c>
      <c r="CP58" s="65">
        <f t="shared" si="66"/>
        <v>0</v>
      </c>
      <c r="CQ58" s="96"/>
      <c r="CR58" s="65">
        <f t="shared" si="67"/>
        <v>0</v>
      </c>
      <c r="CS58" s="65">
        <f t="shared" si="68"/>
        <v>0</v>
      </c>
      <c r="CT58" s="65">
        <f t="shared" si="69"/>
        <v>0</v>
      </c>
      <c r="CU58" s="96"/>
      <c r="CV58" s="65">
        <f t="shared" si="70"/>
        <v>0</v>
      </c>
      <c r="CW58" s="65">
        <f t="shared" si="71"/>
        <v>0</v>
      </c>
      <c r="CX58" s="65">
        <f t="shared" si="72"/>
        <v>0</v>
      </c>
      <c r="CY58" s="96"/>
      <c r="CZ58" s="97">
        <f t="shared" si="73"/>
        <v>0</v>
      </c>
      <c r="DA58" s="97">
        <f t="shared" si="74"/>
        <v>0</v>
      </c>
      <c r="DB58" s="97">
        <f t="shared" si="75"/>
        <v>0</v>
      </c>
      <c r="DC58" s="96"/>
      <c r="DD58" s="97">
        <f t="shared" si="76"/>
        <v>0</v>
      </c>
      <c r="DE58" s="97">
        <f t="shared" si="77"/>
        <v>0</v>
      </c>
      <c r="DF58" s="97">
        <f t="shared" si="78"/>
        <v>0</v>
      </c>
      <c r="DG58" s="96"/>
      <c r="DH58" s="97">
        <f t="shared" si="79"/>
        <v>0</v>
      </c>
      <c r="DI58" s="97">
        <f t="shared" si="80"/>
        <v>0</v>
      </c>
      <c r="DJ58" s="97">
        <f t="shared" si="81"/>
        <v>0</v>
      </c>
      <c r="DK58" s="96"/>
      <c r="DL58" s="97">
        <f t="shared" si="82"/>
        <v>0</v>
      </c>
      <c r="DM58" s="97">
        <f t="shared" si="83"/>
        <v>0</v>
      </c>
      <c r="DN58" s="97">
        <f t="shared" si="84"/>
        <v>0</v>
      </c>
      <c r="DO58" s="96"/>
      <c r="DP58" s="97">
        <f t="shared" si="85"/>
        <v>0</v>
      </c>
      <c r="DQ58" s="97">
        <f t="shared" si="86"/>
        <v>0</v>
      </c>
      <c r="DR58" s="97">
        <f t="shared" si="87"/>
        <v>0</v>
      </c>
      <c r="DS58" s="96"/>
      <c r="DT58" s="65">
        <f t="shared" si="88"/>
        <v>0</v>
      </c>
      <c r="DU58" s="65">
        <f t="shared" si="89"/>
        <v>0</v>
      </c>
      <c r="DV58" s="65">
        <f t="shared" si="90"/>
        <v>0</v>
      </c>
      <c r="DW58" s="96"/>
      <c r="DX58" s="65">
        <f t="shared" si="91"/>
        <v>0</v>
      </c>
      <c r="DY58" s="65">
        <f t="shared" si="92"/>
        <v>0</v>
      </c>
      <c r="DZ58" s="65">
        <f t="shared" si="93"/>
        <v>0</v>
      </c>
      <c r="EA58" s="96"/>
      <c r="EB58" s="65">
        <f t="shared" si="94"/>
        <v>0</v>
      </c>
      <c r="EC58" s="65">
        <f t="shared" si="95"/>
        <v>0</v>
      </c>
      <c r="ED58" s="65">
        <f t="shared" si="96"/>
        <v>0</v>
      </c>
    </row>
    <row r="59" spans="1:134" x14ac:dyDescent="0.2">
      <c r="A59" s="71"/>
      <c r="B59" s="96" t="s">
        <v>52</v>
      </c>
      <c r="C59" s="96"/>
      <c r="D59" s="97">
        <f t="shared" si="0"/>
        <v>0</v>
      </c>
      <c r="E59" s="97">
        <f t="shared" si="97"/>
        <v>0</v>
      </c>
      <c r="F59" s="97">
        <f t="shared" si="98"/>
        <v>0</v>
      </c>
      <c r="G59" s="96"/>
      <c r="H59" s="97">
        <f t="shared" si="1"/>
        <v>0</v>
      </c>
      <c r="I59" s="97">
        <f t="shared" si="2"/>
        <v>0</v>
      </c>
      <c r="J59" s="97">
        <f t="shared" si="3"/>
        <v>0</v>
      </c>
      <c r="K59" s="96"/>
      <c r="L59" s="97">
        <f t="shared" si="4"/>
        <v>0</v>
      </c>
      <c r="M59" s="97">
        <f t="shared" si="5"/>
        <v>0</v>
      </c>
      <c r="N59" s="97">
        <f t="shared" si="6"/>
        <v>0</v>
      </c>
      <c r="O59" s="96"/>
      <c r="P59" s="97">
        <f t="shared" si="7"/>
        <v>0</v>
      </c>
      <c r="Q59" s="97">
        <f t="shared" si="8"/>
        <v>0</v>
      </c>
      <c r="R59" s="97">
        <f t="shared" si="9"/>
        <v>0</v>
      </c>
      <c r="S59" s="96"/>
      <c r="T59" s="97">
        <f t="shared" si="10"/>
        <v>0</v>
      </c>
      <c r="U59" s="97">
        <f t="shared" si="11"/>
        <v>0</v>
      </c>
      <c r="V59" s="97">
        <f t="shared" si="12"/>
        <v>0</v>
      </c>
      <c r="W59" s="96"/>
      <c r="X59" s="97">
        <f t="shared" si="13"/>
        <v>0</v>
      </c>
      <c r="Y59" s="97">
        <f t="shared" si="14"/>
        <v>0</v>
      </c>
      <c r="Z59" s="97">
        <f t="shared" si="15"/>
        <v>0</v>
      </c>
      <c r="AA59" s="96"/>
      <c r="AB59" s="97">
        <f t="shared" si="16"/>
        <v>0</v>
      </c>
      <c r="AC59" s="97">
        <f t="shared" si="17"/>
        <v>0</v>
      </c>
      <c r="AD59" s="97">
        <f t="shared" si="18"/>
        <v>0</v>
      </c>
      <c r="AE59" s="96"/>
      <c r="AF59" s="97">
        <f t="shared" si="19"/>
        <v>0</v>
      </c>
      <c r="AG59" s="97">
        <f t="shared" si="20"/>
        <v>0</v>
      </c>
      <c r="AH59" s="97">
        <f t="shared" si="21"/>
        <v>0</v>
      </c>
      <c r="AI59" s="96"/>
      <c r="AJ59" s="97">
        <f t="shared" si="22"/>
        <v>0</v>
      </c>
      <c r="AK59" s="97">
        <f t="shared" si="23"/>
        <v>0</v>
      </c>
      <c r="AL59" s="97">
        <f t="shared" si="24"/>
        <v>0</v>
      </c>
      <c r="AM59" s="96"/>
      <c r="AN59" s="97">
        <f t="shared" si="25"/>
        <v>0</v>
      </c>
      <c r="AO59" s="97">
        <f t="shared" si="26"/>
        <v>0</v>
      </c>
      <c r="AP59" s="97">
        <f t="shared" si="27"/>
        <v>0</v>
      </c>
      <c r="AQ59" s="96"/>
      <c r="AR59" s="97">
        <f t="shared" si="28"/>
        <v>0</v>
      </c>
      <c r="AS59" s="97">
        <f t="shared" si="29"/>
        <v>0</v>
      </c>
      <c r="AT59" s="97">
        <f t="shared" si="30"/>
        <v>0</v>
      </c>
      <c r="AU59" s="96"/>
      <c r="AV59" s="97">
        <f t="shared" si="31"/>
        <v>0</v>
      </c>
      <c r="AW59" s="97">
        <f t="shared" si="32"/>
        <v>0</v>
      </c>
      <c r="AX59" s="97">
        <f t="shared" si="33"/>
        <v>0</v>
      </c>
      <c r="AY59" s="96"/>
      <c r="AZ59" s="65">
        <f t="shared" si="34"/>
        <v>0</v>
      </c>
      <c r="BA59" s="65">
        <f t="shared" si="35"/>
        <v>0</v>
      </c>
      <c r="BB59" s="65">
        <f t="shared" si="36"/>
        <v>0</v>
      </c>
      <c r="BC59" s="96"/>
      <c r="BD59" s="65">
        <f t="shared" si="37"/>
        <v>0</v>
      </c>
      <c r="BE59" s="65">
        <f t="shared" si="38"/>
        <v>0</v>
      </c>
      <c r="BF59" s="65">
        <f t="shared" si="39"/>
        <v>0</v>
      </c>
      <c r="BG59" s="96"/>
      <c r="BH59" s="65">
        <f t="shared" si="40"/>
        <v>0</v>
      </c>
      <c r="BI59" s="65">
        <f t="shared" si="41"/>
        <v>0</v>
      </c>
      <c r="BJ59" s="65">
        <f t="shared" si="42"/>
        <v>0</v>
      </c>
      <c r="BK59" s="96"/>
      <c r="BL59" s="97">
        <f t="shared" si="43"/>
        <v>0</v>
      </c>
      <c r="BM59" s="97">
        <f t="shared" si="44"/>
        <v>0</v>
      </c>
      <c r="BN59" s="97">
        <f t="shared" si="45"/>
        <v>0</v>
      </c>
      <c r="BO59" s="96"/>
      <c r="BP59" s="97">
        <f t="shared" si="46"/>
        <v>0</v>
      </c>
      <c r="BQ59" s="97">
        <f t="shared" si="47"/>
        <v>0</v>
      </c>
      <c r="BR59" s="97">
        <f t="shared" si="48"/>
        <v>0</v>
      </c>
      <c r="BS59" s="96"/>
      <c r="BT59" s="97">
        <f t="shared" si="49"/>
        <v>0</v>
      </c>
      <c r="BU59" s="97">
        <f t="shared" si="50"/>
        <v>0</v>
      </c>
      <c r="BV59" s="97">
        <f t="shared" si="51"/>
        <v>0</v>
      </c>
      <c r="BW59" s="96"/>
      <c r="BX59" s="97">
        <f t="shared" si="52"/>
        <v>0</v>
      </c>
      <c r="BY59" s="97">
        <f t="shared" si="53"/>
        <v>0</v>
      </c>
      <c r="BZ59" s="97">
        <f t="shared" si="54"/>
        <v>0</v>
      </c>
      <c r="CA59" s="96"/>
      <c r="CB59" s="97">
        <f t="shared" si="55"/>
        <v>0</v>
      </c>
      <c r="CC59" s="97">
        <f t="shared" si="56"/>
        <v>0</v>
      </c>
      <c r="CD59" s="97">
        <f t="shared" si="57"/>
        <v>0</v>
      </c>
      <c r="CE59" s="96"/>
      <c r="CF59" s="65">
        <f t="shared" si="58"/>
        <v>0</v>
      </c>
      <c r="CG59" s="65">
        <f t="shared" si="59"/>
        <v>0</v>
      </c>
      <c r="CH59" s="65">
        <f t="shared" si="60"/>
        <v>0</v>
      </c>
      <c r="CI59" s="96"/>
      <c r="CJ59" s="65">
        <f t="shared" si="61"/>
        <v>0</v>
      </c>
      <c r="CK59" s="65">
        <f t="shared" si="62"/>
        <v>0</v>
      </c>
      <c r="CL59" s="65">
        <f t="shared" si="63"/>
        <v>0</v>
      </c>
      <c r="CM59" s="96"/>
      <c r="CN59" s="65">
        <f t="shared" si="64"/>
        <v>0</v>
      </c>
      <c r="CO59" s="65">
        <f t="shared" si="65"/>
        <v>0</v>
      </c>
      <c r="CP59" s="65">
        <f t="shared" si="66"/>
        <v>0</v>
      </c>
      <c r="CQ59" s="96"/>
      <c r="CR59" s="65">
        <f t="shared" si="67"/>
        <v>0</v>
      </c>
      <c r="CS59" s="65">
        <f t="shared" si="68"/>
        <v>0</v>
      </c>
      <c r="CT59" s="65">
        <f t="shared" si="69"/>
        <v>0</v>
      </c>
      <c r="CU59" s="96"/>
      <c r="CV59" s="65">
        <f t="shared" si="70"/>
        <v>0</v>
      </c>
      <c r="CW59" s="65">
        <f t="shared" si="71"/>
        <v>0</v>
      </c>
      <c r="CX59" s="65">
        <f t="shared" si="72"/>
        <v>0</v>
      </c>
      <c r="CY59" s="96"/>
      <c r="CZ59" s="97">
        <f t="shared" si="73"/>
        <v>0</v>
      </c>
      <c r="DA59" s="97">
        <f t="shared" si="74"/>
        <v>0</v>
      </c>
      <c r="DB59" s="97">
        <f t="shared" si="75"/>
        <v>0</v>
      </c>
      <c r="DC59" s="96"/>
      <c r="DD59" s="97">
        <f t="shared" si="76"/>
        <v>0</v>
      </c>
      <c r="DE59" s="97">
        <f t="shared" si="77"/>
        <v>0</v>
      </c>
      <c r="DF59" s="97">
        <f t="shared" si="78"/>
        <v>0</v>
      </c>
      <c r="DG59" s="96"/>
      <c r="DH59" s="97">
        <f t="shared" si="79"/>
        <v>0</v>
      </c>
      <c r="DI59" s="97">
        <f t="shared" si="80"/>
        <v>0</v>
      </c>
      <c r="DJ59" s="97">
        <f t="shared" si="81"/>
        <v>0</v>
      </c>
      <c r="DK59" s="96"/>
      <c r="DL59" s="97">
        <f t="shared" si="82"/>
        <v>0</v>
      </c>
      <c r="DM59" s="97">
        <f t="shared" si="83"/>
        <v>0</v>
      </c>
      <c r="DN59" s="97">
        <f t="shared" si="84"/>
        <v>0</v>
      </c>
      <c r="DO59" s="96"/>
      <c r="DP59" s="97">
        <f t="shared" si="85"/>
        <v>0</v>
      </c>
      <c r="DQ59" s="97">
        <f t="shared" si="86"/>
        <v>0</v>
      </c>
      <c r="DR59" s="97">
        <f t="shared" si="87"/>
        <v>0</v>
      </c>
      <c r="DS59" s="96"/>
      <c r="DT59" s="65">
        <f t="shared" si="88"/>
        <v>0</v>
      </c>
      <c r="DU59" s="65">
        <f t="shared" si="89"/>
        <v>0</v>
      </c>
      <c r="DV59" s="65">
        <f t="shared" si="90"/>
        <v>0</v>
      </c>
      <c r="DW59" s="96"/>
      <c r="DX59" s="65">
        <f t="shared" si="91"/>
        <v>0</v>
      </c>
      <c r="DY59" s="65">
        <f t="shared" si="92"/>
        <v>0</v>
      </c>
      <c r="DZ59" s="65">
        <f t="shared" si="93"/>
        <v>0</v>
      </c>
      <c r="EA59" s="96"/>
      <c r="EB59" s="65">
        <f t="shared" si="94"/>
        <v>0</v>
      </c>
      <c r="EC59" s="65">
        <f t="shared" si="95"/>
        <v>0</v>
      </c>
      <c r="ED59" s="65">
        <f t="shared" si="96"/>
        <v>0</v>
      </c>
    </row>
    <row r="60" spans="1:134" x14ac:dyDescent="0.2">
      <c r="A60" s="71"/>
      <c r="B60" s="96" t="s">
        <v>52</v>
      </c>
      <c r="C60" s="96"/>
      <c r="D60" s="97">
        <f t="shared" si="0"/>
        <v>0</v>
      </c>
      <c r="E60" s="97">
        <f t="shared" si="97"/>
        <v>0</v>
      </c>
      <c r="F60" s="97">
        <f t="shared" si="98"/>
        <v>0</v>
      </c>
      <c r="G60" s="96"/>
      <c r="H60" s="97">
        <f t="shared" si="1"/>
        <v>0</v>
      </c>
      <c r="I60" s="97">
        <f t="shared" si="2"/>
        <v>0</v>
      </c>
      <c r="J60" s="97">
        <f t="shared" si="3"/>
        <v>0</v>
      </c>
      <c r="K60" s="96"/>
      <c r="L60" s="97">
        <f t="shared" si="4"/>
        <v>0</v>
      </c>
      <c r="M60" s="97">
        <f t="shared" si="5"/>
        <v>0</v>
      </c>
      <c r="N60" s="97">
        <f t="shared" si="6"/>
        <v>0</v>
      </c>
      <c r="O60" s="96"/>
      <c r="P60" s="97">
        <f t="shared" si="7"/>
        <v>0</v>
      </c>
      <c r="Q60" s="97">
        <f t="shared" si="8"/>
        <v>0</v>
      </c>
      <c r="R60" s="97">
        <f t="shared" si="9"/>
        <v>0</v>
      </c>
      <c r="S60" s="96"/>
      <c r="T60" s="97">
        <f t="shared" si="10"/>
        <v>0</v>
      </c>
      <c r="U60" s="97">
        <f t="shared" si="11"/>
        <v>0</v>
      </c>
      <c r="V60" s="97">
        <f t="shared" si="12"/>
        <v>0</v>
      </c>
      <c r="W60" s="96"/>
      <c r="X60" s="97">
        <f t="shared" si="13"/>
        <v>0</v>
      </c>
      <c r="Y60" s="97">
        <f t="shared" si="14"/>
        <v>0</v>
      </c>
      <c r="Z60" s="97">
        <f t="shared" si="15"/>
        <v>0</v>
      </c>
      <c r="AA60" s="96"/>
      <c r="AB60" s="97">
        <f t="shared" si="16"/>
        <v>0</v>
      </c>
      <c r="AC60" s="97">
        <f t="shared" si="17"/>
        <v>0</v>
      </c>
      <c r="AD60" s="97">
        <f t="shared" si="18"/>
        <v>0</v>
      </c>
      <c r="AE60" s="96"/>
      <c r="AF60" s="97">
        <f t="shared" si="19"/>
        <v>0</v>
      </c>
      <c r="AG60" s="97">
        <f t="shared" si="20"/>
        <v>0</v>
      </c>
      <c r="AH60" s="97">
        <f t="shared" si="21"/>
        <v>0</v>
      </c>
      <c r="AI60" s="96"/>
      <c r="AJ60" s="97">
        <f t="shared" si="22"/>
        <v>0</v>
      </c>
      <c r="AK60" s="97">
        <f t="shared" si="23"/>
        <v>0</v>
      </c>
      <c r="AL60" s="97">
        <f t="shared" si="24"/>
        <v>0</v>
      </c>
      <c r="AM60" s="96"/>
      <c r="AN60" s="97">
        <f t="shared" si="25"/>
        <v>0</v>
      </c>
      <c r="AO60" s="97">
        <f t="shared" si="26"/>
        <v>0</v>
      </c>
      <c r="AP60" s="97">
        <f t="shared" si="27"/>
        <v>0</v>
      </c>
      <c r="AQ60" s="96"/>
      <c r="AR60" s="97">
        <f t="shared" si="28"/>
        <v>0</v>
      </c>
      <c r="AS60" s="97">
        <f t="shared" si="29"/>
        <v>0</v>
      </c>
      <c r="AT60" s="97">
        <f t="shared" si="30"/>
        <v>0</v>
      </c>
      <c r="AU60" s="96"/>
      <c r="AV60" s="97">
        <f t="shared" si="31"/>
        <v>0</v>
      </c>
      <c r="AW60" s="97">
        <f t="shared" si="32"/>
        <v>0</v>
      </c>
      <c r="AX60" s="97">
        <f t="shared" si="33"/>
        <v>0</v>
      </c>
      <c r="AY60" s="96"/>
      <c r="AZ60" s="65">
        <f t="shared" si="34"/>
        <v>0</v>
      </c>
      <c r="BA60" s="65">
        <f t="shared" si="35"/>
        <v>0</v>
      </c>
      <c r="BB60" s="65">
        <f t="shared" si="36"/>
        <v>0</v>
      </c>
      <c r="BC60" s="96"/>
      <c r="BD60" s="65">
        <f t="shared" si="37"/>
        <v>0</v>
      </c>
      <c r="BE60" s="65">
        <f t="shared" si="38"/>
        <v>0</v>
      </c>
      <c r="BF60" s="65">
        <f t="shared" si="39"/>
        <v>0</v>
      </c>
      <c r="BG60" s="96"/>
      <c r="BH60" s="65">
        <f t="shared" si="40"/>
        <v>0</v>
      </c>
      <c r="BI60" s="65">
        <f t="shared" si="41"/>
        <v>0</v>
      </c>
      <c r="BJ60" s="65">
        <f t="shared" si="42"/>
        <v>0</v>
      </c>
      <c r="BK60" s="96"/>
      <c r="BL60" s="97">
        <f t="shared" si="43"/>
        <v>0</v>
      </c>
      <c r="BM60" s="97">
        <f t="shared" si="44"/>
        <v>0</v>
      </c>
      <c r="BN60" s="97">
        <f t="shared" si="45"/>
        <v>0</v>
      </c>
      <c r="BO60" s="96"/>
      <c r="BP60" s="97">
        <f t="shared" si="46"/>
        <v>0</v>
      </c>
      <c r="BQ60" s="97">
        <f t="shared" si="47"/>
        <v>0</v>
      </c>
      <c r="BR60" s="97">
        <f t="shared" si="48"/>
        <v>0</v>
      </c>
      <c r="BS60" s="96"/>
      <c r="BT60" s="97">
        <f t="shared" si="49"/>
        <v>0</v>
      </c>
      <c r="BU60" s="97">
        <f t="shared" si="50"/>
        <v>0</v>
      </c>
      <c r="BV60" s="97">
        <f t="shared" si="51"/>
        <v>0</v>
      </c>
      <c r="BW60" s="96"/>
      <c r="BX60" s="97">
        <f t="shared" si="52"/>
        <v>0</v>
      </c>
      <c r="BY60" s="97">
        <f t="shared" si="53"/>
        <v>0</v>
      </c>
      <c r="BZ60" s="97">
        <f t="shared" si="54"/>
        <v>0</v>
      </c>
      <c r="CA60" s="96"/>
      <c r="CB60" s="97">
        <f t="shared" si="55"/>
        <v>0</v>
      </c>
      <c r="CC60" s="97">
        <f t="shared" si="56"/>
        <v>0</v>
      </c>
      <c r="CD60" s="97">
        <f t="shared" si="57"/>
        <v>0</v>
      </c>
      <c r="CE60" s="96"/>
      <c r="CF60" s="65">
        <f t="shared" si="58"/>
        <v>0</v>
      </c>
      <c r="CG60" s="65">
        <f t="shared" si="59"/>
        <v>0</v>
      </c>
      <c r="CH60" s="65">
        <f t="shared" si="60"/>
        <v>0</v>
      </c>
      <c r="CI60" s="96"/>
      <c r="CJ60" s="65">
        <f t="shared" si="61"/>
        <v>0</v>
      </c>
      <c r="CK60" s="65">
        <f t="shared" si="62"/>
        <v>0</v>
      </c>
      <c r="CL60" s="65">
        <f t="shared" si="63"/>
        <v>0</v>
      </c>
      <c r="CM60" s="96"/>
      <c r="CN60" s="65">
        <f t="shared" si="64"/>
        <v>0</v>
      </c>
      <c r="CO60" s="65">
        <f t="shared" si="65"/>
        <v>0</v>
      </c>
      <c r="CP60" s="65">
        <f t="shared" si="66"/>
        <v>0</v>
      </c>
      <c r="CQ60" s="96"/>
      <c r="CR60" s="65">
        <f t="shared" si="67"/>
        <v>0</v>
      </c>
      <c r="CS60" s="65">
        <f t="shared" si="68"/>
        <v>0</v>
      </c>
      <c r="CT60" s="65">
        <f t="shared" si="69"/>
        <v>0</v>
      </c>
      <c r="CU60" s="96"/>
      <c r="CV60" s="65">
        <f t="shared" si="70"/>
        <v>0</v>
      </c>
      <c r="CW60" s="65">
        <f t="shared" si="71"/>
        <v>0</v>
      </c>
      <c r="CX60" s="65">
        <f t="shared" si="72"/>
        <v>0</v>
      </c>
      <c r="CY60" s="96"/>
      <c r="CZ60" s="97">
        <f t="shared" si="73"/>
        <v>0</v>
      </c>
      <c r="DA60" s="97">
        <f t="shared" si="74"/>
        <v>0</v>
      </c>
      <c r="DB60" s="97">
        <f t="shared" si="75"/>
        <v>0</v>
      </c>
      <c r="DC60" s="96"/>
      <c r="DD60" s="97">
        <f t="shared" si="76"/>
        <v>0</v>
      </c>
      <c r="DE60" s="97">
        <f t="shared" si="77"/>
        <v>0</v>
      </c>
      <c r="DF60" s="97">
        <f t="shared" si="78"/>
        <v>0</v>
      </c>
      <c r="DG60" s="96"/>
      <c r="DH60" s="97">
        <f t="shared" si="79"/>
        <v>0</v>
      </c>
      <c r="DI60" s="97">
        <f t="shared" si="80"/>
        <v>0</v>
      </c>
      <c r="DJ60" s="97">
        <f t="shared" si="81"/>
        <v>0</v>
      </c>
      <c r="DK60" s="96"/>
      <c r="DL60" s="97">
        <f t="shared" si="82"/>
        <v>0</v>
      </c>
      <c r="DM60" s="97">
        <f t="shared" si="83"/>
        <v>0</v>
      </c>
      <c r="DN60" s="97">
        <f t="shared" si="84"/>
        <v>0</v>
      </c>
      <c r="DO60" s="96"/>
      <c r="DP60" s="97">
        <f t="shared" si="85"/>
        <v>0</v>
      </c>
      <c r="DQ60" s="97">
        <f t="shared" si="86"/>
        <v>0</v>
      </c>
      <c r="DR60" s="97">
        <f t="shared" si="87"/>
        <v>0</v>
      </c>
      <c r="DS60" s="96"/>
      <c r="DT60" s="65">
        <f t="shared" si="88"/>
        <v>0</v>
      </c>
      <c r="DU60" s="65">
        <f t="shared" si="89"/>
        <v>0</v>
      </c>
      <c r="DV60" s="65">
        <f t="shared" si="90"/>
        <v>0</v>
      </c>
      <c r="DW60" s="96"/>
      <c r="DX60" s="65">
        <f t="shared" si="91"/>
        <v>0</v>
      </c>
      <c r="DY60" s="65">
        <f t="shared" si="92"/>
        <v>0</v>
      </c>
      <c r="DZ60" s="65">
        <f t="shared" si="93"/>
        <v>0</v>
      </c>
      <c r="EA60" s="96"/>
      <c r="EB60" s="65">
        <f t="shared" si="94"/>
        <v>0</v>
      </c>
      <c r="EC60" s="65">
        <f t="shared" si="95"/>
        <v>0</v>
      </c>
      <c r="ED60" s="65">
        <f t="shared" si="96"/>
        <v>0</v>
      </c>
    </row>
    <row r="61" spans="1:134" x14ac:dyDescent="0.2">
      <c r="A61" s="71"/>
      <c r="B61" s="96" t="s">
        <v>52</v>
      </c>
      <c r="C61" s="96"/>
      <c r="D61" s="97">
        <f t="shared" si="0"/>
        <v>0</v>
      </c>
      <c r="E61" s="97">
        <f t="shared" si="97"/>
        <v>0</v>
      </c>
      <c r="F61" s="97">
        <f t="shared" si="98"/>
        <v>0</v>
      </c>
      <c r="G61" s="96"/>
      <c r="H61" s="97">
        <f t="shared" si="1"/>
        <v>0</v>
      </c>
      <c r="I61" s="97">
        <f t="shared" si="2"/>
        <v>0</v>
      </c>
      <c r="J61" s="97">
        <f t="shared" si="3"/>
        <v>0</v>
      </c>
      <c r="K61" s="96"/>
      <c r="L61" s="97">
        <f t="shared" si="4"/>
        <v>0</v>
      </c>
      <c r="M61" s="97">
        <f t="shared" si="5"/>
        <v>0</v>
      </c>
      <c r="N61" s="97">
        <f t="shared" si="6"/>
        <v>0</v>
      </c>
      <c r="O61" s="96"/>
      <c r="P61" s="97">
        <f t="shared" si="7"/>
        <v>0</v>
      </c>
      <c r="Q61" s="97">
        <f t="shared" si="8"/>
        <v>0</v>
      </c>
      <c r="R61" s="97">
        <f t="shared" si="9"/>
        <v>0</v>
      </c>
      <c r="S61" s="96"/>
      <c r="T61" s="97">
        <f t="shared" si="10"/>
        <v>0</v>
      </c>
      <c r="U61" s="97">
        <f t="shared" si="11"/>
        <v>0</v>
      </c>
      <c r="V61" s="97">
        <f t="shared" si="12"/>
        <v>0</v>
      </c>
      <c r="W61" s="96"/>
      <c r="X61" s="97">
        <f t="shared" si="13"/>
        <v>0</v>
      </c>
      <c r="Y61" s="97">
        <f t="shared" si="14"/>
        <v>0</v>
      </c>
      <c r="Z61" s="97">
        <f t="shared" si="15"/>
        <v>0</v>
      </c>
      <c r="AA61" s="96"/>
      <c r="AB61" s="97">
        <f t="shared" si="16"/>
        <v>0</v>
      </c>
      <c r="AC61" s="97">
        <f t="shared" si="17"/>
        <v>0</v>
      </c>
      <c r="AD61" s="97">
        <f t="shared" si="18"/>
        <v>0</v>
      </c>
      <c r="AE61" s="96"/>
      <c r="AF61" s="97">
        <f t="shared" si="19"/>
        <v>0</v>
      </c>
      <c r="AG61" s="97">
        <f t="shared" si="20"/>
        <v>0</v>
      </c>
      <c r="AH61" s="97">
        <f t="shared" si="21"/>
        <v>0</v>
      </c>
      <c r="AI61" s="96"/>
      <c r="AJ61" s="97">
        <f t="shared" si="22"/>
        <v>0</v>
      </c>
      <c r="AK61" s="97">
        <f t="shared" si="23"/>
        <v>0</v>
      </c>
      <c r="AL61" s="97">
        <f t="shared" si="24"/>
        <v>0</v>
      </c>
      <c r="AM61" s="96"/>
      <c r="AN61" s="97">
        <f t="shared" si="25"/>
        <v>0</v>
      </c>
      <c r="AO61" s="97">
        <f t="shared" si="26"/>
        <v>0</v>
      </c>
      <c r="AP61" s="97">
        <f t="shared" si="27"/>
        <v>0</v>
      </c>
      <c r="AQ61" s="96"/>
      <c r="AR61" s="97">
        <f t="shared" si="28"/>
        <v>0</v>
      </c>
      <c r="AS61" s="97">
        <f t="shared" si="29"/>
        <v>0</v>
      </c>
      <c r="AT61" s="97">
        <f t="shared" si="30"/>
        <v>0</v>
      </c>
      <c r="AU61" s="96"/>
      <c r="AV61" s="97">
        <f t="shared" si="31"/>
        <v>0</v>
      </c>
      <c r="AW61" s="97">
        <f t="shared" si="32"/>
        <v>0</v>
      </c>
      <c r="AX61" s="97">
        <f t="shared" si="33"/>
        <v>0</v>
      </c>
      <c r="AY61" s="96"/>
      <c r="AZ61" s="65">
        <f t="shared" si="34"/>
        <v>0</v>
      </c>
      <c r="BA61" s="65">
        <f t="shared" si="35"/>
        <v>0</v>
      </c>
      <c r="BB61" s="65">
        <f t="shared" si="36"/>
        <v>0</v>
      </c>
      <c r="BC61" s="96"/>
      <c r="BD61" s="65">
        <f t="shared" si="37"/>
        <v>0</v>
      </c>
      <c r="BE61" s="65">
        <f t="shared" si="38"/>
        <v>0</v>
      </c>
      <c r="BF61" s="65">
        <f t="shared" si="39"/>
        <v>0</v>
      </c>
      <c r="BG61" s="96"/>
      <c r="BH61" s="65">
        <f t="shared" si="40"/>
        <v>0</v>
      </c>
      <c r="BI61" s="65">
        <f t="shared" si="41"/>
        <v>0</v>
      </c>
      <c r="BJ61" s="65">
        <f t="shared" si="42"/>
        <v>0</v>
      </c>
      <c r="BK61" s="96"/>
      <c r="BL61" s="97">
        <f t="shared" si="43"/>
        <v>0</v>
      </c>
      <c r="BM61" s="97">
        <f t="shared" si="44"/>
        <v>0</v>
      </c>
      <c r="BN61" s="97">
        <f t="shared" si="45"/>
        <v>0</v>
      </c>
      <c r="BO61" s="96"/>
      <c r="BP61" s="97">
        <f t="shared" si="46"/>
        <v>0</v>
      </c>
      <c r="BQ61" s="97">
        <f t="shared" si="47"/>
        <v>0</v>
      </c>
      <c r="BR61" s="97">
        <f t="shared" si="48"/>
        <v>0</v>
      </c>
      <c r="BS61" s="96"/>
      <c r="BT61" s="97">
        <f t="shared" si="49"/>
        <v>0</v>
      </c>
      <c r="BU61" s="97">
        <f t="shared" si="50"/>
        <v>0</v>
      </c>
      <c r="BV61" s="97">
        <f t="shared" si="51"/>
        <v>0</v>
      </c>
      <c r="BW61" s="96"/>
      <c r="BX61" s="97">
        <f t="shared" si="52"/>
        <v>0</v>
      </c>
      <c r="BY61" s="97">
        <f t="shared" si="53"/>
        <v>0</v>
      </c>
      <c r="BZ61" s="97">
        <f t="shared" si="54"/>
        <v>0</v>
      </c>
      <c r="CA61" s="96"/>
      <c r="CB61" s="97">
        <f t="shared" si="55"/>
        <v>0</v>
      </c>
      <c r="CC61" s="97">
        <f t="shared" si="56"/>
        <v>0</v>
      </c>
      <c r="CD61" s="97">
        <f t="shared" si="57"/>
        <v>0</v>
      </c>
      <c r="CE61" s="96"/>
      <c r="CF61" s="65">
        <f t="shared" si="58"/>
        <v>0</v>
      </c>
      <c r="CG61" s="65">
        <f t="shared" si="59"/>
        <v>0</v>
      </c>
      <c r="CH61" s="65">
        <f t="shared" si="60"/>
        <v>0</v>
      </c>
      <c r="CI61" s="96"/>
      <c r="CJ61" s="65">
        <f t="shared" si="61"/>
        <v>0</v>
      </c>
      <c r="CK61" s="65">
        <f t="shared" si="62"/>
        <v>0</v>
      </c>
      <c r="CL61" s="65">
        <f t="shared" si="63"/>
        <v>0</v>
      </c>
      <c r="CM61" s="96"/>
      <c r="CN61" s="65">
        <f t="shared" si="64"/>
        <v>0</v>
      </c>
      <c r="CO61" s="65">
        <f t="shared" si="65"/>
        <v>0</v>
      </c>
      <c r="CP61" s="65">
        <f t="shared" si="66"/>
        <v>0</v>
      </c>
      <c r="CQ61" s="96"/>
      <c r="CR61" s="65">
        <f t="shared" si="67"/>
        <v>0</v>
      </c>
      <c r="CS61" s="65">
        <f t="shared" si="68"/>
        <v>0</v>
      </c>
      <c r="CT61" s="65">
        <f t="shared" si="69"/>
        <v>0</v>
      </c>
      <c r="CU61" s="96"/>
      <c r="CV61" s="65">
        <f t="shared" si="70"/>
        <v>0</v>
      </c>
      <c r="CW61" s="65">
        <f t="shared" si="71"/>
        <v>0</v>
      </c>
      <c r="CX61" s="65">
        <f t="shared" si="72"/>
        <v>0</v>
      </c>
      <c r="CY61" s="96"/>
      <c r="CZ61" s="97">
        <f t="shared" si="73"/>
        <v>0</v>
      </c>
      <c r="DA61" s="97">
        <f t="shared" si="74"/>
        <v>0</v>
      </c>
      <c r="DB61" s="97">
        <f t="shared" si="75"/>
        <v>0</v>
      </c>
      <c r="DC61" s="96"/>
      <c r="DD61" s="97">
        <f t="shared" si="76"/>
        <v>0</v>
      </c>
      <c r="DE61" s="97">
        <f t="shared" si="77"/>
        <v>0</v>
      </c>
      <c r="DF61" s="97">
        <f t="shared" si="78"/>
        <v>0</v>
      </c>
      <c r="DG61" s="96"/>
      <c r="DH61" s="97">
        <f t="shared" si="79"/>
        <v>0</v>
      </c>
      <c r="DI61" s="97">
        <f t="shared" si="80"/>
        <v>0</v>
      </c>
      <c r="DJ61" s="97">
        <f t="shared" si="81"/>
        <v>0</v>
      </c>
      <c r="DK61" s="96"/>
      <c r="DL61" s="97">
        <f t="shared" si="82"/>
        <v>0</v>
      </c>
      <c r="DM61" s="97">
        <f t="shared" si="83"/>
        <v>0</v>
      </c>
      <c r="DN61" s="97">
        <f t="shared" si="84"/>
        <v>0</v>
      </c>
      <c r="DO61" s="96"/>
      <c r="DP61" s="97">
        <f t="shared" si="85"/>
        <v>0</v>
      </c>
      <c r="DQ61" s="97">
        <f t="shared" si="86"/>
        <v>0</v>
      </c>
      <c r="DR61" s="97">
        <f t="shared" si="87"/>
        <v>0</v>
      </c>
      <c r="DS61" s="96"/>
      <c r="DT61" s="65">
        <f t="shared" si="88"/>
        <v>0</v>
      </c>
      <c r="DU61" s="65">
        <f t="shared" si="89"/>
        <v>0</v>
      </c>
      <c r="DV61" s="65">
        <f t="shared" si="90"/>
        <v>0</v>
      </c>
      <c r="DW61" s="96"/>
      <c r="DX61" s="65">
        <f t="shared" si="91"/>
        <v>0</v>
      </c>
      <c r="DY61" s="65">
        <f t="shared" si="92"/>
        <v>0</v>
      </c>
      <c r="DZ61" s="65">
        <f t="shared" si="93"/>
        <v>0</v>
      </c>
      <c r="EA61" s="96"/>
      <c r="EB61" s="65">
        <f t="shared" si="94"/>
        <v>0</v>
      </c>
      <c r="EC61" s="65">
        <f t="shared" si="95"/>
        <v>0</v>
      </c>
      <c r="ED61" s="65">
        <f t="shared" si="96"/>
        <v>0</v>
      </c>
    </row>
    <row r="62" spans="1:134" x14ac:dyDescent="0.2">
      <c r="A62" s="71"/>
      <c r="B62" s="96" t="s">
        <v>52</v>
      </c>
      <c r="C62" s="96"/>
      <c r="D62" s="97">
        <f t="shared" si="0"/>
        <v>0</v>
      </c>
      <c r="E62" s="97">
        <f t="shared" si="97"/>
        <v>0</v>
      </c>
      <c r="F62" s="97">
        <f t="shared" si="98"/>
        <v>0</v>
      </c>
      <c r="G62" s="96"/>
      <c r="H62" s="97">
        <f t="shared" si="1"/>
        <v>0</v>
      </c>
      <c r="I62" s="97">
        <f t="shared" si="2"/>
        <v>0</v>
      </c>
      <c r="J62" s="97">
        <f t="shared" si="3"/>
        <v>0</v>
      </c>
      <c r="K62" s="96"/>
      <c r="L62" s="97">
        <f t="shared" si="4"/>
        <v>0</v>
      </c>
      <c r="M62" s="97">
        <f t="shared" si="5"/>
        <v>0</v>
      </c>
      <c r="N62" s="97">
        <f t="shared" si="6"/>
        <v>0</v>
      </c>
      <c r="O62" s="96"/>
      <c r="P62" s="97">
        <f t="shared" si="7"/>
        <v>0</v>
      </c>
      <c r="Q62" s="97">
        <f t="shared" si="8"/>
        <v>0</v>
      </c>
      <c r="R62" s="97">
        <f t="shared" si="9"/>
        <v>0</v>
      </c>
      <c r="S62" s="96"/>
      <c r="T62" s="97">
        <f t="shared" si="10"/>
        <v>0</v>
      </c>
      <c r="U62" s="97">
        <f t="shared" si="11"/>
        <v>0</v>
      </c>
      <c r="V62" s="97">
        <f t="shared" si="12"/>
        <v>0</v>
      </c>
      <c r="W62" s="96"/>
      <c r="X62" s="97">
        <f t="shared" si="13"/>
        <v>0</v>
      </c>
      <c r="Y62" s="97">
        <f t="shared" si="14"/>
        <v>0</v>
      </c>
      <c r="Z62" s="97">
        <f t="shared" si="15"/>
        <v>0</v>
      </c>
      <c r="AA62" s="96"/>
      <c r="AB62" s="97">
        <f t="shared" si="16"/>
        <v>0</v>
      </c>
      <c r="AC62" s="97">
        <f t="shared" si="17"/>
        <v>0</v>
      </c>
      <c r="AD62" s="97">
        <f t="shared" si="18"/>
        <v>0</v>
      </c>
      <c r="AE62" s="96"/>
      <c r="AF62" s="97">
        <f t="shared" si="19"/>
        <v>0</v>
      </c>
      <c r="AG62" s="97">
        <f t="shared" si="20"/>
        <v>0</v>
      </c>
      <c r="AH62" s="97">
        <f t="shared" si="21"/>
        <v>0</v>
      </c>
      <c r="AI62" s="96"/>
      <c r="AJ62" s="97">
        <f t="shared" si="22"/>
        <v>0</v>
      </c>
      <c r="AK62" s="97">
        <f t="shared" si="23"/>
        <v>0</v>
      </c>
      <c r="AL62" s="97">
        <f t="shared" si="24"/>
        <v>0</v>
      </c>
      <c r="AM62" s="96"/>
      <c r="AN62" s="97">
        <f t="shared" si="25"/>
        <v>0</v>
      </c>
      <c r="AO62" s="97">
        <f t="shared" si="26"/>
        <v>0</v>
      </c>
      <c r="AP62" s="97">
        <f t="shared" si="27"/>
        <v>0</v>
      </c>
      <c r="AQ62" s="96"/>
      <c r="AR62" s="97">
        <f t="shared" si="28"/>
        <v>0</v>
      </c>
      <c r="AS62" s="97">
        <f t="shared" si="29"/>
        <v>0</v>
      </c>
      <c r="AT62" s="97">
        <f t="shared" si="30"/>
        <v>0</v>
      </c>
      <c r="AU62" s="96"/>
      <c r="AV62" s="97">
        <f t="shared" si="31"/>
        <v>0</v>
      </c>
      <c r="AW62" s="97">
        <f t="shared" si="32"/>
        <v>0</v>
      </c>
      <c r="AX62" s="97">
        <f t="shared" si="33"/>
        <v>0</v>
      </c>
      <c r="AY62" s="96"/>
      <c r="AZ62" s="65">
        <f t="shared" si="34"/>
        <v>0</v>
      </c>
      <c r="BA62" s="65">
        <f t="shared" si="35"/>
        <v>0</v>
      </c>
      <c r="BB62" s="65">
        <f t="shared" si="36"/>
        <v>0</v>
      </c>
      <c r="BC62" s="96"/>
      <c r="BD62" s="65">
        <f t="shared" si="37"/>
        <v>0</v>
      </c>
      <c r="BE62" s="65">
        <f t="shared" si="38"/>
        <v>0</v>
      </c>
      <c r="BF62" s="65">
        <f t="shared" si="39"/>
        <v>0</v>
      </c>
      <c r="BG62" s="96"/>
      <c r="BH62" s="65">
        <f t="shared" si="40"/>
        <v>0</v>
      </c>
      <c r="BI62" s="65">
        <f t="shared" si="41"/>
        <v>0</v>
      </c>
      <c r="BJ62" s="65">
        <f t="shared" si="42"/>
        <v>0</v>
      </c>
      <c r="BK62" s="96"/>
      <c r="BL62" s="97">
        <f t="shared" si="43"/>
        <v>0</v>
      </c>
      <c r="BM62" s="97">
        <f t="shared" si="44"/>
        <v>0</v>
      </c>
      <c r="BN62" s="97">
        <f t="shared" si="45"/>
        <v>0</v>
      </c>
      <c r="BO62" s="96"/>
      <c r="BP62" s="97">
        <f t="shared" si="46"/>
        <v>0</v>
      </c>
      <c r="BQ62" s="97">
        <f t="shared" si="47"/>
        <v>0</v>
      </c>
      <c r="BR62" s="97">
        <f t="shared" si="48"/>
        <v>0</v>
      </c>
      <c r="BS62" s="96"/>
      <c r="BT62" s="97">
        <f t="shared" si="49"/>
        <v>0</v>
      </c>
      <c r="BU62" s="97">
        <f t="shared" si="50"/>
        <v>0</v>
      </c>
      <c r="BV62" s="97">
        <f t="shared" si="51"/>
        <v>0</v>
      </c>
      <c r="BW62" s="96"/>
      <c r="BX62" s="97">
        <f t="shared" si="52"/>
        <v>0</v>
      </c>
      <c r="BY62" s="97">
        <f t="shared" si="53"/>
        <v>0</v>
      </c>
      <c r="BZ62" s="97">
        <f t="shared" si="54"/>
        <v>0</v>
      </c>
      <c r="CA62" s="96"/>
      <c r="CB62" s="97">
        <f t="shared" si="55"/>
        <v>0</v>
      </c>
      <c r="CC62" s="97">
        <f t="shared" si="56"/>
        <v>0</v>
      </c>
      <c r="CD62" s="97">
        <f t="shared" si="57"/>
        <v>0</v>
      </c>
      <c r="CE62" s="96"/>
      <c r="CF62" s="65">
        <f t="shared" si="58"/>
        <v>0</v>
      </c>
      <c r="CG62" s="65">
        <f t="shared" si="59"/>
        <v>0</v>
      </c>
      <c r="CH62" s="65">
        <f t="shared" si="60"/>
        <v>0</v>
      </c>
      <c r="CI62" s="96"/>
      <c r="CJ62" s="65">
        <f t="shared" si="61"/>
        <v>0</v>
      </c>
      <c r="CK62" s="65">
        <f t="shared" si="62"/>
        <v>0</v>
      </c>
      <c r="CL62" s="65">
        <f t="shared" si="63"/>
        <v>0</v>
      </c>
      <c r="CM62" s="96"/>
      <c r="CN62" s="65">
        <f t="shared" si="64"/>
        <v>0</v>
      </c>
      <c r="CO62" s="65">
        <f t="shared" si="65"/>
        <v>0</v>
      </c>
      <c r="CP62" s="65">
        <f t="shared" si="66"/>
        <v>0</v>
      </c>
      <c r="CQ62" s="96"/>
      <c r="CR62" s="65">
        <f t="shared" si="67"/>
        <v>0</v>
      </c>
      <c r="CS62" s="65">
        <f t="shared" si="68"/>
        <v>0</v>
      </c>
      <c r="CT62" s="65">
        <f t="shared" si="69"/>
        <v>0</v>
      </c>
      <c r="CU62" s="96"/>
      <c r="CV62" s="65">
        <f t="shared" si="70"/>
        <v>0</v>
      </c>
      <c r="CW62" s="65">
        <f t="shared" si="71"/>
        <v>0</v>
      </c>
      <c r="CX62" s="65">
        <f t="shared" si="72"/>
        <v>0</v>
      </c>
      <c r="CY62" s="96"/>
      <c r="CZ62" s="97">
        <f t="shared" si="73"/>
        <v>0</v>
      </c>
      <c r="DA62" s="97">
        <f t="shared" si="74"/>
        <v>0</v>
      </c>
      <c r="DB62" s="97">
        <f t="shared" si="75"/>
        <v>0</v>
      </c>
      <c r="DC62" s="96"/>
      <c r="DD62" s="97">
        <f t="shared" si="76"/>
        <v>0</v>
      </c>
      <c r="DE62" s="97">
        <f t="shared" si="77"/>
        <v>0</v>
      </c>
      <c r="DF62" s="97">
        <f t="shared" si="78"/>
        <v>0</v>
      </c>
      <c r="DG62" s="96"/>
      <c r="DH62" s="97">
        <f t="shared" si="79"/>
        <v>0</v>
      </c>
      <c r="DI62" s="97">
        <f t="shared" si="80"/>
        <v>0</v>
      </c>
      <c r="DJ62" s="97">
        <f t="shared" si="81"/>
        <v>0</v>
      </c>
      <c r="DK62" s="96"/>
      <c r="DL62" s="97">
        <f t="shared" si="82"/>
        <v>0</v>
      </c>
      <c r="DM62" s="97">
        <f t="shared" si="83"/>
        <v>0</v>
      </c>
      <c r="DN62" s="97">
        <f t="shared" si="84"/>
        <v>0</v>
      </c>
      <c r="DO62" s="96"/>
      <c r="DP62" s="97">
        <f t="shared" si="85"/>
        <v>0</v>
      </c>
      <c r="DQ62" s="97">
        <f t="shared" si="86"/>
        <v>0</v>
      </c>
      <c r="DR62" s="97">
        <f t="shared" si="87"/>
        <v>0</v>
      </c>
      <c r="DS62" s="96"/>
      <c r="DT62" s="65">
        <f t="shared" si="88"/>
        <v>0</v>
      </c>
      <c r="DU62" s="65">
        <f t="shared" si="89"/>
        <v>0</v>
      </c>
      <c r="DV62" s="65">
        <f t="shared" si="90"/>
        <v>0</v>
      </c>
      <c r="DW62" s="96"/>
      <c r="DX62" s="65">
        <f t="shared" si="91"/>
        <v>0</v>
      </c>
      <c r="DY62" s="65">
        <f t="shared" si="92"/>
        <v>0</v>
      </c>
      <c r="DZ62" s="65">
        <f t="shared" si="93"/>
        <v>0</v>
      </c>
      <c r="EA62" s="96"/>
      <c r="EB62" s="65">
        <f t="shared" si="94"/>
        <v>0</v>
      </c>
      <c r="EC62" s="65">
        <f t="shared" si="95"/>
        <v>0</v>
      </c>
      <c r="ED62" s="65">
        <f t="shared" si="96"/>
        <v>0</v>
      </c>
    </row>
    <row r="63" spans="1:134" x14ac:dyDescent="0.2">
      <c r="A63" s="71"/>
      <c r="B63" s="96" t="s">
        <v>52</v>
      </c>
      <c r="C63" s="96"/>
      <c r="D63" s="97">
        <f t="shared" si="0"/>
        <v>0</v>
      </c>
      <c r="E63" s="97">
        <f t="shared" si="97"/>
        <v>0</v>
      </c>
      <c r="F63" s="97">
        <f t="shared" si="98"/>
        <v>0</v>
      </c>
      <c r="G63" s="96"/>
      <c r="H63" s="97">
        <f t="shared" si="1"/>
        <v>0</v>
      </c>
      <c r="I63" s="97">
        <f t="shared" si="2"/>
        <v>0</v>
      </c>
      <c r="J63" s="97">
        <f t="shared" si="3"/>
        <v>0</v>
      </c>
      <c r="K63" s="96"/>
      <c r="L63" s="97">
        <f t="shared" si="4"/>
        <v>0</v>
      </c>
      <c r="M63" s="97">
        <f t="shared" si="5"/>
        <v>0</v>
      </c>
      <c r="N63" s="97">
        <f t="shared" si="6"/>
        <v>0</v>
      </c>
      <c r="O63" s="96"/>
      <c r="P63" s="97">
        <f t="shared" si="7"/>
        <v>0</v>
      </c>
      <c r="Q63" s="97">
        <f t="shared" si="8"/>
        <v>0</v>
      </c>
      <c r="R63" s="97">
        <f t="shared" si="9"/>
        <v>0</v>
      </c>
      <c r="S63" s="96"/>
      <c r="T63" s="97">
        <f t="shared" si="10"/>
        <v>0</v>
      </c>
      <c r="U63" s="97">
        <f t="shared" si="11"/>
        <v>0</v>
      </c>
      <c r="V63" s="97">
        <f t="shared" si="12"/>
        <v>0</v>
      </c>
      <c r="W63" s="96"/>
      <c r="X63" s="97">
        <f t="shared" si="13"/>
        <v>0</v>
      </c>
      <c r="Y63" s="97">
        <f t="shared" si="14"/>
        <v>0</v>
      </c>
      <c r="Z63" s="97">
        <f t="shared" si="15"/>
        <v>0</v>
      </c>
      <c r="AA63" s="96"/>
      <c r="AB63" s="97">
        <f t="shared" si="16"/>
        <v>0</v>
      </c>
      <c r="AC63" s="97">
        <f t="shared" si="17"/>
        <v>0</v>
      </c>
      <c r="AD63" s="97">
        <f t="shared" si="18"/>
        <v>0</v>
      </c>
      <c r="AE63" s="96"/>
      <c r="AF63" s="97">
        <f t="shared" si="19"/>
        <v>0</v>
      </c>
      <c r="AG63" s="97">
        <f t="shared" si="20"/>
        <v>0</v>
      </c>
      <c r="AH63" s="97">
        <f t="shared" si="21"/>
        <v>0</v>
      </c>
      <c r="AI63" s="96"/>
      <c r="AJ63" s="97">
        <f t="shared" si="22"/>
        <v>0</v>
      </c>
      <c r="AK63" s="97">
        <f t="shared" si="23"/>
        <v>0</v>
      </c>
      <c r="AL63" s="97">
        <f t="shared" si="24"/>
        <v>0</v>
      </c>
      <c r="AM63" s="96"/>
      <c r="AN63" s="97">
        <f t="shared" si="25"/>
        <v>0</v>
      </c>
      <c r="AO63" s="97">
        <f t="shared" si="26"/>
        <v>0</v>
      </c>
      <c r="AP63" s="97">
        <f t="shared" si="27"/>
        <v>0</v>
      </c>
      <c r="AQ63" s="96"/>
      <c r="AR63" s="97">
        <f t="shared" si="28"/>
        <v>0</v>
      </c>
      <c r="AS63" s="97">
        <f t="shared" si="29"/>
        <v>0</v>
      </c>
      <c r="AT63" s="97">
        <f t="shared" si="30"/>
        <v>0</v>
      </c>
      <c r="AU63" s="96"/>
      <c r="AV63" s="97">
        <f t="shared" si="31"/>
        <v>0</v>
      </c>
      <c r="AW63" s="97">
        <f t="shared" si="32"/>
        <v>0</v>
      </c>
      <c r="AX63" s="97">
        <f t="shared" si="33"/>
        <v>0</v>
      </c>
      <c r="AY63" s="96"/>
      <c r="AZ63" s="65">
        <f t="shared" si="34"/>
        <v>0</v>
      </c>
      <c r="BA63" s="65">
        <f t="shared" si="35"/>
        <v>0</v>
      </c>
      <c r="BB63" s="65">
        <f t="shared" si="36"/>
        <v>0</v>
      </c>
      <c r="BC63" s="96"/>
      <c r="BD63" s="65">
        <f t="shared" si="37"/>
        <v>0</v>
      </c>
      <c r="BE63" s="65">
        <f t="shared" si="38"/>
        <v>0</v>
      </c>
      <c r="BF63" s="65">
        <f t="shared" si="39"/>
        <v>0</v>
      </c>
      <c r="BG63" s="96"/>
      <c r="BH63" s="65">
        <f t="shared" si="40"/>
        <v>0</v>
      </c>
      <c r="BI63" s="65">
        <f t="shared" si="41"/>
        <v>0</v>
      </c>
      <c r="BJ63" s="65">
        <f t="shared" si="42"/>
        <v>0</v>
      </c>
      <c r="BK63" s="96"/>
      <c r="BL63" s="97">
        <f t="shared" si="43"/>
        <v>0</v>
      </c>
      <c r="BM63" s="97">
        <f t="shared" si="44"/>
        <v>0</v>
      </c>
      <c r="BN63" s="97">
        <f t="shared" si="45"/>
        <v>0</v>
      </c>
      <c r="BO63" s="96"/>
      <c r="BP63" s="97">
        <f t="shared" si="46"/>
        <v>0</v>
      </c>
      <c r="BQ63" s="97">
        <f t="shared" si="47"/>
        <v>0</v>
      </c>
      <c r="BR63" s="97">
        <f t="shared" si="48"/>
        <v>0</v>
      </c>
      <c r="BS63" s="96"/>
      <c r="BT63" s="97">
        <f t="shared" si="49"/>
        <v>0</v>
      </c>
      <c r="BU63" s="97">
        <f t="shared" si="50"/>
        <v>0</v>
      </c>
      <c r="BV63" s="97">
        <f t="shared" si="51"/>
        <v>0</v>
      </c>
      <c r="BW63" s="96"/>
      <c r="BX63" s="97">
        <f t="shared" si="52"/>
        <v>0</v>
      </c>
      <c r="BY63" s="97">
        <f t="shared" si="53"/>
        <v>0</v>
      </c>
      <c r="BZ63" s="97">
        <f t="shared" si="54"/>
        <v>0</v>
      </c>
      <c r="CA63" s="96"/>
      <c r="CB63" s="97">
        <f t="shared" si="55"/>
        <v>0</v>
      </c>
      <c r="CC63" s="97">
        <f t="shared" si="56"/>
        <v>0</v>
      </c>
      <c r="CD63" s="97">
        <f t="shared" si="57"/>
        <v>0</v>
      </c>
      <c r="CE63" s="96"/>
      <c r="CF63" s="65">
        <f t="shared" si="58"/>
        <v>0</v>
      </c>
      <c r="CG63" s="65">
        <f t="shared" si="59"/>
        <v>0</v>
      </c>
      <c r="CH63" s="65">
        <f t="shared" si="60"/>
        <v>0</v>
      </c>
      <c r="CI63" s="96"/>
      <c r="CJ63" s="65">
        <f t="shared" si="61"/>
        <v>0</v>
      </c>
      <c r="CK63" s="65">
        <f t="shared" si="62"/>
        <v>0</v>
      </c>
      <c r="CL63" s="65">
        <f t="shared" si="63"/>
        <v>0</v>
      </c>
      <c r="CM63" s="96"/>
      <c r="CN63" s="65">
        <f t="shared" si="64"/>
        <v>0</v>
      </c>
      <c r="CO63" s="65">
        <f t="shared" si="65"/>
        <v>0</v>
      </c>
      <c r="CP63" s="65">
        <f t="shared" si="66"/>
        <v>0</v>
      </c>
      <c r="CQ63" s="96"/>
      <c r="CR63" s="65">
        <f t="shared" si="67"/>
        <v>0</v>
      </c>
      <c r="CS63" s="65">
        <f t="shared" si="68"/>
        <v>0</v>
      </c>
      <c r="CT63" s="65">
        <f t="shared" si="69"/>
        <v>0</v>
      </c>
      <c r="CU63" s="96"/>
      <c r="CV63" s="65">
        <f t="shared" si="70"/>
        <v>0</v>
      </c>
      <c r="CW63" s="65">
        <f t="shared" si="71"/>
        <v>0</v>
      </c>
      <c r="CX63" s="65">
        <f t="shared" si="72"/>
        <v>0</v>
      </c>
      <c r="CY63" s="96"/>
      <c r="CZ63" s="97">
        <f t="shared" si="73"/>
        <v>0</v>
      </c>
      <c r="DA63" s="97">
        <f t="shared" si="74"/>
        <v>0</v>
      </c>
      <c r="DB63" s="97">
        <f t="shared" si="75"/>
        <v>0</v>
      </c>
      <c r="DC63" s="96"/>
      <c r="DD63" s="97">
        <f t="shared" si="76"/>
        <v>0</v>
      </c>
      <c r="DE63" s="97">
        <f t="shared" si="77"/>
        <v>0</v>
      </c>
      <c r="DF63" s="97">
        <f t="shared" si="78"/>
        <v>0</v>
      </c>
      <c r="DG63" s="96"/>
      <c r="DH63" s="97">
        <f t="shared" si="79"/>
        <v>0</v>
      </c>
      <c r="DI63" s="97">
        <f t="shared" si="80"/>
        <v>0</v>
      </c>
      <c r="DJ63" s="97">
        <f t="shared" si="81"/>
        <v>0</v>
      </c>
      <c r="DK63" s="96"/>
      <c r="DL63" s="97">
        <f t="shared" si="82"/>
        <v>0</v>
      </c>
      <c r="DM63" s="97">
        <f t="shared" si="83"/>
        <v>0</v>
      </c>
      <c r="DN63" s="97">
        <f t="shared" si="84"/>
        <v>0</v>
      </c>
      <c r="DO63" s="96"/>
      <c r="DP63" s="97">
        <f t="shared" si="85"/>
        <v>0</v>
      </c>
      <c r="DQ63" s="97">
        <f t="shared" si="86"/>
        <v>0</v>
      </c>
      <c r="DR63" s="97">
        <f t="shared" si="87"/>
        <v>0</v>
      </c>
      <c r="DS63" s="96"/>
      <c r="DT63" s="65">
        <f t="shared" si="88"/>
        <v>0</v>
      </c>
      <c r="DU63" s="65">
        <f t="shared" si="89"/>
        <v>0</v>
      </c>
      <c r="DV63" s="65">
        <f t="shared" si="90"/>
        <v>0</v>
      </c>
      <c r="DW63" s="96"/>
      <c r="DX63" s="65">
        <f t="shared" si="91"/>
        <v>0</v>
      </c>
      <c r="DY63" s="65">
        <f t="shared" si="92"/>
        <v>0</v>
      </c>
      <c r="DZ63" s="65">
        <f t="shared" si="93"/>
        <v>0</v>
      </c>
      <c r="EA63" s="96"/>
      <c r="EB63" s="65">
        <f t="shared" si="94"/>
        <v>0</v>
      </c>
      <c r="EC63" s="65">
        <f t="shared" si="95"/>
        <v>0</v>
      </c>
      <c r="ED63" s="65">
        <f t="shared" si="96"/>
        <v>0</v>
      </c>
    </row>
    <row r="64" spans="1:134" x14ac:dyDescent="0.2">
      <c r="A64" s="71"/>
      <c r="B64" s="96" t="s">
        <v>52</v>
      </c>
      <c r="C64" s="96"/>
      <c r="D64" s="97">
        <f t="shared" si="0"/>
        <v>0</v>
      </c>
      <c r="E64" s="97">
        <f t="shared" si="97"/>
        <v>0</v>
      </c>
      <c r="F64" s="97">
        <f t="shared" si="98"/>
        <v>0</v>
      </c>
      <c r="G64" s="96"/>
      <c r="H64" s="97">
        <f t="shared" si="1"/>
        <v>0</v>
      </c>
      <c r="I64" s="97">
        <f t="shared" si="2"/>
        <v>0</v>
      </c>
      <c r="J64" s="97">
        <f t="shared" si="3"/>
        <v>0</v>
      </c>
      <c r="K64" s="96"/>
      <c r="L64" s="97">
        <f t="shared" si="4"/>
        <v>0</v>
      </c>
      <c r="M64" s="97">
        <f t="shared" si="5"/>
        <v>0</v>
      </c>
      <c r="N64" s="97">
        <f t="shared" si="6"/>
        <v>0</v>
      </c>
      <c r="O64" s="96"/>
      <c r="P64" s="97">
        <f t="shared" si="7"/>
        <v>0</v>
      </c>
      <c r="Q64" s="97">
        <f t="shared" si="8"/>
        <v>0</v>
      </c>
      <c r="R64" s="97">
        <f t="shared" si="9"/>
        <v>0</v>
      </c>
      <c r="S64" s="96"/>
      <c r="T64" s="97">
        <f t="shared" si="10"/>
        <v>0</v>
      </c>
      <c r="U64" s="97">
        <f t="shared" si="11"/>
        <v>0</v>
      </c>
      <c r="V64" s="97">
        <f t="shared" si="12"/>
        <v>0</v>
      </c>
      <c r="W64" s="96"/>
      <c r="X64" s="97">
        <f t="shared" si="13"/>
        <v>0</v>
      </c>
      <c r="Y64" s="97">
        <f t="shared" si="14"/>
        <v>0</v>
      </c>
      <c r="Z64" s="97">
        <f t="shared" si="15"/>
        <v>0</v>
      </c>
      <c r="AA64" s="96"/>
      <c r="AB64" s="97">
        <f t="shared" si="16"/>
        <v>0</v>
      </c>
      <c r="AC64" s="97">
        <f t="shared" si="17"/>
        <v>0</v>
      </c>
      <c r="AD64" s="97">
        <f t="shared" si="18"/>
        <v>0</v>
      </c>
      <c r="AE64" s="96"/>
      <c r="AF64" s="97">
        <f t="shared" si="19"/>
        <v>0</v>
      </c>
      <c r="AG64" s="97">
        <f t="shared" si="20"/>
        <v>0</v>
      </c>
      <c r="AH64" s="97">
        <f t="shared" si="21"/>
        <v>0</v>
      </c>
      <c r="AI64" s="96"/>
      <c r="AJ64" s="97">
        <f t="shared" si="22"/>
        <v>0</v>
      </c>
      <c r="AK64" s="97">
        <f t="shared" si="23"/>
        <v>0</v>
      </c>
      <c r="AL64" s="97">
        <f t="shared" si="24"/>
        <v>0</v>
      </c>
      <c r="AM64" s="96"/>
      <c r="AN64" s="97">
        <f t="shared" si="25"/>
        <v>0</v>
      </c>
      <c r="AO64" s="97">
        <f t="shared" si="26"/>
        <v>0</v>
      </c>
      <c r="AP64" s="97">
        <f t="shared" si="27"/>
        <v>0</v>
      </c>
      <c r="AQ64" s="96"/>
      <c r="AR64" s="97">
        <f t="shared" si="28"/>
        <v>0</v>
      </c>
      <c r="AS64" s="97">
        <f t="shared" si="29"/>
        <v>0</v>
      </c>
      <c r="AT64" s="97">
        <f t="shared" si="30"/>
        <v>0</v>
      </c>
      <c r="AU64" s="96"/>
      <c r="AV64" s="97">
        <f t="shared" si="31"/>
        <v>0</v>
      </c>
      <c r="AW64" s="97">
        <f t="shared" si="32"/>
        <v>0</v>
      </c>
      <c r="AX64" s="97">
        <f t="shared" si="33"/>
        <v>0</v>
      </c>
      <c r="AY64" s="96"/>
      <c r="AZ64" s="65">
        <f t="shared" si="34"/>
        <v>0</v>
      </c>
      <c r="BA64" s="65">
        <f t="shared" si="35"/>
        <v>0</v>
      </c>
      <c r="BB64" s="65">
        <f t="shared" si="36"/>
        <v>0</v>
      </c>
      <c r="BC64" s="96"/>
      <c r="BD64" s="65">
        <f t="shared" si="37"/>
        <v>0</v>
      </c>
      <c r="BE64" s="65">
        <f t="shared" si="38"/>
        <v>0</v>
      </c>
      <c r="BF64" s="65">
        <f t="shared" si="39"/>
        <v>0</v>
      </c>
      <c r="BG64" s="96"/>
      <c r="BH64" s="65">
        <f t="shared" si="40"/>
        <v>0</v>
      </c>
      <c r="BI64" s="65">
        <f t="shared" si="41"/>
        <v>0</v>
      </c>
      <c r="BJ64" s="65">
        <f t="shared" si="42"/>
        <v>0</v>
      </c>
      <c r="BK64" s="96"/>
      <c r="BL64" s="97">
        <f t="shared" si="43"/>
        <v>0</v>
      </c>
      <c r="BM64" s="97">
        <f t="shared" si="44"/>
        <v>0</v>
      </c>
      <c r="BN64" s="97">
        <f t="shared" si="45"/>
        <v>0</v>
      </c>
      <c r="BO64" s="96"/>
      <c r="BP64" s="97">
        <f t="shared" si="46"/>
        <v>0</v>
      </c>
      <c r="BQ64" s="97">
        <f t="shared" si="47"/>
        <v>0</v>
      </c>
      <c r="BR64" s="97">
        <f t="shared" si="48"/>
        <v>0</v>
      </c>
      <c r="BS64" s="96"/>
      <c r="BT64" s="97">
        <f t="shared" si="49"/>
        <v>0</v>
      </c>
      <c r="BU64" s="97">
        <f t="shared" si="50"/>
        <v>0</v>
      </c>
      <c r="BV64" s="97">
        <f t="shared" si="51"/>
        <v>0</v>
      </c>
      <c r="BW64" s="96"/>
      <c r="BX64" s="97">
        <f t="shared" si="52"/>
        <v>0</v>
      </c>
      <c r="BY64" s="97">
        <f t="shared" si="53"/>
        <v>0</v>
      </c>
      <c r="BZ64" s="97">
        <f t="shared" si="54"/>
        <v>0</v>
      </c>
      <c r="CA64" s="96"/>
      <c r="CB64" s="97">
        <f t="shared" si="55"/>
        <v>0</v>
      </c>
      <c r="CC64" s="97">
        <f t="shared" si="56"/>
        <v>0</v>
      </c>
      <c r="CD64" s="97">
        <f t="shared" si="57"/>
        <v>0</v>
      </c>
      <c r="CE64" s="96"/>
      <c r="CF64" s="65">
        <f t="shared" si="58"/>
        <v>0</v>
      </c>
      <c r="CG64" s="65">
        <f t="shared" si="59"/>
        <v>0</v>
      </c>
      <c r="CH64" s="65">
        <f t="shared" si="60"/>
        <v>0</v>
      </c>
      <c r="CI64" s="96"/>
      <c r="CJ64" s="65">
        <f t="shared" si="61"/>
        <v>0</v>
      </c>
      <c r="CK64" s="65">
        <f t="shared" si="62"/>
        <v>0</v>
      </c>
      <c r="CL64" s="65">
        <f t="shared" si="63"/>
        <v>0</v>
      </c>
      <c r="CM64" s="96"/>
      <c r="CN64" s="65">
        <f t="shared" si="64"/>
        <v>0</v>
      </c>
      <c r="CO64" s="65">
        <f t="shared" si="65"/>
        <v>0</v>
      </c>
      <c r="CP64" s="65">
        <f t="shared" si="66"/>
        <v>0</v>
      </c>
      <c r="CQ64" s="96"/>
      <c r="CR64" s="65">
        <f t="shared" si="67"/>
        <v>0</v>
      </c>
      <c r="CS64" s="65">
        <f t="shared" si="68"/>
        <v>0</v>
      </c>
      <c r="CT64" s="65">
        <f t="shared" si="69"/>
        <v>0</v>
      </c>
      <c r="CU64" s="96"/>
      <c r="CV64" s="65">
        <f t="shared" si="70"/>
        <v>0</v>
      </c>
      <c r="CW64" s="65">
        <f t="shared" si="71"/>
        <v>0</v>
      </c>
      <c r="CX64" s="65">
        <f t="shared" si="72"/>
        <v>0</v>
      </c>
      <c r="CY64" s="96"/>
      <c r="CZ64" s="97">
        <f t="shared" si="73"/>
        <v>0</v>
      </c>
      <c r="DA64" s="97">
        <f t="shared" si="74"/>
        <v>0</v>
      </c>
      <c r="DB64" s="97">
        <f t="shared" si="75"/>
        <v>0</v>
      </c>
      <c r="DC64" s="96"/>
      <c r="DD64" s="97">
        <f t="shared" si="76"/>
        <v>0</v>
      </c>
      <c r="DE64" s="97">
        <f t="shared" si="77"/>
        <v>0</v>
      </c>
      <c r="DF64" s="97">
        <f t="shared" si="78"/>
        <v>0</v>
      </c>
      <c r="DG64" s="96"/>
      <c r="DH64" s="97">
        <f t="shared" si="79"/>
        <v>0</v>
      </c>
      <c r="DI64" s="97">
        <f t="shared" si="80"/>
        <v>0</v>
      </c>
      <c r="DJ64" s="97">
        <f t="shared" si="81"/>
        <v>0</v>
      </c>
      <c r="DK64" s="96"/>
      <c r="DL64" s="97">
        <f t="shared" si="82"/>
        <v>0</v>
      </c>
      <c r="DM64" s="97">
        <f t="shared" si="83"/>
        <v>0</v>
      </c>
      <c r="DN64" s="97">
        <f t="shared" si="84"/>
        <v>0</v>
      </c>
      <c r="DO64" s="96"/>
      <c r="DP64" s="97">
        <f t="shared" si="85"/>
        <v>0</v>
      </c>
      <c r="DQ64" s="97">
        <f t="shared" si="86"/>
        <v>0</v>
      </c>
      <c r="DR64" s="97">
        <f t="shared" si="87"/>
        <v>0</v>
      </c>
      <c r="DS64" s="96"/>
      <c r="DT64" s="65">
        <f t="shared" si="88"/>
        <v>0</v>
      </c>
      <c r="DU64" s="65">
        <f t="shared" si="89"/>
        <v>0</v>
      </c>
      <c r="DV64" s="65">
        <f t="shared" si="90"/>
        <v>0</v>
      </c>
      <c r="DW64" s="96"/>
      <c r="DX64" s="65">
        <f t="shared" si="91"/>
        <v>0</v>
      </c>
      <c r="DY64" s="65">
        <f t="shared" si="92"/>
        <v>0</v>
      </c>
      <c r="DZ64" s="65">
        <f t="shared" si="93"/>
        <v>0</v>
      </c>
      <c r="EA64" s="96"/>
      <c r="EB64" s="65">
        <f t="shared" si="94"/>
        <v>0</v>
      </c>
      <c r="EC64" s="65">
        <f t="shared" si="95"/>
        <v>0</v>
      </c>
      <c r="ED64" s="65">
        <f t="shared" si="96"/>
        <v>0</v>
      </c>
    </row>
    <row r="65" spans="1:134" x14ac:dyDescent="0.2">
      <c r="A65" s="71"/>
      <c r="B65" s="96" t="s">
        <v>52</v>
      </c>
      <c r="C65" s="96"/>
      <c r="D65" s="97">
        <f t="shared" si="0"/>
        <v>0</v>
      </c>
      <c r="E65" s="97">
        <f t="shared" si="97"/>
        <v>0</v>
      </c>
      <c r="F65" s="97">
        <f t="shared" si="98"/>
        <v>0</v>
      </c>
      <c r="G65" s="96"/>
      <c r="H65" s="97">
        <f t="shared" si="1"/>
        <v>0</v>
      </c>
      <c r="I65" s="97">
        <f t="shared" si="2"/>
        <v>0</v>
      </c>
      <c r="J65" s="97">
        <f t="shared" si="3"/>
        <v>0</v>
      </c>
      <c r="K65" s="96"/>
      <c r="L65" s="97">
        <f t="shared" si="4"/>
        <v>0</v>
      </c>
      <c r="M65" s="97">
        <f t="shared" si="5"/>
        <v>0</v>
      </c>
      <c r="N65" s="97">
        <f t="shared" si="6"/>
        <v>0</v>
      </c>
      <c r="O65" s="96"/>
      <c r="P65" s="97">
        <f t="shared" si="7"/>
        <v>0</v>
      </c>
      <c r="Q65" s="97">
        <f t="shared" si="8"/>
        <v>0</v>
      </c>
      <c r="R65" s="97">
        <f t="shared" si="9"/>
        <v>0</v>
      </c>
      <c r="S65" s="96"/>
      <c r="T65" s="97">
        <f t="shared" si="10"/>
        <v>0</v>
      </c>
      <c r="U65" s="97">
        <f t="shared" si="11"/>
        <v>0</v>
      </c>
      <c r="V65" s="97">
        <f t="shared" si="12"/>
        <v>0</v>
      </c>
      <c r="W65" s="96"/>
      <c r="X65" s="97">
        <f t="shared" si="13"/>
        <v>0</v>
      </c>
      <c r="Y65" s="97">
        <f t="shared" si="14"/>
        <v>0</v>
      </c>
      <c r="Z65" s="97">
        <f t="shared" si="15"/>
        <v>0</v>
      </c>
      <c r="AA65" s="96"/>
      <c r="AB65" s="97">
        <f t="shared" si="16"/>
        <v>0</v>
      </c>
      <c r="AC65" s="97">
        <f t="shared" si="17"/>
        <v>0</v>
      </c>
      <c r="AD65" s="97">
        <f t="shared" si="18"/>
        <v>0</v>
      </c>
      <c r="AE65" s="96"/>
      <c r="AF65" s="97">
        <f t="shared" si="19"/>
        <v>0</v>
      </c>
      <c r="AG65" s="97">
        <f t="shared" si="20"/>
        <v>0</v>
      </c>
      <c r="AH65" s="97">
        <f t="shared" si="21"/>
        <v>0</v>
      </c>
      <c r="AI65" s="96"/>
      <c r="AJ65" s="97">
        <f t="shared" si="22"/>
        <v>0</v>
      </c>
      <c r="AK65" s="97">
        <f t="shared" si="23"/>
        <v>0</v>
      </c>
      <c r="AL65" s="97">
        <f t="shared" si="24"/>
        <v>0</v>
      </c>
      <c r="AM65" s="96"/>
      <c r="AN65" s="97">
        <f t="shared" si="25"/>
        <v>0</v>
      </c>
      <c r="AO65" s="97">
        <f t="shared" si="26"/>
        <v>0</v>
      </c>
      <c r="AP65" s="97">
        <f t="shared" si="27"/>
        <v>0</v>
      </c>
      <c r="AQ65" s="96"/>
      <c r="AR65" s="97">
        <f t="shared" si="28"/>
        <v>0</v>
      </c>
      <c r="AS65" s="97">
        <f t="shared" si="29"/>
        <v>0</v>
      </c>
      <c r="AT65" s="97">
        <f t="shared" si="30"/>
        <v>0</v>
      </c>
      <c r="AU65" s="96"/>
      <c r="AV65" s="97">
        <f t="shared" si="31"/>
        <v>0</v>
      </c>
      <c r="AW65" s="97">
        <f t="shared" si="32"/>
        <v>0</v>
      </c>
      <c r="AX65" s="97">
        <f t="shared" si="33"/>
        <v>0</v>
      </c>
      <c r="AY65" s="96"/>
      <c r="AZ65" s="65">
        <f t="shared" si="34"/>
        <v>0</v>
      </c>
      <c r="BA65" s="65">
        <f t="shared" si="35"/>
        <v>0</v>
      </c>
      <c r="BB65" s="65">
        <f t="shared" si="36"/>
        <v>0</v>
      </c>
      <c r="BC65" s="96"/>
      <c r="BD65" s="65">
        <f t="shared" si="37"/>
        <v>0</v>
      </c>
      <c r="BE65" s="65">
        <f t="shared" si="38"/>
        <v>0</v>
      </c>
      <c r="BF65" s="65">
        <f t="shared" si="39"/>
        <v>0</v>
      </c>
      <c r="BG65" s="96"/>
      <c r="BH65" s="65">
        <f t="shared" si="40"/>
        <v>0</v>
      </c>
      <c r="BI65" s="65">
        <f t="shared" si="41"/>
        <v>0</v>
      </c>
      <c r="BJ65" s="65">
        <f t="shared" si="42"/>
        <v>0</v>
      </c>
      <c r="BK65" s="96"/>
      <c r="BL65" s="97">
        <f t="shared" si="43"/>
        <v>0</v>
      </c>
      <c r="BM65" s="97">
        <f t="shared" si="44"/>
        <v>0</v>
      </c>
      <c r="BN65" s="97">
        <f t="shared" si="45"/>
        <v>0</v>
      </c>
      <c r="BO65" s="96"/>
      <c r="BP65" s="97">
        <f t="shared" si="46"/>
        <v>0</v>
      </c>
      <c r="BQ65" s="97">
        <f t="shared" si="47"/>
        <v>0</v>
      </c>
      <c r="BR65" s="97">
        <f t="shared" si="48"/>
        <v>0</v>
      </c>
      <c r="BS65" s="96"/>
      <c r="BT65" s="97">
        <f t="shared" si="49"/>
        <v>0</v>
      </c>
      <c r="BU65" s="97">
        <f t="shared" si="50"/>
        <v>0</v>
      </c>
      <c r="BV65" s="97">
        <f t="shared" si="51"/>
        <v>0</v>
      </c>
      <c r="BW65" s="96"/>
      <c r="BX65" s="97">
        <f t="shared" si="52"/>
        <v>0</v>
      </c>
      <c r="BY65" s="97">
        <f t="shared" si="53"/>
        <v>0</v>
      </c>
      <c r="BZ65" s="97">
        <f t="shared" si="54"/>
        <v>0</v>
      </c>
      <c r="CA65" s="96"/>
      <c r="CB65" s="97">
        <f t="shared" si="55"/>
        <v>0</v>
      </c>
      <c r="CC65" s="97">
        <f t="shared" si="56"/>
        <v>0</v>
      </c>
      <c r="CD65" s="97">
        <f t="shared" si="57"/>
        <v>0</v>
      </c>
      <c r="CE65" s="96"/>
      <c r="CF65" s="65">
        <f t="shared" si="58"/>
        <v>0</v>
      </c>
      <c r="CG65" s="65">
        <f t="shared" si="59"/>
        <v>0</v>
      </c>
      <c r="CH65" s="65">
        <f t="shared" si="60"/>
        <v>0</v>
      </c>
      <c r="CI65" s="96"/>
      <c r="CJ65" s="65">
        <f t="shared" si="61"/>
        <v>0</v>
      </c>
      <c r="CK65" s="65">
        <f t="shared" si="62"/>
        <v>0</v>
      </c>
      <c r="CL65" s="65">
        <f t="shared" si="63"/>
        <v>0</v>
      </c>
      <c r="CM65" s="96"/>
      <c r="CN65" s="65">
        <f t="shared" si="64"/>
        <v>0</v>
      </c>
      <c r="CO65" s="65">
        <f t="shared" si="65"/>
        <v>0</v>
      </c>
      <c r="CP65" s="65">
        <f t="shared" si="66"/>
        <v>0</v>
      </c>
      <c r="CQ65" s="96"/>
      <c r="CR65" s="65">
        <f t="shared" si="67"/>
        <v>0</v>
      </c>
      <c r="CS65" s="65">
        <f t="shared" si="68"/>
        <v>0</v>
      </c>
      <c r="CT65" s="65">
        <f t="shared" si="69"/>
        <v>0</v>
      </c>
      <c r="CU65" s="96"/>
      <c r="CV65" s="65">
        <f t="shared" si="70"/>
        <v>0</v>
      </c>
      <c r="CW65" s="65">
        <f t="shared" si="71"/>
        <v>0</v>
      </c>
      <c r="CX65" s="65">
        <f t="shared" si="72"/>
        <v>0</v>
      </c>
      <c r="CY65" s="96"/>
      <c r="CZ65" s="97">
        <f t="shared" si="73"/>
        <v>0</v>
      </c>
      <c r="DA65" s="97">
        <f t="shared" si="74"/>
        <v>0</v>
      </c>
      <c r="DB65" s="97">
        <f t="shared" si="75"/>
        <v>0</v>
      </c>
      <c r="DC65" s="96"/>
      <c r="DD65" s="97">
        <f t="shared" si="76"/>
        <v>0</v>
      </c>
      <c r="DE65" s="97">
        <f t="shared" si="77"/>
        <v>0</v>
      </c>
      <c r="DF65" s="97">
        <f t="shared" si="78"/>
        <v>0</v>
      </c>
      <c r="DG65" s="96"/>
      <c r="DH65" s="97">
        <f t="shared" si="79"/>
        <v>0</v>
      </c>
      <c r="DI65" s="97">
        <f t="shared" si="80"/>
        <v>0</v>
      </c>
      <c r="DJ65" s="97">
        <f t="shared" si="81"/>
        <v>0</v>
      </c>
      <c r="DK65" s="96"/>
      <c r="DL65" s="97">
        <f t="shared" si="82"/>
        <v>0</v>
      </c>
      <c r="DM65" s="97">
        <f t="shared" si="83"/>
        <v>0</v>
      </c>
      <c r="DN65" s="97">
        <f t="shared" si="84"/>
        <v>0</v>
      </c>
      <c r="DO65" s="96"/>
      <c r="DP65" s="97">
        <f t="shared" si="85"/>
        <v>0</v>
      </c>
      <c r="DQ65" s="97">
        <f t="shared" si="86"/>
        <v>0</v>
      </c>
      <c r="DR65" s="97">
        <f t="shared" si="87"/>
        <v>0</v>
      </c>
      <c r="DS65" s="96"/>
      <c r="DT65" s="65">
        <f t="shared" si="88"/>
        <v>0</v>
      </c>
      <c r="DU65" s="65">
        <f t="shared" si="89"/>
        <v>0</v>
      </c>
      <c r="DV65" s="65">
        <f t="shared" si="90"/>
        <v>0</v>
      </c>
      <c r="DW65" s="96"/>
      <c r="DX65" s="65">
        <f t="shared" si="91"/>
        <v>0</v>
      </c>
      <c r="DY65" s="65">
        <f t="shared" si="92"/>
        <v>0</v>
      </c>
      <c r="DZ65" s="65">
        <f t="shared" si="93"/>
        <v>0</v>
      </c>
      <c r="EA65" s="96"/>
      <c r="EB65" s="65">
        <f t="shared" si="94"/>
        <v>0</v>
      </c>
      <c r="EC65" s="65">
        <f t="shared" si="95"/>
        <v>0</v>
      </c>
      <c r="ED65" s="65">
        <f t="shared" si="96"/>
        <v>0</v>
      </c>
    </row>
    <row r="66" spans="1:134" x14ac:dyDescent="0.2">
      <c r="A66" s="71"/>
      <c r="B66" s="96" t="s">
        <v>52</v>
      </c>
      <c r="C66" s="96"/>
      <c r="D66" s="97">
        <f t="shared" si="0"/>
        <v>0</v>
      </c>
      <c r="E66" s="97">
        <f t="shared" si="97"/>
        <v>0</v>
      </c>
      <c r="F66" s="97">
        <f t="shared" si="98"/>
        <v>0</v>
      </c>
      <c r="G66" s="96"/>
      <c r="H66" s="97">
        <f t="shared" si="1"/>
        <v>0</v>
      </c>
      <c r="I66" s="97">
        <f t="shared" si="2"/>
        <v>0</v>
      </c>
      <c r="J66" s="97">
        <f t="shared" si="3"/>
        <v>0</v>
      </c>
      <c r="K66" s="96"/>
      <c r="L66" s="97">
        <f t="shared" si="4"/>
        <v>0</v>
      </c>
      <c r="M66" s="97">
        <f t="shared" si="5"/>
        <v>0</v>
      </c>
      <c r="N66" s="97">
        <f t="shared" si="6"/>
        <v>0</v>
      </c>
      <c r="O66" s="96"/>
      <c r="P66" s="97">
        <f t="shared" si="7"/>
        <v>0</v>
      </c>
      <c r="Q66" s="97">
        <f t="shared" si="8"/>
        <v>0</v>
      </c>
      <c r="R66" s="97">
        <f t="shared" si="9"/>
        <v>0</v>
      </c>
      <c r="S66" s="96"/>
      <c r="T66" s="97">
        <f t="shared" si="10"/>
        <v>0</v>
      </c>
      <c r="U66" s="97">
        <f t="shared" si="11"/>
        <v>0</v>
      </c>
      <c r="V66" s="97">
        <f t="shared" si="12"/>
        <v>0</v>
      </c>
      <c r="W66" s="96"/>
      <c r="X66" s="97">
        <f t="shared" si="13"/>
        <v>0</v>
      </c>
      <c r="Y66" s="97">
        <f t="shared" si="14"/>
        <v>0</v>
      </c>
      <c r="Z66" s="97">
        <f t="shared" si="15"/>
        <v>0</v>
      </c>
      <c r="AA66" s="96"/>
      <c r="AB66" s="97">
        <f t="shared" si="16"/>
        <v>0</v>
      </c>
      <c r="AC66" s="97">
        <f t="shared" si="17"/>
        <v>0</v>
      </c>
      <c r="AD66" s="97">
        <f t="shared" si="18"/>
        <v>0</v>
      </c>
      <c r="AE66" s="96"/>
      <c r="AF66" s="97">
        <f t="shared" si="19"/>
        <v>0</v>
      </c>
      <c r="AG66" s="97">
        <f t="shared" si="20"/>
        <v>0</v>
      </c>
      <c r="AH66" s="97">
        <f t="shared" si="21"/>
        <v>0</v>
      </c>
      <c r="AI66" s="96"/>
      <c r="AJ66" s="97">
        <f t="shared" si="22"/>
        <v>0</v>
      </c>
      <c r="AK66" s="97">
        <f t="shared" si="23"/>
        <v>0</v>
      </c>
      <c r="AL66" s="97">
        <f t="shared" si="24"/>
        <v>0</v>
      </c>
      <c r="AM66" s="96"/>
      <c r="AN66" s="97">
        <f t="shared" si="25"/>
        <v>0</v>
      </c>
      <c r="AO66" s="97">
        <f t="shared" si="26"/>
        <v>0</v>
      </c>
      <c r="AP66" s="97">
        <f t="shared" si="27"/>
        <v>0</v>
      </c>
      <c r="AQ66" s="96"/>
      <c r="AR66" s="97">
        <f t="shared" si="28"/>
        <v>0</v>
      </c>
      <c r="AS66" s="97">
        <f t="shared" si="29"/>
        <v>0</v>
      </c>
      <c r="AT66" s="97">
        <f t="shared" si="30"/>
        <v>0</v>
      </c>
      <c r="AU66" s="96"/>
      <c r="AV66" s="97">
        <f t="shared" si="31"/>
        <v>0</v>
      </c>
      <c r="AW66" s="97">
        <f t="shared" si="32"/>
        <v>0</v>
      </c>
      <c r="AX66" s="97">
        <f t="shared" si="33"/>
        <v>0</v>
      </c>
      <c r="AY66" s="96"/>
      <c r="AZ66" s="65">
        <f t="shared" si="34"/>
        <v>0</v>
      </c>
      <c r="BA66" s="65">
        <f t="shared" si="35"/>
        <v>0</v>
      </c>
      <c r="BB66" s="65">
        <f t="shared" si="36"/>
        <v>0</v>
      </c>
      <c r="BC66" s="96"/>
      <c r="BD66" s="65">
        <f t="shared" si="37"/>
        <v>0</v>
      </c>
      <c r="BE66" s="65">
        <f t="shared" si="38"/>
        <v>0</v>
      </c>
      <c r="BF66" s="65">
        <f t="shared" si="39"/>
        <v>0</v>
      </c>
      <c r="BG66" s="96"/>
      <c r="BH66" s="65">
        <f t="shared" si="40"/>
        <v>0</v>
      </c>
      <c r="BI66" s="65">
        <f t="shared" si="41"/>
        <v>0</v>
      </c>
      <c r="BJ66" s="65">
        <f t="shared" si="42"/>
        <v>0</v>
      </c>
      <c r="BK66" s="96"/>
      <c r="BL66" s="97">
        <f t="shared" si="43"/>
        <v>0</v>
      </c>
      <c r="BM66" s="97">
        <f t="shared" si="44"/>
        <v>0</v>
      </c>
      <c r="BN66" s="97">
        <f t="shared" si="45"/>
        <v>0</v>
      </c>
      <c r="BO66" s="96"/>
      <c r="BP66" s="97">
        <f t="shared" si="46"/>
        <v>0</v>
      </c>
      <c r="BQ66" s="97">
        <f t="shared" si="47"/>
        <v>0</v>
      </c>
      <c r="BR66" s="97">
        <f t="shared" si="48"/>
        <v>0</v>
      </c>
      <c r="BS66" s="96"/>
      <c r="BT66" s="97">
        <f t="shared" si="49"/>
        <v>0</v>
      </c>
      <c r="BU66" s="97">
        <f t="shared" si="50"/>
        <v>0</v>
      </c>
      <c r="BV66" s="97">
        <f t="shared" si="51"/>
        <v>0</v>
      </c>
      <c r="BW66" s="96"/>
      <c r="BX66" s="97">
        <f t="shared" si="52"/>
        <v>0</v>
      </c>
      <c r="BY66" s="97">
        <f t="shared" si="53"/>
        <v>0</v>
      </c>
      <c r="BZ66" s="97">
        <f t="shared" si="54"/>
        <v>0</v>
      </c>
      <c r="CA66" s="96"/>
      <c r="CB66" s="97">
        <f t="shared" si="55"/>
        <v>0</v>
      </c>
      <c r="CC66" s="97">
        <f t="shared" si="56"/>
        <v>0</v>
      </c>
      <c r="CD66" s="97">
        <f t="shared" si="57"/>
        <v>0</v>
      </c>
      <c r="CE66" s="96"/>
      <c r="CF66" s="65">
        <f t="shared" si="58"/>
        <v>0</v>
      </c>
      <c r="CG66" s="65">
        <f t="shared" si="59"/>
        <v>0</v>
      </c>
      <c r="CH66" s="65">
        <f t="shared" si="60"/>
        <v>0</v>
      </c>
      <c r="CI66" s="96"/>
      <c r="CJ66" s="65">
        <f t="shared" si="61"/>
        <v>0</v>
      </c>
      <c r="CK66" s="65">
        <f t="shared" si="62"/>
        <v>0</v>
      </c>
      <c r="CL66" s="65">
        <f t="shared" si="63"/>
        <v>0</v>
      </c>
      <c r="CM66" s="96"/>
      <c r="CN66" s="65">
        <f t="shared" si="64"/>
        <v>0</v>
      </c>
      <c r="CO66" s="65">
        <f t="shared" si="65"/>
        <v>0</v>
      </c>
      <c r="CP66" s="65">
        <f t="shared" si="66"/>
        <v>0</v>
      </c>
      <c r="CQ66" s="96"/>
      <c r="CR66" s="65">
        <f t="shared" si="67"/>
        <v>0</v>
      </c>
      <c r="CS66" s="65">
        <f t="shared" si="68"/>
        <v>0</v>
      </c>
      <c r="CT66" s="65">
        <f t="shared" si="69"/>
        <v>0</v>
      </c>
      <c r="CU66" s="96"/>
      <c r="CV66" s="65">
        <f t="shared" si="70"/>
        <v>0</v>
      </c>
      <c r="CW66" s="65">
        <f t="shared" si="71"/>
        <v>0</v>
      </c>
      <c r="CX66" s="65">
        <f t="shared" si="72"/>
        <v>0</v>
      </c>
      <c r="CY66" s="96"/>
      <c r="CZ66" s="97">
        <f t="shared" si="73"/>
        <v>0</v>
      </c>
      <c r="DA66" s="97">
        <f t="shared" si="74"/>
        <v>0</v>
      </c>
      <c r="DB66" s="97">
        <f t="shared" si="75"/>
        <v>0</v>
      </c>
      <c r="DC66" s="96"/>
      <c r="DD66" s="97">
        <f t="shared" si="76"/>
        <v>0</v>
      </c>
      <c r="DE66" s="97">
        <f t="shared" si="77"/>
        <v>0</v>
      </c>
      <c r="DF66" s="97">
        <f t="shared" si="78"/>
        <v>0</v>
      </c>
      <c r="DG66" s="96"/>
      <c r="DH66" s="97">
        <f t="shared" si="79"/>
        <v>0</v>
      </c>
      <c r="DI66" s="97">
        <f t="shared" si="80"/>
        <v>0</v>
      </c>
      <c r="DJ66" s="97">
        <f t="shared" si="81"/>
        <v>0</v>
      </c>
      <c r="DK66" s="96"/>
      <c r="DL66" s="97">
        <f t="shared" si="82"/>
        <v>0</v>
      </c>
      <c r="DM66" s="97">
        <f t="shared" si="83"/>
        <v>0</v>
      </c>
      <c r="DN66" s="97">
        <f t="shared" si="84"/>
        <v>0</v>
      </c>
      <c r="DO66" s="96"/>
      <c r="DP66" s="97">
        <f t="shared" si="85"/>
        <v>0</v>
      </c>
      <c r="DQ66" s="97">
        <f t="shared" si="86"/>
        <v>0</v>
      </c>
      <c r="DR66" s="97">
        <f t="shared" si="87"/>
        <v>0</v>
      </c>
      <c r="DS66" s="96"/>
      <c r="DT66" s="65">
        <f t="shared" si="88"/>
        <v>0</v>
      </c>
      <c r="DU66" s="65">
        <f t="shared" si="89"/>
        <v>0</v>
      </c>
      <c r="DV66" s="65">
        <f t="shared" si="90"/>
        <v>0</v>
      </c>
      <c r="DW66" s="96"/>
      <c r="DX66" s="65">
        <f t="shared" si="91"/>
        <v>0</v>
      </c>
      <c r="DY66" s="65">
        <f t="shared" si="92"/>
        <v>0</v>
      </c>
      <c r="DZ66" s="65">
        <f t="shared" si="93"/>
        <v>0</v>
      </c>
      <c r="EA66" s="96"/>
      <c r="EB66" s="65">
        <f t="shared" si="94"/>
        <v>0</v>
      </c>
      <c r="EC66" s="65">
        <f t="shared" si="95"/>
        <v>0</v>
      </c>
      <c r="ED66" s="65">
        <f t="shared" si="96"/>
        <v>0</v>
      </c>
    </row>
    <row r="67" spans="1:134" x14ac:dyDescent="0.2">
      <c r="A67" s="71"/>
      <c r="B67" s="96" t="s">
        <v>52</v>
      </c>
      <c r="C67" s="96"/>
      <c r="D67" s="97">
        <f t="shared" si="0"/>
        <v>0</v>
      </c>
      <c r="E67" s="97">
        <f t="shared" si="97"/>
        <v>0</v>
      </c>
      <c r="F67" s="97">
        <f t="shared" si="98"/>
        <v>0</v>
      </c>
      <c r="G67" s="96"/>
      <c r="H67" s="97">
        <f t="shared" si="1"/>
        <v>0</v>
      </c>
      <c r="I67" s="97">
        <f t="shared" si="2"/>
        <v>0</v>
      </c>
      <c r="J67" s="97">
        <f t="shared" si="3"/>
        <v>0</v>
      </c>
      <c r="K67" s="96"/>
      <c r="L67" s="97">
        <f t="shared" si="4"/>
        <v>0</v>
      </c>
      <c r="M67" s="97">
        <f t="shared" si="5"/>
        <v>0</v>
      </c>
      <c r="N67" s="97">
        <f t="shared" si="6"/>
        <v>0</v>
      </c>
      <c r="O67" s="96"/>
      <c r="P67" s="97">
        <f t="shared" si="7"/>
        <v>0</v>
      </c>
      <c r="Q67" s="97">
        <f t="shared" si="8"/>
        <v>0</v>
      </c>
      <c r="R67" s="97">
        <f t="shared" si="9"/>
        <v>0</v>
      </c>
      <c r="S67" s="96"/>
      <c r="T67" s="97">
        <f t="shared" si="10"/>
        <v>0</v>
      </c>
      <c r="U67" s="97">
        <f t="shared" si="11"/>
        <v>0</v>
      </c>
      <c r="V67" s="97">
        <f t="shared" si="12"/>
        <v>0</v>
      </c>
      <c r="W67" s="96"/>
      <c r="X67" s="97">
        <f t="shared" si="13"/>
        <v>0</v>
      </c>
      <c r="Y67" s="97">
        <f t="shared" si="14"/>
        <v>0</v>
      </c>
      <c r="Z67" s="97">
        <f t="shared" si="15"/>
        <v>0</v>
      </c>
      <c r="AA67" s="96"/>
      <c r="AB67" s="97">
        <f t="shared" si="16"/>
        <v>0</v>
      </c>
      <c r="AC67" s="97">
        <f t="shared" si="17"/>
        <v>0</v>
      </c>
      <c r="AD67" s="97">
        <f t="shared" si="18"/>
        <v>0</v>
      </c>
      <c r="AE67" s="96"/>
      <c r="AF67" s="97">
        <f t="shared" si="19"/>
        <v>0</v>
      </c>
      <c r="AG67" s="97">
        <f t="shared" si="20"/>
        <v>0</v>
      </c>
      <c r="AH67" s="97">
        <f t="shared" si="21"/>
        <v>0</v>
      </c>
      <c r="AI67" s="96"/>
      <c r="AJ67" s="97">
        <f t="shared" si="22"/>
        <v>0</v>
      </c>
      <c r="AK67" s="97">
        <f t="shared" si="23"/>
        <v>0</v>
      </c>
      <c r="AL67" s="97">
        <f t="shared" si="24"/>
        <v>0</v>
      </c>
      <c r="AM67" s="96"/>
      <c r="AN67" s="97">
        <f t="shared" si="25"/>
        <v>0</v>
      </c>
      <c r="AO67" s="97">
        <f t="shared" si="26"/>
        <v>0</v>
      </c>
      <c r="AP67" s="97">
        <f t="shared" si="27"/>
        <v>0</v>
      </c>
      <c r="AQ67" s="96"/>
      <c r="AR67" s="97">
        <f t="shared" si="28"/>
        <v>0</v>
      </c>
      <c r="AS67" s="97">
        <f t="shared" si="29"/>
        <v>0</v>
      </c>
      <c r="AT67" s="97">
        <f t="shared" si="30"/>
        <v>0</v>
      </c>
      <c r="AU67" s="96"/>
      <c r="AV67" s="97">
        <f t="shared" si="31"/>
        <v>0</v>
      </c>
      <c r="AW67" s="97">
        <f t="shared" si="32"/>
        <v>0</v>
      </c>
      <c r="AX67" s="97">
        <f t="shared" si="33"/>
        <v>0</v>
      </c>
      <c r="AY67" s="96"/>
      <c r="AZ67" s="65">
        <f t="shared" si="34"/>
        <v>0</v>
      </c>
      <c r="BA67" s="65">
        <f t="shared" si="35"/>
        <v>0</v>
      </c>
      <c r="BB67" s="65">
        <f t="shared" si="36"/>
        <v>0</v>
      </c>
      <c r="BC67" s="96"/>
      <c r="BD67" s="65">
        <f t="shared" si="37"/>
        <v>0</v>
      </c>
      <c r="BE67" s="65">
        <f t="shared" si="38"/>
        <v>0</v>
      </c>
      <c r="BF67" s="65">
        <f t="shared" si="39"/>
        <v>0</v>
      </c>
      <c r="BG67" s="96"/>
      <c r="BH67" s="65">
        <f t="shared" si="40"/>
        <v>0</v>
      </c>
      <c r="BI67" s="65">
        <f t="shared" si="41"/>
        <v>0</v>
      </c>
      <c r="BJ67" s="65">
        <f t="shared" si="42"/>
        <v>0</v>
      </c>
      <c r="BK67" s="96"/>
      <c r="BL67" s="97">
        <f t="shared" si="43"/>
        <v>0</v>
      </c>
      <c r="BM67" s="97">
        <f t="shared" si="44"/>
        <v>0</v>
      </c>
      <c r="BN67" s="97">
        <f t="shared" si="45"/>
        <v>0</v>
      </c>
      <c r="BO67" s="96"/>
      <c r="BP67" s="97">
        <f t="shared" si="46"/>
        <v>0</v>
      </c>
      <c r="BQ67" s="97">
        <f t="shared" si="47"/>
        <v>0</v>
      </c>
      <c r="BR67" s="97">
        <f t="shared" si="48"/>
        <v>0</v>
      </c>
      <c r="BS67" s="96"/>
      <c r="BT67" s="97">
        <f t="shared" si="49"/>
        <v>0</v>
      </c>
      <c r="BU67" s="97">
        <f t="shared" si="50"/>
        <v>0</v>
      </c>
      <c r="BV67" s="97">
        <f t="shared" si="51"/>
        <v>0</v>
      </c>
      <c r="BW67" s="96"/>
      <c r="BX67" s="97">
        <f t="shared" si="52"/>
        <v>0</v>
      </c>
      <c r="BY67" s="97">
        <f t="shared" si="53"/>
        <v>0</v>
      </c>
      <c r="BZ67" s="97">
        <f t="shared" si="54"/>
        <v>0</v>
      </c>
      <c r="CA67" s="96"/>
      <c r="CB67" s="97">
        <f t="shared" si="55"/>
        <v>0</v>
      </c>
      <c r="CC67" s="97">
        <f t="shared" si="56"/>
        <v>0</v>
      </c>
      <c r="CD67" s="97">
        <f t="shared" si="57"/>
        <v>0</v>
      </c>
      <c r="CE67" s="96"/>
      <c r="CF67" s="65">
        <f t="shared" si="58"/>
        <v>0</v>
      </c>
      <c r="CG67" s="65">
        <f t="shared" si="59"/>
        <v>0</v>
      </c>
      <c r="CH67" s="65">
        <f t="shared" si="60"/>
        <v>0</v>
      </c>
      <c r="CI67" s="96"/>
      <c r="CJ67" s="65">
        <f t="shared" si="61"/>
        <v>0</v>
      </c>
      <c r="CK67" s="65">
        <f t="shared" si="62"/>
        <v>0</v>
      </c>
      <c r="CL67" s="65">
        <f t="shared" si="63"/>
        <v>0</v>
      </c>
      <c r="CM67" s="96"/>
      <c r="CN67" s="65">
        <f t="shared" si="64"/>
        <v>0</v>
      </c>
      <c r="CO67" s="65">
        <f t="shared" si="65"/>
        <v>0</v>
      </c>
      <c r="CP67" s="65">
        <f t="shared" si="66"/>
        <v>0</v>
      </c>
      <c r="CQ67" s="96"/>
      <c r="CR67" s="65">
        <f t="shared" si="67"/>
        <v>0</v>
      </c>
      <c r="CS67" s="65">
        <f t="shared" si="68"/>
        <v>0</v>
      </c>
      <c r="CT67" s="65">
        <f t="shared" si="69"/>
        <v>0</v>
      </c>
      <c r="CU67" s="96"/>
      <c r="CV67" s="65">
        <f t="shared" si="70"/>
        <v>0</v>
      </c>
      <c r="CW67" s="65">
        <f t="shared" si="71"/>
        <v>0</v>
      </c>
      <c r="CX67" s="65">
        <f t="shared" si="72"/>
        <v>0</v>
      </c>
      <c r="CY67" s="96"/>
      <c r="CZ67" s="97">
        <f t="shared" si="73"/>
        <v>0</v>
      </c>
      <c r="DA67" s="97">
        <f t="shared" si="74"/>
        <v>0</v>
      </c>
      <c r="DB67" s="97">
        <f t="shared" si="75"/>
        <v>0</v>
      </c>
      <c r="DC67" s="96"/>
      <c r="DD67" s="97">
        <f t="shared" si="76"/>
        <v>0</v>
      </c>
      <c r="DE67" s="97">
        <f t="shared" si="77"/>
        <v>0</v>
      </c>
      <c r="DF67" s="97">
        <f t="shared" si="78"/>
        <v>0</v>
      </c>
      <c r="DG67" s="96"/>
      <c r="DH67" s="97">
        <f t="shared" si="79"/>
        <v>0</v>
      </c>
      <c r="DI67" s="97">
        <f t="shared" si="80"/>
        <v>0</v>
      </c>
      <c r="DJ67" s="97">
        <f t="shared" si="81"/>
        <v>0</v>
      </c>
      <c r="DK67" s="96"/>
      <c r="DL67" s="97">
        <f t="shared" si="82"/>
        <v>0</v>
      </c>
      <c r="DM67" s="97">
        <f t="shared" si="83"/>
        <v>0</v>
      </c>
      <c r="DN67" s="97">
        <f t="shared" si="84"/>
        <v>0</v>
      </c>
      <c r="DO67" s="96"/>
      <c r="DP67" s="97">
        <f t="shared" si="85"/>
        <v>0</v>
      </c>
      <c r="DQ67" s="97">
        <f t="shared" si="86"/>
        <v>0</v>
      </c>
      <c r="DR67" s="97">
        <f t="shared" si="87"/>
        <v>0</v>
      </c>
      <c r="DS67" s="96"/>
      <c r="DT67" s="65">
        <f t="shared" si="88"/>
        <v>0</v>
      </c>
      <c r="DU67" s="65">
        <f t="shared" si="89"/>
        <v>0</v>
      </c>
      <c r="DV67" s="65">
        <f t="shared" si="90"/>
        <v>0</v>
      </c>
      <c r="DW67" s="96"/>
      <c r="DX67" s="65">
        <f t="shared" si="91"/>
        <v>0</v>
      </c>
      <c r="DY67" s="65">
        <f t="shared" si="92"/>
        <v>0</v>
      </c>
      <c r="DZ67" s="65">
        <f t="shared" si="93"/>
        <v>0</v>
      </c>
      <c r="EA67" s="96"/>
      <c r="EB67" s="65">
        <f t="shared" si="94"/>
        <v>0</v>
      </c>
      <c r="EC67" s="65">
        <f t="shared" si="95"/>
        <v>0</v>
      </c>
      <c r="ED67" s="65">
        <f t="shared" si="96"/>
        <v>0</v>
      </c>
    </row>
    <row r="68" spans="1:134" x14ac:dyDescent="0.2">
      <c r="A68" s="71"/>
      <c r="B68" s="96" t="s">
        <v>52</v>
      </c>
      <c r="C68" s="96"/>
      <c r="D68" s="97">
        <f t="shared" si="0"/>
        <v>0</v>
      </c>
      <c r="E68" s="97">
        <f t="shared" si="97"/>
        <v>0</v>
      </c>
      <c r="F68" s="97">
        <f t="shared" si="98"/>
        <v>0</v>
      </c>
      <c r="G68" s="96"/>
      <c r="H68" s="97">
        <f t="shared" si="1"/>
        <v>0</v>
      </c>
      <c r="I68" s="97">
        <f t="shared" si="2"/>
        <v>0</v>
      </c>
      <c r="J68" s="97">
        <f t="shared" si="3"/>
        <v>0</v>
      </c>
      <c r="K68" s="96"/>
      <c r="L68" s="97">
        <f t="shared" si="4"/>
        <v>0</v>
      </c>
      <c r="M68" s="97">
        <f t="shared" si="5"/>
        <v>0</v>
      </c>
      <c r="N68" s="97">
        <f t="shared" si="6"/>
        <v>0</v>
      </c>
      <c r="O68" s="96"/>
      <c r="P68" s="97">
        <f t="shared" si="7"/>
        <v>0</v>
      </c>
      <c r="Q68" s="97">
        <f t="shared" si="8"/>
        <v>0</v>
      </c>
      <c r="R68" s="97">
        <f t="shared" si="9"/>
        <v>0</v>
      </c>
      <c r="S68" s="96"/>
      <c r="T68" s="97">
        <f t="shared" si="10"/>
        <v>0</v>
      </c>
      <c r="U68" s="97">
        <f t="shared" si="11"/>
        <v>0</v>
      </c>
      <c r="V68" s="97">
        <f t="shared" si="12"/>
        <v>0</v>
      </c>
      <c r="W68" s="96"/>
      <c r="X68" s="97">
        <f t="shared" si="13"/>
        <v>0</v>
      </c>
      <c r="Y68" s="97">
        <f t="shared" si="14"/>
        <v>0</v>
      </c>
      <c r="Z68" s="97">
        <f t="shared" si="15"/>
        <v>0</v>
      </c>
      <c r="AA68" s="96"/>
      <c r="AB68" s="97">
        <f t="shared" si="16"/>
        <v>0</v>
      </c>
      <c r="AC68" s="97">
        <f t="shared" si="17"/>
        <v>0</v>
      </c>
      <c r="AD68" s="97">
        <f t="shared" si="18"/>
        <v>0</v>
      </c>
      <c r="AE68" s="96"/>
      <c r="AF68" s="97">
        <f t="shared" si="19"/>
        <v>0</v>
      </c>
      <c r="AG68" s="97">
        <f t="shared" si="20"/>
        <v>0</v>
      </c>
      <c r="AH68" s="97">
        <f t="shared" si="21"/>
        <v>0</v>
      </c>
      <c r="AI68" s="96"/>
      <c r="AJ68" s="97">
        <f t="shared" si="22"/>
        <v>0</v>
      </c>
      <c r="AK68" s="97">
        <f t="shared" si="23"/>
        <v>0</v>
      </c>
      <c r="AL68" s="97">
        <f t="shared" si="24"/>
        <v>0</v>
      </c>
      <c r="AM68" s="96"/>
      <c r="AN68" s="97">
        <f t="shared" si="25"/>
        <v>0</v>
      </c>
      <c r="AO68" s="97">
        <f t="shared" si="26"/>
        <v>0</v>
      </c>
      <c r="AP68" s="97">
        <f t="shared" si="27"/>
        <v>0</v>
      </c>
      <c r="AQ68" s="96"/>
      <c r="AR68" s="97">
        <f t="shared" si="28"/>
        <v>0</v>
      </c>
      <c r="AS68" s="97">
        <f t="shared" si="29"/>
        <v>0</v>
      </c>
      <c r="AT68" s="97">
        <f t="shared" si="30"/>
        <v>0</v>
      </c>
      <c r="AU68" s="96"/>
      <c r="AV68" s="97">
        <f t="shared" si="31"/>
        <v>0</v>
      </c>
      <c r="AW68" s="97">
        <f t="shared" si="32"/>
        <v>0</v>
      </c>
      <c r="AX68" s="97">
        <f t="shared" si="33"/>
        <v>0</v>
      </c>
      <c r="AY68" s="96"/>
      <c r="AZ68" s="65">
        <f t="shared" si="34"/>
        <v>0</v>
      </c>
      <c r="BA68" s="65">
        <f t="shared" si="35"/>
        <v>0</v>
      </c>
      <c r="BB68" s="65">
        <f t="shared" si="36"/>
        <v>0</v>
      </c>
      <c r="BC68" s="96"/>
      <c r="BD68" s="65">
        <f t="shared" si="37"/>
        <v>0</v>
      </c>
      <c r="BE68" s="65">
        <f t="shared" si="38"/>
        <v>0</v>
      </c>
      <c r="BF68" s="65">
        <f t="shared" si="39"/>
        <v>0</v>
      </c>
      <c r="BG68" s="96"/>
      <c r="BH68" s="65">
        <f t="shared" si="40"/>
        <v>0</v>
      </c>
      <c r="BI68" s="65">
        <f t="shared" si="41"/>
        <v>0</v>
      </c>
      <c r="BJ68" s="65">
        <f t="shared" si="42"/>
        <v>0</v>
      </c>
      <c r="BK68" s="96"/>
      <c r="BL68" s="97">
        <f t="shared" si="43"/>
        <v>0</v>
      </c>
      <c r="BM68" s="97">
        <f t="shared" si="44"/>
        <v>0</v>
      </c>
      <c r="BN68" s="97">
        <f t="shared" si="45"/>
        <v>0</v>
      </c>
      <c r="BO68" s="96"/>
      <c r="BP68" s="97">
        <f t="shared" si="46"/>
        <v>0</v>
      </c>
      <c r="BQ68" s="97">
        <f t="shared" si="47"/>
        <v>0</v>
      </c>
      <c r="BR68" s="97">
        <f t="shared" si="48"/>
        <v>0</v>
      </c>
      <c r="BS68" s="96"/>
      <c r="BT68" s="97">
        <f t="shared" si="49"/>
        <v>0</v>
      </c>
      <c r="BU68" s="97">
        <f t="shared" si="50"/>
        <v>0</v>
      </c>
      <c r="BV68" s="97">
        <f t="shared" si="51"/>
        <v>0</v>
      </c>
      <c r="BW68" s="96"/>
      <c r="BX68" s="97">
        <f t="shared" si="52"/>
        <v>0</v>
      </c>
      <c r="BY68" s="97">
        <f t="shared" si="53"/>
        <v>0</v>
      </c>
      <c r="BZ68" s="97">
        <f t="shared" si="54"/>
        <v>0</v>
      </c>
      <c r="CA68" s="96"/>
      <c r="CB68" s="97">
        <f t="shared" si="55"/>
        <v>0</v>
      </c>
      <c r="CC68" s="97">
        <f t="shared" si="56"/>
        <v>0</v>
      </c>
      <c r="CD68" s="97">
        <f t="shared" si="57"/>
        <v>0</v>
      </c>
      <c r="CE68" s="96"/>
      <c r="CF68" s="65">
        <f t="shared" si="58"/>
        <v>0</v>
      </c>
      <c r="CG68" s="65">
        <f t="shared" si="59"/>
        <v>0</v>
      </c>
      <c r="CH68" s="65">
        <f t="shared" si="60"/>
        <v>0</v>
      </c>
      <c r="CI68" s="96"/>
      <c r="CJ68" s="65">
        <f t="shared" si="61"/>
        <v>0</v>
      </c>
      <c r="CK68" s="65">
        <f t="shared" si="62"/>
        <v>0</v>
      </c>
      <c r="CL68" s="65">
        <f t="shared" si="63"/>
        <v>0</v>
      </c>
      <c r="CM68" s="96"/>
      <c r="CN68" s="65">
        <f t="shared" si="64"/>
        <v>0</v>
      </c>
      <c r="CO68" s="65">
        <f t="shared" si="65"/>
        <v>0</v>
      </c>
      <c r="CP68" s="65">
        <f t="shared" si="66"/>
        <v>0</v>
      </c>
      <c r="CQ68" s="96"/>
      <c r="CR68" s="65">
        <f t="shared" si="67"/>
        <v>0</v>
      </c>
      <c r="CS68" s="65">
        <f t="shared" si="68"/>
        <v>0</v>
      </c>
      <c r="CT68" s="65">
        <f t="shared" si="69"/>
        <v>0</v>
      </c>
      <c r="CU68" s="96"/>
      <c r="CV68" s="65">
        <f t="shared" si="70"/>
        <v>0</v>
      </c>
      <c r="CW68" s="65">
        <f t="shared" si="71"/>
        <v>0</v>
      </c>
      <c r="CX68" s="65">
        <f t="shared" si="72"/>
        <v>0</v>
      </c>
      <c r="CY68" s="96"/>
      <c r="CZ68" s="97">
        <f t="shared" si="73"/>
        <v>0</v>
      </c>
      <c r="DA68" s="97">
        <f t="shared" si="74"/>
        <v>0</v>
      </c>
      <c r="DB68" s="97">
        <f t="shared" si="75"/>
        <v>0</v>
      </c>
      <c r="DC68" s="96"/>
      <c r="DD68" s="97">
        <f t="shared" si="76"/>
        <v>0</v>
      </c>
      <c r="DE68" s="97">
        <f t="shared" si="77"/>
        <v>0</v>
      </c>
      <c r="DF68" s="97">
        <f t="shared" si="78"/>
        <v>0</v>
      </c>
      <c r="DG68" s="96"/>
      <c r="DH68" s="97">
        <f t="shared" si="79"/>
        <v>0</v>
      </c>
      <c r="DI68" s="97">
        <f t="shared" si="80"/>
        <v>0</v>
      </c>
      <c r="DJ68" s="97">
        <f t="shared" si="81"/>
        <v>0</v>
      </c>
      <c r="DK68" s="96"/>
      <c r="DL68" s="97">
        <f t="shared" si="82"/>
        <v>0</v>
      </c>
      <c r="DM68" s="97">
        <f t="shared" si="83"/>
        <v>0</v>
      </c>
      <c r="DN68" s="97">
        <f t="shared" si="84"/>
        <v>0</v>
      </c>
      <c r="DO68" s="96"/>
      <c r="DP68" s="97">
        <f t="shared" si="85"/>
        <v>0</v>
      </c>
      <c r="DQ68" s="97">
        <f t="shared" si="86"/>
        <v>0</v>
      </c>
      <c r="DR68" s="97">
        <f t="shared" si="87"/>
        <v>0</v>
      </c>
      <c r="DS68" s="96"/>
      <c r="DT68" s="65">
        <f t="shared" si="88"/>
        <v>0</v>
      </c>
      <c r="DU68" s="65">
        <f t="shared" si="89"/>
        <v>0</v>
      </c>
      <c r="DV68" s="65">
        <f t="shared" si="90"/>
        <v>0</v>
      </c>
      <c r="DW68" s="96"/>
      <c r="DX68" s="65">
        <f t="shared" si="91"/>
        <v>0</v>
      </c>
      <c r="DY68" s="65">
        <f t="shared" si="92"/>
        <v>0</v>
      </c>
      <c r="DZ68" s="65">
        <f t="shared" si="93"/>
        <v>0</v>
      </c>
      <c r="EA68" s="96"/>
      <c r="EB68" s="65">
        <f t="shared" si="94"/>
        <v>0</v>
      </c>
      <c r="EC68" s="65">
        <f t="shared" si="95"/>
        <v>0</v>
      </c>
      <c r="ED68" s="65">
        <f t="shared" si="96"/>
        <v>0</v>
      </c>
    </row>
    <row r="69" spans="1:134" x14ac:dyDescent="0.2">
      <c r="A69" s="71"/>
      <c r="B69" s="96" t="s">
        <v>52</v>
      </c>
      <c r="C69" s="96"/>
      <c r="D69" s="97">
        <f t="shared" si="0"/>
        <v>0</v>
      </c>
      <c r="E69" s="97">
        <f t="shared" si="97"/>
        <v>0</v>
      </c>
      <c r="F69" s="97">
        <f t="shared" si="98"/>
        <v>0</v>
      </c>
      <c r="G69" s="96"/>
      <c r="H69" s="97">
        <f t="shared" si="1"/>
        <v>0</v>
      </c>
      <c r="I69" s="97">
        <f t="shared" si="2"/>
        <v>0</v>
      </c>
      <c r="J69" s="97">
        <f t="shared" si="3"/>
        <v>0</v>
      </c>
      <c r="K69" s="96"/>
      <c r="L69" s="97">
        <f t="shared" si="4"/>
        <v>0</v>
      </c>
      <c r="M69" s="97">
        <f t="shared" si="5"/>
        <v>0</v>
      </c>
      <c r="N69" s="97">
        <f t="shared" si="6"/>
        <v>0</v>
      </c>
      <c r="O69" s="96"/>
      <c r="P69" s="97">
        <f t="shared" si="7"/>
        <v>0</v>
      </c>
      <c r="Q69" s="97">
        <f t="shared" si="8"/>
        <v>0</v>
      </c>
      <c r="R69" s="97">
        <f t="shared" si="9"/>
        <v>0</v>
      </c>
      <c r="S69" s="96"/>
      <c r="T69" s="97">
        <f t="shared" si="10"/>
        <v>0</v>
      </c>
      <c r="U69" s="97">
        <f t="shared" si="11"/>
        <v>0</v>
      </c>
      <c r="V69" s="97">
        <f t="shared" si="12"/>
        <v>0</v>
      </c>
      <c r="W69" s="96"/>
      <c r="X69" s="97">
        <f t="shared" si="13"/>
        <v>0</v>
      </c>
      <c r="Y69" s="97">
        <f t="shared" si="14"/>
        <v>0</v>
      </c>
      <c r="Z69" s="97">
        <f t="shared" si="15"/>
        <v>0</v>
      </c>
      <c r="AA69" s="96"/>
      <c r="AB69" s="97">
        <f t="shared" si="16"/>
        <v>0</v>
      </c>
      <c r="AC69" s="97">
        <f t="shared" si="17"/>
        <v>0</v>
      </c>
      <c r="AD69" s="97">
        <f t="shared" si="18"/>
        <v>0</v>
      </c>
      <c r="AE69" s="96"/>
      <c r="AF69" s="97">
        <f t="shared" si="19"/>
        <v>0</v>
      </c>
      <c r="AG69" s="97">
        <f t="shared" si="20"/>
        <v>0</v>
      </c>
      <c r="AH69" s="97">
        <f t="shared" si="21"/>
        <v>0</v>
      </c>
      <c r="AI69" s="96"/>
      <c r="AJ69" s="97">
        <f t="shared" si="22"/>
        <v>0</v>
      </c>
      <c r="AK69" s="97">
        <f t="shared" si="23"/>
        <v>0</v>
      </c>
      <c r="AL69" s="97">
        <f t="shared" si="24"/>
        <v>0</v>
      </c>
      <c r="AM69" s="96"/>
      <c r="AN69" s="97">
        <f t="shared" si="25"/>
        <v>0</v>
      </c>
      <c r="AO69" s="97">
        <f t="shared" si="26"/>
        <v>0</v>
      </c>
      <c r="AP69" s="97">
        <f t="shared" si="27"/>
        <v>0</v>
      </c>
      <c r="AQ69" s="96"/>
      <c r="AR69" s="97">
        <f t="shared" si="28"/>
        <v>0</v>
      </c>
      <c r="AS69" s="97">
        <f t="shared" si="29"/>
        <v>0</v>
      </c>
      <c r="AT69" s="97">
        <f t="shared" si="30"/>
        <v>0</v>
      </c>
      <c r="AU69" s="96"/>
      <c r="AV69" s="97">
        <f t="shared" si="31"/>
        <v>0</v>
      </c>
      <c r="AW69" s="97">
        <f t="shared" si="32"/>
        <v>0</v>
      </c>
      <c r="AX69" s="97">
        <f t="shared" si="33"/>
        <v>0</v>
      </c>
      <c r="AY69" s="96"/>
      <c r="AZ69" s="65">
        <f t="shared" si="34"/>
        <v>0</v>
      </c>
      <c r="BA69" s="65">
        <f t="shared" si="35"/>
        <v>0</v>
      </c>
      <c r="BB69" s="65">
        <f t="shared" si="36"/>
        <v>0</v>
      </c>
      <c r="BC69" s="96"/>
      <c r="BD69" s="65">
        <f t="shared" si="37"/>
        <v>0</v>
      </c>
      <c r="BE69" s="65">
        <f t="shared" si="38"/>
        <v>0</v>
      </c>
      <c r="BF69" s="65">
        <f t="shared" si="39"/>
        <v>0</v>
      </c>
      <c r="BG69" s="96"/>
      <c r="BH69" s="65">
        <f t="shared" si="40"/>
        <v>0</v>
      </c>
      <c r="BI69" s="65">
        <f t="shared" si="41"/>
        <v>0</v>
      </c>
      <c r="BJ69" s="65">
        <f t="shared" si="42"/>
        <v>0</v>
      </c>
      <c r="BK69" s="96"/>
      <c r="BL69" s="97">
        <f t="shared" si="43"/>
        <v>0</v>
      </c>
      <c r="BM69" s="97">
        <f t="shared" si="44"/>
        <v>0</v>
      </c>
      <c r="BN69" s="97">
        <f t="shared" si="45"/>
        <v>0</v>
      </c>
      <c r="BO69" s="96"/>
      <c r="BP69" s="97">
        <f t="shared" si="46"/>
        <v>0</v>
      </c>
      <c r="BQ69" s="97">
        <f t="shared" si="47"/>
        <v>0</v>
      </c>
      <c r="BR69" s="97">
        <f t="shared" si="48"/>
        <v>0</v>
      </c>
      <c r="BS69" s="96"/>
      <c r="BT69" s="97">
        <f t="shared" si="49"/>
        <v>0</v>
      </c>
      <c r="BU69" s="97">
        <f t="shared" si="50"/>
        <v>0</v>
      </c>
      <c r="BV69" s="97">
        <f t="shared" si="51"/>
        <v>0</v>
      </c>
      <c r="BW69" s="96"/>
      <c r="BX69" s="97">
        <f t="shared" si="52"/>
        <v>0</v>
      </c>
      <c r="BY69" s="97">
        <f t="shared" si="53"/>
        <v>0</v>
      </c>
      <c r="BZ69" s="97">
        <f t="shared" si="54"/>
        <v>0</v>
      </c>
      <c r="CA69" s="96"/>
      <c r="CB69" s="97">
        <f t="shared" si="55"/>
        <v>0</v>
      </c>
      <c r="CC69" s="97">
        <f t="shared" si="56"/>
        <v>0</v>
      </c>
      <c r="CD69" s="97">
        <f t="shared" si="57"/>
        <v>0</v>
      </c>
      <c r="CE69" s="96"/>
      <c r="CF69" s="65">
        <f t="shared" si="58"/>
        <v>0</v>
      </c>
      <c r="CG69" s="65">
        <f t="shared" si="59"/>
        <v>0</v>
      </c>
      <c r="CH69" s="65">
        <f t="shared" si="60"/>
        <v>0</v>
      </c>
      <c r="CI69" s="96"/>
      <c r="CJ69" s="65">
        <f t="shared" si="61"/>
        <v>0</v>
      </c>
      <c r="CK69" s="65">
        <f t="shared" si="62"/>
        <v>0</v>
      </c>
      <c r="CL69" s="65">
        <f t="shared" si="63"/>
        <v>0</v>
      </c>
      <c r="CM69" s="96"/>
      <c r="CN69" s="65">
        <f t="shared" si="64"/>
        <v>0</v>
      </c>
      <c r="CO69" s="65">
        <f t="shared" si="65"/>
        <v>0</v>
      </c>
      <c r="CP69" s="65">
        <f t="shared" si="66"/>
        <v>0</v>
      </c>
      <c r="CQ69" s="96"/>
      <c r="CR69" s="65">
        <f t="shared" si="67"/>
        <v>0</v>
      </c>
      <c r="CS69" s="65">
        <f t="shared" si="68"/>
        <v>0</v>
      </c>
      <c r="CT69" s="65">
        <f t="shared" si="69"/>
        <v>0</v>
      </c>
      <c r="CU69" s="96"/>
      <c r="CV69" s="65">
        <f t="shared" si="70"/>
        <v>0</v>
      </c>
      <c r="CW69" s="65">
        <f t="shared" si="71"/>
        <v>0</v>
      </c>
      <c r="CX69" s="65">
        <f t="shared" si="72"/>
        <v>0</v>
      </c>
      <c r="CY69" s="96"/>
      <c r="CZ69" s="97">
        <f t="shared" si="73"/>
        <v>0</v>
      </c>
      <c r="DA69" s="97">
        <f t="shared" si="74"/>
        <v>0</v>
      </c>
      <c r="DB69" s="97">
        <f t="shared" si="75"/>
        <v>0</v>
      </c>
      <c r="DC69" s="96"/>
      <c r="DD69" s="97">
        <f t="shared" si="76"/>
        <v>0</v>
      </c>
      <c r="DE69" s="97">
        <f t="shared" si="77"/>
        <v>0</v>
      </c>
      <c r="DF69" s="97">
        <f t="shared" si="78"/>
        <v>0</v>
      </c>
      <c r="DG69" s="96"/>
      <c r="DH69" s="97">
        <f t="shared" si="79"/>
        <v>0</v>
      </c>
      <c r="DI69" s="97">
        <f t="shared" si="80"/>
        <v>0</v>
      </c>
      <c r="DJ69" s="97">
        <f t="shared" si="81"/>
        <v>0</v>
      </c>
      <c r="DK69" s="96"/>
      <c r="DL69" s="97">
        <f t="shared" si="82"/>
        <v>0</v>
      </c>
      <c r="DM69" s="97">
        <f t="shared" si="83"/>
        <v>0</v>
      </c>
      <c r="DN69" s="97">
        <f t="shared" si="84"/>
        <v>0</v>
      </c>
      <c r="DO69" s="96"/>
      <c r="DP69" s="97">
        <f t="shared" si="85"/>
        <v>0</v>
      </c>
      <c r="DQ69" s="97">
        <f t="shared" si="86"/>
        <v>0</v>
      </c>
      <c r="DR69" s="97">
        <f t="shared" si="87"/>
        <v>0</v>
      </c>
      <c r="DS69" s="96"/>
      <c r="DT69" s="65">
        <f t="shared" si="88"/>
        <v>0</v>
      </c>
      <c r="DU69" s="65">
        <f t="shared" si="89"/>
        <v>0</v>
      </c>
      <c r="DV69" s="65">
        <f t="shared" si="90"/>
        <v>0</v>
      </c>
      <c r="DW69" s="96"/>
      <c r="DX69" s="65">
        <f t="shared" si="91"/>
        <v>0</v>
      </c>
      <c r="DY69" s="65">
        <f t="shared" si="92"/>
        <v>0</v>
      </c>
      <c r="DZ69" s="65">
        <f t="shared" si="93"/>
        <v>0</v>
      </c>
      <c r="EA69" s="96"/>
      <c r="EB69" s="65">
        <f t="shared" si="94"/>
        <v>0</v>
      </c>
      <c r="EC69" s="65">
        <f t="shared" si="95"/>
        <v>0</v>
      </c>
      <c r="ED69" s="65">
        <f t="shared" si="96"/>
        <v>0</v>
      </c>
    </row>
    <row r="70" spans="1:134" x14ac:dyDescent="0.2">
      <c r="A70" s="71"/>
      <c r="B70" s="96" t="s">
        <v>52</v>
      </c>
      <c r="C70" s="96"/>
      <c r="D70" s="97">
        <f t="shared" si="0"/>
        <v>0</v>
      </c>
      <c r="E70" s="97">
        <f t="shared" si="97"/>
        <v>0</v>
      </c>
      <c r="F70" s="97">
        <f t="shared" si="98"/>
        <v>0</v>
      </c>
      <c r="G70" s="96"/>
      <c r="H70" s="97">
        <f t="shared" si="1"/>
        <v>0</v>
      </c>
      <c r="I70" s="97">
        <f t="shared" si="2"/>
        <v>0</v>
      </c>
      <c r="J70" s="97">
        <f t="shared" si="3"/>
        <v>0</v>
      </c>
      <c r="K70" s="96"/>
      <c r="L70" s="97">
        <f t="shared" si="4"/>
        <v>0</v>
      </c>
      <c r="M70" s="97">
        <f t="shared" si="5"/>
        <v>0</v>
      </c>
      <c r="N70" s="97">
        <f t="shared" si="6"/>
        <v>0</v>
      </c>
      <c r="O70" s="96"/>
      <c r="P70" s="97">
        <f t="shared" si="7"/>
        <v>0</v>
      </c>
      <c r="Q70" s="97">
        <f t="shared" si="8"/>
        <v>0</v>
      </c>
      <c r="R70" s="97">
        <f t="shared" si="9"/>
        <v>0</v>
      </c>
      <c r="S70" s="96"/>
      <c r="T70" s="97">
        <f t="shared" si="10"/>
        <v>0</v>
      </c>
      <c r="U70" s="97">
        <f t="shared" si="11"/>
        <v>0</v>
      </c>
      <c r="V70" s="97">
        <f t="shared" si="12"/>
        <v>0</v>
      </c>
      <c r="W70" s="96"/>
      <c r="X70" s="97">
        <f t="shared" si="13"/>
        <v>0</v>
      </c>
      <c r="Y70" s="97">
        <f t="shared" si="14"/>
        <v>0</v>
      </c>
      <c r="Z70" s="97">
        <f t="shared" si="15"/>
        <v>0</v>
      </c>
      <c r="AA70" s="96"/>
      <c r="AB70" s="97">
        <f t="shared" si="16"/>
        <v>0</v>
      </c>
      <c r="AC70" s="97">
        <f t="shared" si="17"/>
        <v>0</v>
      </c>
      <c r="AD70" s="97">
        <f t="shared" si="18"/>
        <v>0</v>
      </c>
      <c r="AE70" s="96"/>
      <c r="AF70" s="97">
        <f t="shared" si="19"/>
        <v>0</v>
      </c>
      <c r="AG70" s="97">
        <f t="shared" si="20"/>
        <v>0</v>
      </c>
      <c r="AH70" s="97">
        <f t="shared" si="21"/>
        <v>0</v>
      </c>
      <c r="AI70" s="96"/>
      <c r="AJ70" s="97">
        <f t="shared" si="22"/>
        <v>0</v>
      </c>
      <c r="AK70" s="97">
        <f t="shared" si="23"/>
        <v>0</v>
      </c>
      <c r="AL70" s="97">
        <f t="shared" si="24"/>
        <v>0</v>
      </c>
      <c r="AM70" s="96"/>
      <c r="AN70" s="97">
        <f t="shared" si="25"/>
        <v>0</v>
      </c>
      <c r="AO70" s="97">
        <f t="shared" si="26"/>
        <v>0</v>
      </c>
      <c r="AP70" s="97">
        <f t="shared" si="27"/>
        <v>0</v>
      </c>
      <c r="AQ70" s="96"/>
      <c r="AR70" s="97">
        <f t="shared" si="28"/>
        <v>0</v>
      </c>
      <c r="AS70" s="97">
        <f t="shared" si="29"/>
        <v>0</v>
      </c>
      <c r="AT70" s="97">
        <f t="shared" si="30"/>
        <v>0</v>
      </c>
      <c r="AU70" s="96"/>
      <c r="AV70" s="97">
        <f t="shared" si="31"/>
        <v>0</v>
      </c>
      <c r="AW70" s="97">
        <f t="shared" si="32"/>
        <v>0</v>
      </c>
      <c r="AX70" s="97">
        <f t="shared" si="33"/>
        <v>0</v>
      </c>
      <c r="AY70" s="96"/>
      <c r="AZ70" s="65">
        <f t="shared" si="34"/>
        <v>0</v>
      </c>
      <c r="BA70" s="65">
        <f t="shared" si="35"/>
        <v>0</v>
      </c>
      <c r="BB70" s="65">
        <f t="shared" si="36"/>
        <v>0</v>
      </c>
      <c r="BC70" s="96"/>
      <c r="BD70" s="65">
        <f t="shared" si="37"/>
        <v>0</v>
      </c>
      <c r="BE70" s="65">
        <f t="shared" si="38"/>
        <v>0</v>
      </c>
      <c r="BF70" s="65">
        <f t="shared" si="39"/>
        <v>0</v>
      </c>
      <c r="BG70" s="96"/>
      <c r="BH70" s="65">
        <f t="shared" si="40"/>
        <v>0</v>
      </c>
      <c r="BI70" s="65">
        <f t="shared" si="41"/>
        <v>0</v>
      </c>
      <c r="BJ70" s="65">
        <f t="shared" si="42"/>
        <v>0</v>
      </c>
      <c r="BK70" s="96"/>
      <c r="BL70" s="97">
        <f t="shared" si="43"/>
        <v>0</v>
      </c>
      <c r="BM70" s="97">
        <f t="shared" si="44"/>
        <v>0</v>
      </c>
      <c r="BN70" s="97">
        <f t="shared" si="45"/>
        <v>0</v>
      </c>
      <c r="BO70" s="96"/>
      <c r="BP70" s="97">
        <f t="shared" si="46"/>
        <v>0</v>
      </c>
      <c r="BQ70" s="97">
        <f t="shared" si="47"/>
        <v>0</v>
      </c>
      <c r="BR70" s="97">
        <f t="shared" si="48"/>
        <v>0</v>
      </c>
      <c r="BS70" s="96"/>
      <c r="BT70" s="97">
        <f t="shared" si="49"/>
        <v>0</v>
      </c>
      <c r="BU70" s="97">
        <f t="shared" si="50"/>
        <v>0</v>
      </c>
      <c r="BV70" s="97">
        <f t="shared" si="51"/>
        <v>0</v>
      </c>
      <c r="BW70" s="96"/>
      <c r="BX70" s="97">
        <f t="shared" si="52"/>
        <v>0</v>
      </c>
      <c r="BY70" s="97">
        <f t="shared" si="53"/>
        <v>0</v>
      </c>
      <c r="BZ70" s="97">
        <f t="shared" si="54"/>
        <v>0</v>
      </c>
      <c r="CA70" s="96"/>
      <c r="CB70" s="97">
        <f t="shared" si="55"/>
        <v>0</v>
      </c>
      <c r="CC70" s="97">
        <f t="shared" si="56"/>
        <v>0</v>
      </c>
      <c r="CD70" s="97">
        <f t="shared" si="57"/>
        <v>0</v>
      </c>
      <c r="CE70" s="96"/>
      <c r="CF70" s="65">
        <f t="shared" si="58"/>
        <v>0</v>
      </c>
      <c r="CG70" s="65">
        <f t="shared" si="59"/>
        <v>0</v>
      </c>
      <c r="CH70" s="65">
        <f t="shared" si="60"/>
        <v>0</v>
      </c>
      <c r="CI70" s="96"/>
      <c r="CJ70" s="65">
        <f t="shared" si="61"/>
        <v>0</v>
      </c>
      <c r="CK70" s="65">
        <f t="shared" si="62"/>
        <v>0</v>
      </c>
      <c r="CL70" s="65">
        <f t="shared" si="63"/>
        <v>0</v>
      </c>
      <c r="CM70" s="96"/>
      <c r="CN70" s="65">
        <f t="shared" si="64"/>
        <v>0</v>
      </c>
      <c r="CO70" s="65">
        <f t="shared" si="65"/>
        <v>0</v>
      </c>
      <c r="CP70" s="65">
        <f t="shared" si="66"/>
        <v>0</v>
      </c>
      <c r="CQ70" s="96"/>
      <c r="CR70" s="65">
        <f t="shared" si="67"/>
        <v>0</v>
      </c>
      <c r="CS70" s="65">
        <f t="shared" si="68"/>
        <v>0</v>
      </c>
      <c r="CT70" s="65">
        <f t="shared" si="69"/>
        <v>0</v>
      </c>
      <c r="CU70" s="96"/>
      <c r="CV70" s="65">
        <f t="shared" si="70"/>
        <v>0</v>
      </c>
      <c r="CW70" s="65">
        <f t="shared" si="71"/>
        <v>0</v>
      </c>
      <c r="CX70" s="65">
        <f t="shared" si="72"/>
        <v>0</v>
      </c>
      <c r="CY70" s="96"/>
      <c r="CZ70" s="97">
        <f t="shared" si="73"/>
        <v>0</v>
      </c>
      <c r="DA70" s="97">
        <f t="shared" si="74"/>
        <v>0</v>
      </c>
      <c r="DB70" s="97">
        <f t="shared" si="75"/>
        <v>0</v>
      </c>
      <c r="DC70" s="96"/>
      <c r="DD70" s="97">
        <f t="shared" si="76"/>
        <v>0</v>
      </c>
      <c r="DE70" s="97">
        <f t="shared" si="77"/>
        <v>0</v>
      </c>
      <c r="DF70" s="97">
        <f t="shared" si="78"/>
        <v>0</v>
      </c>
      <c r="DG70" s="96"/>
      <c r="DH70" s="97">
        <f t="shared" si="79"/>
        <v>0</v>
      </c>
      <c r="DI70" s="97">
        <f t="shared" si="80"/>
        <v>0</v>
      </c>
      <c r="DJ70" s="97">
        <f t="shared" si="81"/>
        <v>0</v>
      </c>
      <c r="DK70" s="96"/>
      <c r="DL70" s="97">
        <f t="shared" si="82"/>
        <v>0</v>
      </c>
      <c r="DM70" s="97">
        <f t="shared" si="83"/>
        <v>0</v>
      </c>
      <c r="DN70" s="97">
        <f t="shared" si="84"/>
        <v>0</v>
      </c>
      <c r="DO70" s="96"/>
      <c r="DP70" s="97">
        <f t="shared" si="85"/>
        <v>0</v>
      </c>
      <c r="DQ70" s="97">
        <f t="shared" si="86"/>
        <v>0</v>
      </c>
      <c r="DR70" s="97">
        <f t="shared" si="87"/>
        <v>0</v>
      </c>
      <c r="DS70" s="96"/>
      <c r="DT70" s="65">
        <f t="shared" si="88"/>
        <v>0</v>
      </c>
      <c r="DU70" s="65">
        <f t="shared" si="89"/>
        <v>0</v>
      </c>
      <c r="DV70" s="65">
        <f t="shared" si="90"/>
        <v>0</v>
      </c>
      <c r="DW70" s="96"/>
      <c r="DX70" s="65">
        <f t="shared" si="91"/>
        <v>0</v>
      </c>
      <c r="DY70" s="65">
        <f t="shared" si="92"/>
        <v>0</v>
      </c>
      <c r="DZ70" s="65">
        <f t="shared" si="93"/>
        <v>0</v>
      </c>
      <c r="EA70" s="96"/>
      <c r="EB70" s="65">
        <f t="shared" si="94"/>
        <v>0</v>
      </c>
      <c r="EC70" s="65">
        <f t="shared" si="95"/>
        <v>0</v>
      </c>
      <c r="ED70" s="65">
        <f t="shared" si="96"/>
        <v>0</v>
      </c>
    </row>
    <row r="71" spans="1:134" x14ac:dyDescent="0.2">
      <c r="A71" s="71"/>
      <c r="B71" s="96" t="s">
        <v>52</v>
      </c>
      <c r="C71" s="96"/>
      <c r="D71" s="97">
        <f t="shared" si="0"/>
        <v>0</v>
      </c>
      <c r="E71" s="97">
        <f t="shared" si="97"/>
        <v>0</v>
      </c>
      <c r="F71" s="97">
        <f t="shared" si="98"/>
        <v>0</v>
      </c>
      <c r="G71" s="96"/>
      <c r="H71" s="97">
        <f t="shared" si="1"/>
        <v>0</v>
      </c>
      <c r="I71" s="97">
        <f t="shared" si="2"/>
        <v>0</v>
      </c>
      <c r="J71" s="97">
        <f t="shared" si="3"/>
        <v>0</v>
      </c>
      <c r="K71" s="96"/>
      <c r="L71" s="97">
        <f t="shared" si="4"/>
        <v>0</v>
      </c>
      <c r="M71" s="97">
        <f t="shared" si="5"/>
        <v>0</v>
      </c>
      <c r="N71" s="97">
        <f t="shared" si="6"/>
        <v>0</v>
      </c>
      <c r="O71" s="96"/>
      <c r="P71" s="97">
        <f t="shared" si="7"/>
        <v>0</v>
      </c>
      <c r="Q71" s="97">
        <f t="shared" si="8"/>
        <v>0</v>
      </c>
      <c r="R71" s="97">
        <f t="shared" si="9"/>
        <v>0</v>
      </c>
      <c r="S71" s="96"/>
      <c r="T71" s="97">
        <f t="shared" si="10"/>
        <v>0</v>
      </c>
      <c r="U71" s="97">
        <f t="shared" si="11"/>
        <v>0</v>
      </c>
      <c r="V71" s="97">
        <f t="shared" si="12"/>
        <v>0</v>
      </c>
      <c r="W71" s="96"/>
      <c r="X71" s="97">
        <f t="shared" si="13"/>
        <v>0</v>
      </c>
      <c r="Y71" s="97">
        <f t="shared" si="14"/>
        <v>0</v>
      </c>
      <c r="Z71" s="97">
        <f t="shared" si="15"/>
        <v>0</v>
      </c>
      <c r="AA71" s="96"/>
      <c r="AB71" s="97">
        <f t="shared" si="16"/>
        <v>0</v>
      </c>
      <c r="AC71" s="97">
        <f t="shared" si="17"/>
        <v>0</v>
      </c>
      <c r="AD71" s="97">
        <f t="shared" si="18"/>
        <v>0</v>
      </c>
      <c r="AE71" s="96"/>
      <c r="AF71" s="97">
        <f t="shared" si="19"/>
        <v>0</v>
      </c>
      <c r="AG71" s="97">
        <f t="shared" si="20"/>
        <v>0</v>
      </c>
      <c r="AH71" s="97">
        <f t="shared" si="21"/>
        <v>0</v>
      </c>
      <c r="AI71" s="96"/>
      <c r="AJ71" s="97">
        <f t="shared" si="22"/>
        <v>0</v>
      </c>
      <c r="AK71" s="97">
        <f t="shared" si="23"/>
        <v>0</v>
      </c>
      <c r="AL71" s="97">
        <f t="shared" si="24"/>
        <v>0</v>
      </c>
      <c r="AM71" s="96"/>
      <c r="AN71" s="97">
        <f t="shared" si="25"/>
        <v>0</v>
      </c>
      <c r="AO71" s="97">
        <f t="shared" si="26"/>
        <v>0</v>
      </c>
      <c r="AP71" s="97">
        <f t="shared" si="27"/>
        <v>0</v>
      </c>
      <c r="AQ71" s="96"/>
      <c r="AR71" s="97">
        <f t="shared" si="28"/>
        <v>0</v>
      </c>
      <c r="AS71" s="97">
        <f t="shared" si="29"/>
        <v>0</v>
      </c>
      <c r="AT71" s="97">
        <f t="shared" si="30"/>
        <v>0</v>
      </c>
      <c r="AU71" s="96"/>
      <c r="AV71" s="97">
        <f t="shared" si="31"/>
        <v>0</v>
      </c>
      <c r="AW71" s="97">
        <f t="shared" si="32"/>
        <v>0</v>
      </c>
      <c r="AX71" s="97">
        <f t="shared" si="33"/>
        <v>0</v>
      </c>
      <c r="AY71" s="96"/>
      <c r="AZ71" s="65">
        <f t="shared" si="34"/>
        <v>0</v>
      </c>
      <c r="BA71" s="65">
        <f t="shared" si="35"/>
        <v>0</v>
      </c>
      <c r="BB71" s="65">
        <f t="shared" si="36"/>
        <v>0</v>
      </c>
      <c r="BC71" s="96"/>
      <c r="BD71" s="65">
        <f t="shared" si="37"/>
        <v>0</v>
      </c>
      <c r="BE71" s="65">
        <f t="shared" si="38"/>
        <v>0</v>
      </c>
      <c r="BF71" s="65">
        <f t="shared" si="39"/>
        <v>0</v>
      </c>
      <c r="BG71" s="96"/>
      <c r="BH71" s="65">
        <f t="shared" si="40"/>
        <v>0</v>
      </c>
      <c r="BI71" s="65">
        <f t="shared" si="41"/>
        <v>0</v>
      </c>
      <c r="BJ71" s="65">
        <f t="shared" si="42"/>
        <v>0</v>
      </c>
      <c r="BK71" s="96"/>
      <c r="BL71" s="97">
        <f t="shared" si="43"/>
        <v>0</v>
      </c>
      <c r="BM71" s="97">
        <f t="shared" si="44"/>
        <v>0</v>
      </c>
      <c r="BN71" s="97">
        <f t="shared" si="45"/>
        <v>0</v>
      </c>
      <c r="BO71" s="96"/>
      <c r="BP71" s="97">
        <f t="shared" si="46"/>
        <v>0</v>
      </c>
      <c r="BQ71" s="97">
        <f t="shared" si="47"/>
        <v>0</v>
      </c>
      <c r="BR71" s="97">
        <f t="shared" si="48"/>
        <v>0</v>
      </c>
      <c r="BS71" s="96"/>
      <c r="BT71" s="97">
        <f t="shared" si="49"/>
        <v>0</v>
      </c>
      <c r="BU71" s="97">
        <f t="shared" si="50"/>
        <v>0</v>
      </c>
      <c r="BV71" s="97">
        <f t="shared" si="51"/>
        <v>0</v>
      </c>
      <c r="BW71" s="96"/>
      <c r="BX71" s="97">
        <f t="shared" si="52"/>
        <v>0</v>
      </c>
      <c r="BY71" s="97">
        <f t="shared" si="53"/>
        <v>0</v>
      </c>
      <c r="BZ71" s="97">
        <f t="shared" si="54"/>
        <v>0</v>
      </c>
      <c r="CA71" s="96"/>
      <c r="CB71" s="97">
        <f t="shared" si="55"/>
        <v>0</v>
      </c>
      <c r="CC71" s="97">
        <f t="shared" si="56"/>
        <v>0</v>
      </c>
      <c r="CD71" s="97">
        <f t="shared" si="57"/>
        <v>0</v>
      </c>
      <c r="CE71" s="96"/>
      <c r="CF71" s="65">
        <f t="shared" si="58"/>
        <v>0</v>
      </c>
      <c r="CG71" s="65">
        <f t="shared" si="59"/>
        <v>0</v>
      </c>
      <c r="CH71" s="65">
        <f t="shared" si="60"/>
        <v>0</v>
      </c>
      <c r="CI71" s="96"/>
      <c r="CJ71" s="65">
        <f t="shared" si="61"/>
        <v>0</v>
      </c>
      <c r="CK71" s="65">
        <f t="shared" si="62"/>
        <v>0</v>
      </c>
      <c r="CL71" s="65">
        <f t="shared" si="63"/>
        <v>0</v>
      </c>
      <c r="CM71" s="96"/>
      <c r="CN71" s="65">
        <f t="shared" si="64"/>
        <v>0</v>
      </c>
      <c r="CO71" s="65">
        <f t="shared" si="65"/>
        <v>0</v>
      </c>
      <c r="CP71" s="65">
        <f t="shared" si="66"/>
        <v>0</v>
      </c>
      <c r="CQ71" s="96"/>
      <c r="CR71" s="65">
        <f t="shared" si="67"/>
        <v>0</v>
      </c>
      <c r="CS71" s="65">
        <f t="shared" si="68"/>
        <v>0</v>
      </c>
      <c r="CT71" s="65">
        <f t="shared" si="69"/>
        <v>0</v>
      </c>
      <c r="CU71" s="96"/>
      <c r="CV71" s="65">
        <f t="shared" si="70"/>
        <v>0</v>
      </c>
      <c r="CW71" s="65">
        <f t="shared" si="71"/>
        <v>0</v>
      </c>
      <c r="CX71" s="65">
        <f t="shared" si="72"/>
        <v>0</v>
      </c>
      <c r="CY71" s="96"/>
      <c r="CZ71" s="97">
        <f t="shared" si="73"/>
        <v>0</v>
      </c>
      <c r="DA71" s="97">
        <f t="shared" si="74"/>
        <v>0</v>
      </c>
      <c r="DB71" s="97">
        <f t="shared" si="75"/>
        <v>0</v>
      </c>
      <c r="DC71" s="96"/>
      <c r="DD71" s="97">
        <f t="shared" si="76"/>
        <v>0</v>
      </c>
      <c r="DE71" s="97">
        <f t="shared" si="77"/>
        <v>0</v>
      </c>
      <c r="DF71" s="97">
        <f t="shared" si="78"/>
        <v>0</v>
      </c>
      <c r="DG71" s="96"/>
      <c r="DH71" s="97">
        <f t="shared" si="79"/>
        <v>0</v>
      </c>
      <c r="DI71" s="97">
        <f t="shared" si="80"/>
        <v>0</v>
      </c>
      <c r="DJ71" s="97">
        <f t="shared" si="81"/>
        <v>0</v>
      </c>
      <c r="DK71" s="96"/>
      <c r="DL71" s="97">
        <f t="shared" si="82"/>
        <v>0</v>
      </c>
      <c r="DM71" s="97">
        <f t="shared" si="83"/>
        <v>0</v>
      </c>
      <c r="DN71" s="97">
        <f t="shared" si="84"/>
        <v>0</v>
      </c>
      <c r="DO71" s="96"/>
      <c r="DP71" s="97">
        <f t="shared" si="85"/>
        <v>0</v>
      </c>
      <c r="DQ71" s="97">
        <f t="shared" si="86"/>
        <v>0</v>
      </c>
      <c r="DR71" s="97">
        <f t="shared" si="87"/>
        <v>0</v>
      </c>
      <c r="DS71" s="96"/>
      <c r="DT71" s="65">
        <f t="shared" si="88"/>
        <v>0</v>
      </c>
      <c r="DU71" s="65">
        <f t="shared" si="89"/>
        <v>0</v>
      </c>
      <c r="DV71" s="65">
        <f t="shared" si="90"/>
        <v>0</v>
      </c>
      <c r="DW71" s="96"/>
      <c r="DX71" s="65">
        <f t="shared" si="91"/>
        <v>0</v>
      </c>
      <c r="DY71" s="65">
        <f t="shared" si="92"/>
        <v>0</v>
      </c>
      <c r="DZ71" s="65">
        <f t="shared" si="93"/>
        <v>0</v>
      </c>
      <c r="EA71" s="96"/>
      <c r="EB71" s="65">
        <f t="shared" si="94"/>
        <v>0</v>
      </c>
      <c r="EC71" s="65">
        <f t="shared" si="95"/>
        <v>0</v>
      </c>
      <c r="ED71" s="65">
        <f t="shared" si="96"/>
        <v>0</v>
      </c>
    </row>
    <row r="72" spans="1:134" x14ac:dyDescent="0.2">
      <c r="A72" s="71"/>
      <c r="B72" s="96" t="s">
        <v>52</v>
      </c>
      <c r="C72" s="96"/>
      <c r="D72" s="97">
        <f t="shared" si="0"/>
        <v>0</v>
      </c>
      <c r="E72" s="97">
        <f t="shared" si="97"/>
        <v>0</v>
      </c>
      <c r="F72" s="97">
        <f t="shared" si="98"/>
        <v>0</v>
      </c>
      <c r="G72" s="96"/>
      <c r="H72" s="97">
        <f t="shared" si="1"/>
        <v>0</v>
      </c>
      <c r="I72" s="97">
        <f t="shared" si="2"/>
        <v>0</v>
      </c>
      <c r="J72" s="97">
        <f t="shared" si="3"/>
        <v>0</v>
      </c>
      <c r="K72" s="96"/>
      <c r="L72" s="97">
        <f t="shared" si="4"/>
        <v>0</v>
      </c>
      <c r="M72" s="97">
        <f t="shared" si="5"/>
        <v>0</v>
      </c>
      <c r="N72" s="97">
        <f t="shared" si="6"/>
        <v>0</v>
      </c>
      <c r="O72" s="96"/>
      <c r="P72" s="97">
        <f t="shared" si="7"/>
        <v>0</v>
      </c>
      <c r="Q72" s="97">
        <f t="shared" si="8"/>
        <v>0</v>
      </c>
      <c r="R72" s="97">
        <f t="shared" si="9"/>
        <v>0</v>
      </c>
      <c r="S72" s="96"/>
      <c r="T72" s="97">
        <f t="shared" si="10"/>
        <v>0</v>
      </c>
      <c r="U72" s="97">
        <f t="shared" si="11"/>
        <v>0</v>
      </c>
      <c r="V72" s="97">
        <f t="shared" si="12"/>
        <v>0</v>
      </c>
      <c r="W72" s="96"/>
      <c r="X72" s="97">
        <f t="shared" si="13"/>
        <v>0</v>
      </c>
      <c r="Y72" s="97">
        <f t="shared" si="14"/>
        <v>0</v>
      </c>
      <c r="Z72" s="97">
        <f t="shared" si="15"/>
        <v>0</v>
      </c>
      <c r="AA72" s="96"/>
      <c r="AB72" s="97">
        <f t="shared" si="16"/>
        <v>0</v>
      </c>
      <c r="AC72" s="97">
        <f t="shared" si="17"/>
        <v>0</v>
      </c>
      <c r="AD72" s="97">
        <f t="shared" si="18"/>
        <v>0</v>
      </c>
      <c r="AE72" s="96"/>
      <c r="AF72" s="97">
        <f t="shared" si="19"/>
        <v>0</v>
      </c>
      <c r="AG72" s="97">
        <f t="shared" si="20"/>
        <v>0</v>
      </c>
      <c r="AH72" s="97">
        <f t="shared" si="21"/>
        <v>0</v>
      </c>
      <c r="AI72" s="96"/>
      <c r="AJ72" s="97">
        <f t="shared" si="22"/>
        <v>0</v>
      </c>
      <c r="AK72" s="97">
        <f t="shared" si="23"/>
        <v>0</v>
      </c>
      <c r="AL72" s="97">
        <f t="shared" si="24"/>
        <v>0</v>
      </c>
      <c r="AM72" s="96"/>
      <c r="AN72" s="97">
        <f t="shared" si="25"/>
        <v>0</v>
      </c>
      <c r="AO72" s="97">
        <f t="shared" si="26"/>
        <v>0</v>
      </c>
      <c r="AP72" s="97">
        <f t="shared" si="27"/>
        <v>0</v>
      </c>
      <c r="AQ72" s="96"/>
      <c r="AR72" s="97">
        <f t="shared" si="28"/>
        <v>0</v>
      </c>
      <c r="AS72" s="97">
        <f t="shared" si="29"/>
        <v>0</v>
      </c>
      <c r="AT72" s="97">
        <f t="shared" si="30"/>
        <v>0</v>
      </c>
      <c r="AU72" s="96"/>
      <c r="AV72" s="97">
        <f t="shared" si="31"/>
        <v>0</v>
      </c>
      <c r="AW72" s="97">
        <f t="shared" si="32"/>
        <v>0</v>
      </c>
      <c r="AX72" s="97">
        <f t="shared" si="33"/>
        <v>0</v>
      </c>
      <c r="AY72" s="96"/>
      <c r="AZ72" s="65">
        <f t="shared" si="34"/>
        <v>0</v>
      </c>
      <c r="BA72" s="65">
        <f t="shared" si="35"/>
        <v>0</v>
      </c>
      <c r="BB72" s="65">
        <f t="shared" si="36"/>
        <v>0</v>
      </c>
      <c r="BC72" s="96"/>
      <c r="BD72" s="65">
        <f t="shared" si="37"/>
        <v>0</v>
      </c>
      <c r="BE72" s="65">
        <f t="shared" si="38"/>
        <v>0</v>
      </c>
      <c r="BF72" s="65">
        <f t="shared" si="39"/>
        <v>0</v>
      </c>
      <c r="BG72" s="96"/>
      <c r="BH72" s="65">
        <f t="shared" si="40"/>
        <v>0</v>
      </c>
      <c r="BI72" s="65">
        <f t="shared" si="41"/>
        <v>0</v>
      </c>
      <c r="BJ72" s="65">
        <f t="shared" si="42"/>
        <v>0</v>
      </c>
      <c r="BK72" s="96"/>
      <c r="BL72" s="97">
        <f t="shared" si="43"/>
        <v>0</v>
      </c>
      <c r="BM72" s="97">
        <f t="shared" si="44"/>
        <v>0</v>
      </c>
      <c r="BN72" s="97">
        <f t="shared" si="45"/>
        <v>0</v>
      </c>
      <c r="BO72" s="96"/>
      <c r="BP72" s="97">
        <f t="shared" si="46"/>
        <v>0</v>
      </c>
      <c r="BQ72" s="97">
        <f t="shared" si="47"/>
        <v>0</v>
      </c>
      <c r="BR72" s="97">
        <f t="shared" si="48"/>
        <v>0</v>
      </c>
      <c r="BS72" s="96"/>
      <c r="BT72" s="97">
        <f t="shared" si="49"/>
        <v>0</v>
      </c>
      <c r="BU72" s="97">
        <f t="shared" si="50"/>
        <v>0</v>
      </c>
      <c r="BV72" s="97">
        <f t="shared" si="51"/>
        <v>0</v>
      </c>
      <c r="BW72" s="96"/>
      <c r="BX72" s="97">
        <f t="shared" si="52"/>
        <v>0</v>
      </c>
      <c r="BY72" s="97">
        <f t="shared" si="53"/>
        <v>0</v>
      </c>
      <c r="BZ72" s="97">
        <f t="shared" si="54"/>
        <v>0</v>
      </c>
      <c r="CA72" s="96"/>
      <c r="CB72" s="97">
        <f t="shared" si="55"/>
        <v>0</v>
      </c>
      <c r="CC72" s="97">
        <f t="shared" si="56"/>
        <v>0</v>
      </c>
      <c r="CD72" s="97">
        <f t="shared" si="57"/>
        <v>0</v>
      </c>
      <c r="CE72" s="96"/>
      <c r="CF72" s="65">
        <f t="shared" si="58"/>
        <v>0</v>
      </c>
      <c r="CG72" s="65">
        <f t="shared" si="59"/>
        <v>0</v>
      </c>
      <c r="CH72" s="65">
        <f t="shared" si="60"/>
        <v>0</v>
      </c>
      <c r="CI72" s="96"/>
      <c r="CJ72" s="65">
        <f t="shared" si="61"/>
        <v>0</v>
      </c>
      <c r="CK72" s="65">
        <f t="shared" si="62"/>
        <v>0</v>
      </c>
      <c r="CL72" s="65">
        <f t="shared" si="63"/>
        <v>0</v>
      </c>
      <c r="CM72" s="96"/>
      <c r="CN72" s="65">
        <f t="shared" si="64"/>
        <v>0</v>
      </c>
      <c r="CO72" s="65">
        <f t="shared" si="65"/>
        <v>0</v>
      </c>
      <c r="CP72" s="65">
        <f t="shared" si="66"/>
        <v>0</v>
      </c>
      <c r="CQ72" s="96"/>
      <c r="CR72" s="65">
        <f t="shared" si="67"/>
        <v>0</v>
      </c>
      <c r="CS72" s="65">
        <f t="shared" si="68"/>
        <v>0</v>
      </c>
      <c r="CT72" s="65">
        <f t="shared" si="69"/>
        <v>0</v>
      </c>
      <c r="CU72" s="96"/>
      <c r="CV72" s="65">
        <f t="shared" si="70"/>
        <v>0</v>
      </c>
      <c r="CW72" s="65">
        <f t="shared" si="71"/>
        <v>0</v>
      </c>
      <c r="CX72" s="65">
        <f t="shared" si="72"/>
        <v>0</v>
      </c>
      <c r="CY72" s="96"/>
      <c r="CZ72" s="97">
        <f t="shared" si="73"/>
        <v>0</v>
      </c>
      <c r="DA72" s="97">
        <f t="shared" si="74"/>
        <v>0</v>
      </c>
      <c r="DB72" s="97">
        <f t="shared" si="75"/>
        <v>0</v>
      </c>
      <c r="DC72" s="96"/>
      <c r="DD72" s="97">
        <f t="shared" si="76"/>
        <v>0</v>
      </c>
      <c r="DE72" s="97">
        <f t="shared" si="77"/>
        <v>0</v>
      </c>
      <c r="DF72" s="97">
        <f t="shared" si="78"/>
        <v>0</v>
      </c>
      <c r="DG72" s="96"/>
      <c r="DH72" s="97">
        <f t="shared" si="79"/>
        <v>0</v>
      </c>
      <c r="DI72" s="97">
        <f t="shared" si="80"/>
        <v>0</v>
      </c>
      <c r="DJ72" s="97">
        <f t="shared" si="81"/>
        <v>0</v>
      </c>
      <c r="DK72" s="96"/>
      <c r="DL72" s="97">
        <f t="shared" si="82"/>
        <v>0</v>
      </c>
      <c r="DM72" s="97">
        <f t="shared" si="83"/>
        <v>0</v>
      </c>
      <c r="DN72" s="97">
        <f t="shared" si="84"/>
        <v>0</v>
      </c>
      <c r="DO72" s="96"/>
      <c r="DP72" s="97">
        <f t="shared" si="85"/>
        <v>0</v>
      </c>
      <c r="DQ72" s="97">
        <f t="shared" si="86"/>
        <v>0</v>
      </c>
      <c r="DR72" s="97">
        <f t="shared" si="87"/>
        <v>0</v>
      </c>
      <c r="DS72" s="96"/>
      <c r="DT72" s="65">
        <f t="shared" si="88"/>
        <v>0</v>
      </c>
      <c r="DU72" s="65">
        <f t="shared" si="89"/>
        <v>0</v>
      </c>
      <c r="DV72" s="65">
        <f t="shared" si="90"/>
        <v>0</v>
      </c>
      <c r="DW72" s="96"/>
      <c r="DX72" s="65">
        <f t="shared" si="91"/>
        <v>0</v>
      </c>
      <c r="DY72" s="65">
        <f t="shared" si="92"/>
        <v>0</v>
      </c>
      <c r="DZ72" s="65">
        <f t="shared" si="93"/>
        <v>0</v>
      </c>
      <c r="EA72" s="96"/>
      <c r="EB72" s="65">
        <f t="shared" si="94"/>
        <v>0</v>
      </c>
      <c r="EC72" s="65">
        <f t="shared" si="95"/>
        <v>0</v>
      </c>
      <c r="ED72" s="65">
        <f t="shared" si="96"/>
        <v>0</v>
      </c>
    </row>
    <row r="73" spans="1:134" x14ac:dyDescent="0.2">
      <c r="A73" s="71"/>
      <c r="B73" s="96" t="s">
        <v>52</v>
      </c>
      <c r="C73" s="96"/>
      <c r="D73" s="97">
        <f t="shared" si="0"/>
        <v>0</v>
      </c>
      <c r="E73" s="97">
        <f t="shared" si="97"/>
        <v>0</v>
      </c>
      <c r="F73" s="97">
        <f t="shared" si="98"/>
        <v>0</v>
      </c>
      <c r="G73" s="96"/>
      <c r="H73" s="97">
        <f t="shared" si="1"/>
        <v>0</v>
      </c>
      <c r="I73" s="97">
        <f t="shared" si="2"/>
        <v>0</v>
      </c>
      <c r="J73" s="97">
        <f t="shared" si="3"/>
        <v>0</v>
      </c>
      <c r="K73" s="96"/>
      <c r="L73" s="97">
        <f t="shared" si="4"/>
        <v>0</v>
      </c>
      <c r="M73" s="97">
        <f t="shared" si="5"/>
        <v>0</v>
      </c>
      <c r="N73" s="97">
        <f t="shared" si="6"/>
        <v>0</v>
      </c>
      <c r="O73" s="96"/>
      <c r="P73" s="97">
        <f t="shared" si="7"/>
        <v>0</v>
      </c>
      <c r="Q73" s="97">
        <f t="shared" si="8"/>
        <v>0</v>
      </c>
      <c r="R73" s="97">
        <f t="shared" si="9"/>
        <v>0</v>
      </c>
      <c r="S73" s="96"/>
      <c r="T73" s="97">
        <f t="shared" si="10"/>
        <v>0</v>
      </c>
      <c r="U73" s="97">
        <f t="shared" si="11"/>
        <v>0</v>
      </c>
      <c r="V73" s="97">
        <f t="shared" si="12"/>
        <v>0</v>
      </c>
      <c r="W73" s="96"/>
      <c r="X73" s="97">
        <f t="shared" si="13"/>
        <v>0</v>
      </c>
      <c r="Y73" s="97">
        <f t="shared" si="14"/>
        <v>0</v>
      </c>
      <c r="Z73" s="97">
        <f t="shared" si="15"/>
        <v>0</v>
      </c>
      <c r="AA73" s="96"/>
      <c r="AB73" s="97">
        <f t="shared" si="16"/>
        <v>0</v>
      </c>
      <c r="AC73" s="97">
        <f t="shared" si="17"/>
        <v>0</v>
      </c>
      <c r="AD73" s="97">
        <f t="shared" si="18"/>
        <v>0</v>
      </c>
      <c r="AE73" s="96"/>
      <c r="AF73" s="97">
        <f t="shared" si="19"/>
        <v>0</v>
      </c>
      <c r="AG73" s="97">
        <f t="shared" si="20"/>
        <v>0</v>
      </c>
      <c r="AH73" s="97">
        <f t="shared" si="21"/>
        <v>0</v>
      </c>
      <c r="AI73" s="96"/>
      <c r="AJ73" s="97">
        <f t="shared" si="22"/>
        <v>0</v>
      </c>
      <c r="AK73" s="97">
        <f t="shared" si="23"/>
        <v>0</v>
      </c>
      <c r="AL73" s="97">
        <f t="shared" si="24"/>
        <v>0</v>
      </c>
      <c r="AM73" s="96"/>
      <c r="AN73" s="97">
        <f t="shared" si="25"/>
        <v>0</v>
      </c>
      <c r="AO73" s="97">
        <f t="shared" si="26"/>
        <v>0</v>
      </c>
      <c r="AP73" s="97">
        <f t="shared" si="27"/>
        <v>0</v>
      </c>
      <c r="AQ73" s="96"/>
      <c r="AR73" s="97">
        <f t="shared" si="28"/>
        <v>0</v>
      </c>
      <c r="AS73" s="97">
        <f t="shared" si="29"/>
        <v>0</v>
      </c>
      <c r="AT73" s="97">
        <f t="shared" si="30"/>
        <v>0</v>
      </c>
      <c r="AU73" s="96"/>
      <c r="AV73" s="97">
        <f t="shared" si="31"/>
        <v>0</v>
      </c>
      <c r="AW73" s="97">
        <f t="shared" si="32"/>
        <v>0</v>
      </c>
      <c r="AX73" s="97">
        <f t="shared" si="33"/>
        <v>0</v>
      </c>
      <c r="AY73" s="96"/>
      <c r="AZ73" s="65">
        <f t="shared" si="34"/>
        <v>0</v>
      </c>
      <c r="BA73" s="65">
        <f t="shared" si="35"/>
        <v>0</v>
      </c>
      <c r="BB73" s="65">
        <f t="shared" si="36"/>
        <v>0</v>
      </c>
      <c r="BC73" s="96"/>
      <c r="BD73" s="65">
        <f t="shared" si="37"/>
        <v>0</v>
      </c>
      <c r="BE73" s="65">
        <f t="shared" si="38"/>
        <v>0</v>
      </c>
      <c r="BF73" s="65">
        <f t="shared" si="39"/>
        <v>0</v>
      </c>
      <c r="BG73" s="96"/>
      <c r="BH73" s="65">
        <f t="shared" si="40"/>
        <v>0</v>
      </c>
      <c r="BI73" s="65">
        <f t="shared" si="41"/>
        <v>0</v>
      </c>
      <c r="BJ73" s="65">
        <f t="shared" si="42"/>
        <v>0</v>
      </c>
      <c r="BK73" s="96"/>
      <c r="BL73" s="97">
        <f t="shared" si="43"/>
        <v>0</v>
      </c>
      <c r="BM73" s="97">
        <f t="shared" si="44"/>
        <v>0</v>
      </c>
      <c r="BN73" s="97">
        <f t="shared" si="45"/>
        <v>0</v>
      </c>
      <c r="BO73" s="96"/>
      <c r="BP73" s="97">
        <f t="shared" si="46"/>
        <v>0</v>
      </c>
      <c r="BQ73" s="97">
        <f t="shared" si="47"/>
        <v>0</v>
      </c>
      <c r="BR73" s="97">
        <f t="shared" si="48"/>
        <v>0</v>
      </c>
      <c r="BS73" s="96"/>
      <c r="BT73" s="97">
        <f t="shared" si="49"/>
        <v>0</v>
      </c>
      <c r="BU73" s="97">
        <f t="shared" si="50"/>
        <v>0</v>
      </c>
      <c r="BV73" s="97">
        <f t="shared" si="51"/>
        <v>0</v>
      </c>
      <c r="BW73" s="96"/>
      <c r="BX73" s="97">
        <f t="shared" si="52"/>
        <v>0</v>
      </c>
      <c r="BY73" s="97">
        <f t="shared" si="53"/>
        <v>0</v>
      </c>
      <c r="BZ73" s="97">
        <f t="shared" si="54"/>
        <v>0</v>
      </c>
      <c r="CA73" s="96"/>
      <c r="CB73" s="97">
        <f t="shared" si="55"/>
        <v>0</v>
      </c>
      <c r="CC73" s="97">
        <f t="shared" si="56"/>
        <v>0</v>
      </c>
      <c r="CD73" s="97">
        <f t="shared" si="57"/>
        <v>0</v>
      </c>
      <c r="CE73" s="96"/>
      <c r="CF73" s="65">
        <f t="shared" si="58"/>
        <v>0</v>
      </c>
      <c r="CG73" s="65">
        <f t="shared" si="59"/>
        <v>0</v>
      </c>
      <c r="CH73" s="65">
        <f t="shared" si="60"/>
        <v>0</v>
      </c>
      <c r="CI73" s="96"/>
      <c r="CJ73" s="65">
        <f t="shared" si="61"/>
        <v>0</v>
      </c>
      <c r="CK73" s="65">
        <f t="shared" si="62"/>
        <v>0</v>
      </c>
      <c r="CL73" s="65">
        <f t="shared" si="63"/>
        <v>0</v>
      </c>
      <c r="CM73" s="96"/>
      <c r="CN73" s="65">
        <f t="shared" si="64"/>
        <v>0</v>
      </c>
      <c r="CO73" s="65">
        <f t="shared" si="65"/>
        <v>0</v>
      </c>
      <c r="CP73" s="65">
        <f t="shared" si="66"/>
        <v>0</v>
      </c>
      <c r="CQ73" s="96"/>
      <c r="CR73" s="65">
        <f t="shared" si="67"/>
        <v>0</v>
      </c>
      <c r="CS73" s="65">
        <f t="shared" si="68"/>
        <v>0</v>
      </c>
      <c r="CT73" s="65">
        <f t="shared" si="69"/>
        <v>0</v>
      </c>
      <c r="CU73" s="96"/>
      <c r="CV73" s="65">
        <f t="shared" si="70"/>
        <v>0</v>
      </c>
      <c r="CW73" s="65">
        <f t="shared" si="71"/>
        <v>0</v>
      </c>
      <c r="CX73" s="65">
        <f t="shared" si="72"/>
        <v>0</v>
      </c>
      <c r="CY73" s="96"/>
      <c r="CZ73" s="97">
        <f t="shared" si="73"/>
        <v>0</v>
      </c>
      <c r="DA73" s="97">
        <f t="shared" si="74"/>
        <v>0</v>
      </c>
      <c r="DB73" s="97">
        <f t="shared" si="75"/>
        <v>0</v>
      </c>
      <c r="DC73" s="96"/>
      <c r="DD73" s="97">
        <f t="shared" si="76"/>
        <v>0</v>
      </c>
      <c r="DE73" s="97">
        <f t="shared" si="77"/>
        <v>0</v>
      </c>
      <c r="DF73" s="97">
        <f t="shared" si="78"/>
        <v>0</v>
      </c>
      <c r="DG73" s="96"/>
      <c r="DH73" s="97">
        <f t="shared" si="79"/>
        <v>0</v>
      </c>
      <c r="DI73" s="97">
        <f t="shared" si="80"/>
        <v>0</v>
      </c>
      <c r="DJ73" s="97">
        <f t="shared" si="81"/>
        <v>0</v>
      </c>
      <c r="DK73" s="96"/>
      <c r="DL73" s="97">
        <f t="shared" si="82"/>
        <v>0</v>
      </c>
      <c r="DM73" s="97">
        <f t="shared" si="83"/>
        <v>0</v>
      </c>
      <c r="DN73" s="97">
        <f t="shared" si="84"/>
        <v>0</v>
      </c>
      <c r="DO73" s="96"/>
      <c r="DP73" s="97">
        <f t="shared" si="85"/>
        <v>0</v>
      </c>
      <c r="DQ73" s="97">
        <f t="shared" si="86"/>
        <v>0</v>
      </c>
      <c r="DR73" s="97">
        <f t="shared" si="87"/>
        <v>0</v>
      </c>
      <c r="DS73" s="96"/>
      <c r="DT73" s="65">
        <f t="shared" si="88"/>
        <v>0</v>
      </c>
      <c r="DU73" s="65">
        <f t="shared" si="89"/>
        <v>0</v>
      </c>
      <c r="DV73" s="65">
        <f t="shared" si="90"/>
        <v>0</v>
      </c>
      <c r="DW73" s="96"/>
      <c r="DX73" s="65">
        <f t="shared" si="91"/>
        <v>0</v>
      </c>
      <c r="DY73" s="65">
        <f t="shared" si="92"/>
        <v>0</v>
      </c>
      <c r="DZ73" s="65">
        <f t="shared" si="93"/>
        <v>0</v>
      </c>
      <c r="EA73" s="96"/>
      <c r="EB73" s="65">
        <f t="shared" si="94"/>
        <v>0</v>
      </c>
      <c r="EC73" s="65">
        <f t="shared" si="95"/>
        <v>0</v>
      </c>
      <c r="ED73" s="65">
        <f t="shared" si="96"/>
        <v>0</v>
      </c>
    </row>
    <row r="74" spans="1:134" x14ac:dyDescent="0.2">
      <c r="A74" s="71"/>
      <c r="B74" s="96" t="s">
        <v>52</v>
      </c>
      <c r="C74" s="96"/>
      <c r="D74" s="97">
        <f t="shared" si="0"/>
        <v>0</v>
      </c>
      <c r="E74" s="97">
        <f t="shared" si="97"/>
        <v>0</v>
      </c>
      <c r="F74" s="97">
        <f t="shared" si="98"/>
        <v>0</v>
      </c>
      <c r="G74" s="96"/>
      <c r="H74" s="97">
        <f t="shared" si="1"/>
        <v>0</v>
      </c>
      <c r="I74" s="97">
        <f t="shared" si="2"/>
        <v>0</v>
      </c>
      <c r="J74" s="97">
        <f t="shared" si="3"/>
        <v>0</v>
      </c>
      <c r="K74" s="96"/>
      <c r="L74" s="97">
        <f t="shared" si="4"/>
        <v>0</v>
      </c>
      <c r="M74" s="97">
        <f t="shared" si="5"/>
        <v>0</v>
      </c>
      <c r="N74" s="97">
        <f t="shared" si="6"/>
        <v>0</v>
      </c>
      <c r="O74" s="96"/>
      <c r="P74" s="97">
        <f t="shared" si="7"/>
        <v>0</v>
      </c>
      <c r="Q74" s="97">
        <f t="shared" si="8"/>
        <v>0</v>
      </c>
      <c r="R74" s="97">
        <f t="shared" si="9"/>
        <v>0</v>
      </c>
      <c r="S74" s="96"/>
      <c r="T74" s="97">
        <f t="shared" si="10"/>
        <v>0</v>
      </c>
      <c r="U74" s="97">
        <f t="shared" si="11"/>
        <v>0</v>
      </c>
      <c r="V74" s="97">
        <f t="shared" si="12"/>
        <v>0</v>
      </c>
      <c r="W74" s="96"/>
      <c r="X74" s="97">
        <f t="shared" si="13"/>
        <v>0</v>
      </c>
      <c r="Y74" s="97">
        <f t="shared" si="14"/>
        <v>0</v>
      </c>
      <c r="Z74" s="97">
        <f t="shared" si="15"/>
        <v>0</v>
      </c>
      <c r="AA74" s="96"/>
      <c r="AB74" s="97">
        <f t="shared" si="16"/>
        <v>0</v>
      </c>
      <c r="AC74" s="97">
        <f t="shared" si="17"/>
        <v>0</v>
      </c>
      <c r="AD74" s="97">
        <f t="shared" si="18"/>
        <v>0</v>
      </c>
      <c r="AE74" s="96"/>
      <c r="AF74" s="97">
        <f t="shared" si="19"/>
        <v>0</v>
      </c>
      <c r="AG74" s="97">
        <f t="shared" si="20"/>
        <v>0</v>
      </c>
      <c r="AH74" s="97">
        <f t="shared" si="21"/>
        <v>0</v>
      </c>
      <c r="AI74" s="96"/>
      <c r="AJ74" s="97">
        <f t="shared" si="22"/>
        <v>0</v>
      </c>
      <c r="AK74" s="97">
        <f t="shared" si="23"/>
        <v>0</v>
      </c>
      <c r="AL74" s="97">
        <f t="shared" si="24"/>
        <v>0</v>
      </c>
      <c r="AM74" s="96"/>
      <c r="AN74" s="97">
        <f t="shared" si="25"/>
        <v>0</v>
      </c>
      <c r="AO74" s="97">
        <f t="shared" si="26"/>
        <v>0</v>
      </c>
      <c r="AP74" s="97">
        <f t="shared" si="27"/>
        <v>0</v>
      </c>
      <c r="AQ74" s="96"/>
      <c r="AR74" s="97">
        <f t="shared" si="28"/>
        <v>0</v>
      </c>
      <c r="AS74" s="97">
        <f t="shared" si="29"/>
        <v>0</v>
      </c>
      <c r="AT74" s="97">
        <f t="shared" si="30"/>
        <v>0</v>
      </c>
      <c r="AU74" s="96"/>
      <c r="AV74" s="97">
        <f t="shared" si="31"/>
        <v>0</v>
      </c>
      <c r="AW74" s="97">
        <f t="shared" si="32"/>
        <v>0</v>
      </c>
      <c r="AX74" s="97">
        <f t="shared" si="33"/>
        <v>0</v>
      </c>
      <c r="AY74" s="96"/>
      <c r="AZ74" s="65">
        <f t="shared" si="34"/>
        <v>0</v>
      </c>
      <c r="BA74" s="65">
        <f t="shared" si="35"/>
        <v>0</v>
      </c>
      <c r="BB74" s="65">
        <f t="shared" si="36"/>
        <v>0</v>
      </c>
      <c r="BC74" s="96"/>
      <c r="BD74" s="65">
        <f t="shared" si="37"/>
        <v>0</v>
      </c>
      <c r="BE74" s="65">
        <f t="shared" si="38"/>
        <v>0</v>
      </c>
      <c r="BF74" s="65">
        <f t="shared" si="39"/>
        <v>0</v>
      </c>
      <c r="BG74" s="96"/>
      <c r="BH74" s="65">
        <f t="shared" si="40"/>
        <v>0</v>
      </c>
      <c r="BI74" s="65">
        <f t="shared" si="41"/>
        <v>0</v>
      </c>
      <c r="BJ74" s="65">
        <f t="shared" si="42"/>
        <v>0</v>
      </c>
      <c r="BK74" s="96"/>
      <c r="BL74" s="97">
        <f t="shared" si="43"/>
        <v>0</v>
      </c>
      <c r="BM74" s="97">
        <f t="shared" si="44"/>
        <v>0</v>
      </c>
      <c r="BN74" s="97">
        <f t="shared" si="45"/>
        <v>0</v>
      </c>
      <c r="BO74" s="96"/>
      <c r="BP74" s="97">
        <f t="shared" si="46"/>
        <v>0</v>
      </c>
      <c r="BQ74" s="97">
        <f t="shared" si="47"/>
        <v>0</v>
      </c>
      <c r="BR74" s="97">
        <f t="shared" si="48"/>
        <v>0</v>
      </c>
      <c r="BS74" s="96"/>
      <c r="BT74" s="97">
        <f t="shared" si="49"/>
        <v>0</v>
      </c>
      <c r="BU74" s="97">
        <f t="shared" si="50"/>
        <v>0</v>
      </c>
      <c r="BV74" s="97">
        <f t="shared" si="51"/>
        <v>0</v>
      </c>
      <c r="BW74" s="96"/>
      <c r="BX74" s="97">
        <f t="shared" si="52"/>
        <v>0</v>
      </c>
      <c r="BY74" s="97">
        <f t="shared" si="53"/>
        <v>0</v>
      </c>
      <c r="BZ74" s="97">
        <f t="shared" si="54"/>
        <v>0</v>
      </c>
      <c r="CA74" s="96"/>
      <c r="CB74" s="97">
        <f t="shared" si="55"/>
        <v>0</v>
      </c>
      <c r="CC74" s="97">
        <f t="shared" si="56"/>
        <v>0</v>
      </c>
      <c r="CD74" s="97">
        <f t="shared" si="57"/>
        <v>0</v>
      </c>
      <c r="CE74" s="96"/>
      <c r="CF74" s="65">
        <f t="shared" si="58"/>
        <v>0</v>
      </c>
      <c r="CG74" s="65">
        <f t="shared" si="59"/>
        <v>0</v>
      </c>
      <c r="CH74" s="65">
        <f t="shared" si="60"/>
        <v>0</v>
      </c>
      <c r="CI74" s="96"/>
      <c r="CJ74" s="65">
        <f t="shared" si="61"/>
        <v>0</v>
      </c>
      <c r="CK74" s="65">
        <f t="shared" si="62"/>
        <v>0</v>
      </c>
      <c r="CL74" s="65">
        <f t="shared" si="63"/>
        <v>0</v>
      </c>
      <c r="CM74" s="96"/>
      <c r="CN74" s="65">
        <f t="shared" si="64"/>
        <v>0</v>
      </c>
      <c r="CO74" s="65">
        <f t="shared" si="65"/>
        <v>0</v>
      </c>
      <c r="CP74" s="65">
        <f t="shared" si="66"/>
        <v>0</v>
      </c>
      <c r="CQ74" s="96"/>
      <c r="CR74" s="65">
        <f t="shared" si="67"/>
        <v>0</v>
      </c>
      <c r="CS74" s="65">
        <f t="shared" si="68"/>
        <v>0</v>
      </c>
      <c r="CT74" s="65">
        <f t="shared" si="69"/>
        <v>0</v>
      </c>
      <c r="CU74" s="96"/>
      <c r="CV74" s="65">
        <f t="shared" si="70"/>
        <v>0</v>
      </c>
      <c r="CW74" s="65">
        <f t="shared" si="71"/>
        <v>0</v>
      </c>
      <c r="CX74" s="65">
        <f t="shared" si="72"/>
        <v>0</v>
      </c>
      <c r="CY74" s="96"/>
      <c r="CZ74" s="97">
        <f t="shared" si="73"/>
        <v>0</v>
      </c>
      <c r="DA74" s="97">
        <f t="shared" si="74"/>
        <v>0</v>
      </c>
      <c r="DB74" s="97">
        <f t="shared" si="75"/>
        <v>0</v>
      </c>
      <c r="DC74" s="96"/>
      <c r="DD74" s="97">
        <f t="shared" si="76"/>
        <v>0</v>
      </c>
      <c r="DE74" s="97">
        <f t="shared" si="77"/>
        <v>0</v>
      </c>
      <c r="DF74" s="97">
        <f t="shared" si="78"/>
        <v>0</v>
      </c>
      <c r="DG74" s="96"/>
      <c r="DH74" s="97">
        <f t="shared" si="79"/>
        <v>0</v>
      </c>
      <c r="DI74" s="97">
        <f t="shared" si="80"/>
        <v>0</v>
      </c>
      <c r="DJ74" s="97">
        <f t="shared" si="81"/>
        <v>0</v>
      </c>
      <c r="DK74" s="96"/>
      <c r="DL74" s="97">
        <f t="shared" si="82"/>
        <v>0</v>
      </c>
      <c r="DM74" s="97">
        <f t="shared" si="83"/>
        <v>0</v>
      </c>
      <c r="DN74" s="97">
        <f t="shared" si="84"/>
        <v>0</v>
      </c>
      <c r="DO74" s="96"/>
      <c r="DP74" s="97">
        <f t="shared" si="85"/>
        <v>0</v>
      </c>
      <c r="DQ74" s="97">
        <f t="shared" si="86"/>
        <v>0</v>
      </c>
      <c r="DR74" s="97">
        <f t="shared" si="87"/>
        <v>0</v>
      </c>
      <c r="DS74" s="96"/>
      <c r="DT74" s="65">
        <f t="shared" si="88"/>
        <v>0</v>
      </c>
      <c r="DU74" s="65">
        <f t="shared" si="89"/>
        <v>0</v>
      </c>
      <c r="DV74" s="65">
        <f t="shared" si="90"/>
        <v>0</v>
      </c>
      <c r="DW74" s="96"/>
      <c r="DX74" s="65">
        <f t="shared" si="91"/>
        <v>0</v>
      </c>
      <c r="DY74" s="65">
        <f t="shared" si="92"/>
        <v>0</v>
      </c>
      <c r="DZ74" s="65">
        <f t="shared" si="93"/>
        <v>0</v>
      </c>
      <c r="EA74" s="96"/>
      <c r="EB74" s="65">
        <f t="shared" si="94"/>
        <v>0</v>
      </c>
      <c r="EC74" s="65">
        <f t="shared" si="95"/>
        <v>0</v>
      </c>
      <c r="ED74" s="65">
        <f t="shared" si="96"/>
        <v>0</v>
      </c>
    </row>
    <row r="75" spans="1:134" x14ac:dyDescent="0.2">
      <c r="A75" s="71"/>
      <c r="B75" s="96" t="s">
        <v>52</v>
      </c>
      <c r="C75" s="96"/>
      <c r="D75" s="97">
        <f t="shared" si="0"/>
        <v>0</v>
      </c>
      <c r="E75" s="97">
        <f t="shared" si="97"/>
        <v>0</v>
      </c>
      <c r="F75" s="97">
        <f t="shared" si="98"/>
        <v>0</v>
      </c>
      <c r="G75" s="96"/>
      <c r="H75" s="97">
        <f t="shared" si="1"/>
        <v>0</v>
      </c>
      <c r="I75" s="97">
        <f t="shared" si="2"/>
        <v>0</v>
      </c>
      <c r="J75" s="97">
        <f t="shared" si="3"/>
        <v>0</v>
      </c>
      <c r="K75" s="96"/>
      <c r="L75" s="97">
        <f t="shared" si="4"/>
        <v>0</v>
      </c>
      <c r="M75" s="97">
        <f t="shared" si="5"/>
        <v>0</v>
      </c>
      <c r="N75" s="97">
        <f t="shared" si="6"/>
        <v>0</v>
      </c>
      <c r="O75" s="96"/>
      <c r="P75" s="97">
        <f t="shared" si="7"/>
        <v>0</v>
      </c>
      <c r="Q75" s="97">
        <f t="shared" si="8"/>
        <v>0</v>
      </c>
      <c r="R75" s="97">
        <f t="shared" si="9"/>
        <v>0</v>
      </c>
      <c r="S75" s="96"/>
      <c r="T75" s="97">
        <f t="shared" si="10"/>
        <v>0</v>
      </c>
      <c r="U75" s="97">
        <f t="shared" si="11"/>
        <v>0</v>
      </c>
      <c r="V75" s="97">
        <f t="shared" si="12"/>
        <v>0</v>
      </c>
      <c r="W75" s="96"/>
      <c r="X75" s="97">
        <f t="shared" si="13"/>
        <v>0</v>
      </c>
      <c r="Y75" s="97">
        <f t="shared" si="14"/>
        <v>0</v>
      </c>
      <c r="Z75" s="97">
        <f t="shared" si="15"/>
        <v>0</v>
      </c>
      <c r="AA75" s="96"/>
      <c r="AB75" s="97">
        <f t="shared" si="16"/>
        <v>0</v>
      </c>
      <c r="AC75" s="97">
        <f t="shared" si="17"/>
        <v>0</v>
      </c>
      <c r="AD75" s="97">
        <f t="shared" si="18"/>
        <v>0</v>
      </c>
      <c r="AE75" s="96"/>
      <c r="AF75" s="97">
        <f t="shared" si="19"/>
        <v>0</v>
      </c>
      <c r="AG75" s="97">
        <f t="shared" si="20"/>
        <v>0</v>
      </c>
      <c r="AH75" s="97">
        <f t="shared" si="21"/>
        <v>0</v>
      </c>
      <c r="AI75" s="96"/>
      <c r="AJ75" s="97">
        <f t="shared" si="22"/>
        <v>0</v>
      </c>
      <c r="AK75" s="97">
        <f t="shared" si="23"/>
        <v>0</v>
      </c>
      <c r="AL75" s="97">
        <f t="shared" si="24"/>
        <v>0</v>
      </c>
      <c r="AM75" s="96"/>
      <c r="AN75" s="97">
        <f t="shared" si="25"/>
        <v>0</v>
      </c>
      <c r="AO75" s="97">
        <f t="shared" si="26"/>
        <v>0</v>
      </c>
      <c r="AP75" s="97">
        <f t="shared" si="27"/>
        <v>0</v>
      </c>
      <c r="AQ75" s="96"/>
      <c r="AR75" s="97">
        <f t="shared" si="28"/>
        <v>0</v>
      </c>
      <c r="AS75" s="97">
        <f t="shared" si="29"/>
        <v>0</v>
      </c>
      <c r="AT75" s="97">
        <f t="shared" si="30"/>
        <v>0</v>
      </c>
      <c r="AU75" s="96"/>
      <c r="AV75" s="97">
        <f t="shared" si="31"/>
        <v>0</v>
      </c>
      <c r="AW75" s="97">
        <f t="shared" si="32"/>
        <v>0</v>
      </c>
      <c r="AX75" s="97">
        <f t="shared" si="33"/>
        <v>0</v>
      </c>
      <c r="AY75" s="96"/>
      <c r="AZ75" s="65">
        <f t="shared" si="34"/>
        <v>0</v>
      </c>
      <c r="BA75" s="65">
        <f t="shared" si="35"/>
        <v>0</v>
      </c>
      <c r="BB75" s="65">
        <f t="shared" si="36"/>
        <v>0</v>
      </c>
      <c r="BC75" s="96"/>
      <c r="BD75" s="65">
        <f t="shared" si="37"/>
        <v>0</v>
      </c>
      <c r="BE75" s="65">
        <f t="shared" si="38"/>
        <v>0</v>
      </c>
      <c r="BF75" s="65">
        <f t="shared" si="39"/>
        <v>0</v>
      </c>
      <c r="BG75" s="96"/>
      <c r="BH75" s="65">
        <f t="shared" si="40"/>
        <v>0</v>
      </c>
      <c r="BI75" s="65">
        <f t="shared" si="41"/>
        <v>0</v>
      </c>
      <c r="BJ75" s="65">
        <f t="shared" si="42"/>
        <v>0</v>
      </c>
      <c r="BK75" s="96"/>
      <c r="BL75" s="97">
        <f t="shared" si="43"/>
        <v>0</v>
      </c>
      <c r="BM75" s="97">
        <f t="shared" si="44"/>
        <v>0</v>
      </c>
      <c r="BN75" s="97">
        <f t="shared" si="45"/>
        <v>0</v>
      </c>
      <c r="BO75" s="96"/>
      <c r="BP75" s="97">
        <f t="shared" si="46"/>
        <v>0</v>
      </c>
      <c r="BQ75" s="97">
        <f t="shared" si="47"/>
        <v>0</v>
      </c>
      <c r="BR75" s="97">
        <f t="shared" si="48"/>
        <v>0</v>
      </c>
      <c r="BS75" s="96"/>
      <c r="BT75" s="97">
        <f t="shared" si="49"/>
        <v>0</v>
      </c>
      <c r="BU75" s="97">
        <f t="shared" si="50"/>
        <v>0</v>
      </c>
      <c r="BV75" s="97">
        <f t="shared" si="51"/>
        <v>0</v>
      </c>
      <c r="BW75" s="96"/>
      <c r="BX75" s="97">
        <f t="shared" si="52"/>
        <v>0</v>
      </c>
      <c r="BY75" s="97">
        <f t="shared" si="53"/>
        <v>0</v>
      </c>
      <c r="BZ75" s="97">
        <f t="shared" si="54"/>
        <v>0</v>
      </c>
      <c r="CA75" s="96"/>
      <c r="CB75" s="97">
        <f t="shared" si="55"/>
        <v>0</v>
      </c>
      <c r="CC75" s="97">
        <f t="shared" si="56"/>
        <v>0</v>
      </c>
      <c r="CD75" s="97">
        <f t="shared" si="57"/>
        <v>0</v>
      </c>
      <c r="CE75" s="96"/>
      <c r="CF75" s="65">
        <f t="shared" si="58"/>
        <v>0</v>
      </c>
      <c r="CG75" s="65">
        <f t="shared" si="59"/>
        <v>0</v>
      </c>
      <c r="CH75" s="65">
        <f t="shared" si="60"/>
        <v>0</v>
      </c>
      <c r="CI75" s="96"/>
      <c r="CJ75" s="65">
        <f t="shared" si="61"/>
        <v>0</v>
      </c>
      <c r="CK75" s="65">
        <f t="shared" si="62"/>
        <v>0</v>
      </c>
      <c r="CL75" s="65">
        <f t="shared" si="63"/>
        <v>0</v>
      </c>
      <c r="CM75" s="96"/>
      <c r="CN75" s="65">
        <f t="shared" si="64"/>
        <v>0</v>
      </c>
      <c r="CO75" s="65">
        <f t="shared" si="65"/>
        <v>0</v>
      </c>
      <c r="CP75" s="65">
        <f t="shared" si="66"/>
        <v>0</v>
      </c>
      <c r="CQ75" s="96"/>
      <c r="CR75" s="65">
        <f t="shared" si="67"/>
        <v>0</v>
      </c>
      <c r="CS75" s="65">
        <f t="shared" si="68"/>
        <v>0</v>
      </c>
      <c r="CT75" s="65">
        <f t="shared" si="69"/>
        <v>0</v>
      </c>
      <c r="CU75" s="96"/>
      <c r="CV75" s="65">
        <f t="shared" si="70"/>
        <v>0</v>
      </c>
      <c r="CW75" s="65">
        <f t="shared" si="71"/>
        <v>0</v>
      </c>
      <c r="CX75" s="65">
        <f t="shared" si="72"/>
        <v>0</v>
      </c>
      <c r="CY75" s="96"/>
      <c r="CZ75" s="97">
        <f t="shared" si="73"/>
        <v>0</v>
      </c>
      <c r="DA75" s="97">
        <f t="shared" si="74"/>
        <v>0</v>
      </c>
      <c r="DB75" s="97">
        <f t="shared" si="75"/>
        <v>0</v>
      </c>
      <c r="DC75" s="96"/>
      <c r="DD75" s="97">
        <f t="shared" si="76"/>
        <v>0</v>
      </c>
      <c r="DE75" s="97">
        <f t="shared" si="77"/>
        <v>0</v>
      </c>
      <c r="DF75" s="97">
        <f t="shared" si="78"/>
        <v>0</v>
      </c>
      <c r="DG75" s="96"/>
      <c r="DH75" s="97">
        <f t="shared" si="79"/>
        <v>0</v>
      </c>
      <c r="DI75" s="97">
        <f t="shared" si="80"/>
        <v>0</v>
      </c>
      <c r="DJ75" s="97">
        <f t="shared" si="81"/>
        <v>0</v>
      </c>
      <c r="DK75" s="96"/>
      <c r="DL75" s="97">
        <f t="shared" si="82"/>
        <v>0</v>
      </c>
      <c r="DM75" s="97">
        <f t="shared" si="83"/>
        <v>0</v>
      </c>
      <c r="DN75" s="97">
        <f t="shared" si="84"/>
        <v>0</v>
      </c>
      <c r="DO75" s="96"/>
      <c r="DP75" s="97">
        <f t="shared" si="85"/>
        <v>0</v>
      </c>
      <c r="DQ75" s="97">
        <f t="shared" si="86"/>
        <v>0</v>
      </c>
      <c r="DR75" s="97">
        <f t="shared" si="87"/>
        <v>0</v>
      </c>
      <c r="DS75" s="96"/>
      <c r="DT75" s="65">
        <f t="shared" si="88"/>
        <v>0</v>
      </c>
      <c r="DU75" s="65">
        <f t="shared" si="89"/>
        <v>0</v>
      </c>
      <c r="DV75" s="65">
        <f t="shared" si="90"/>
        <v>0</v>
      </c>
      <c r="DW75" s="96"/>
      <c r="DX75" s="65">
        <f t="shared" si="91"/>
        <v>0</v>
      </c>
      <c r="DY75" s="65">
        <f t="shared" si="92"/>
        <v>0</v>
      </c>
      <c r="DZ75" s="65">
        <f t="shared" si="93"/>
        <v>0</v>
      </c>
      <c r="EA75" s="96"/>
      <c r="EB75" s="65">
        <f t="shared" si="94"/>
        <v>0</v>
      </c>
      <c r="EC75" s="65">
        <f t="shared" si="95"/>
        <v>0</v>
      </c>
      <c r="ED75" s="65">
        <f t="shared" si="96"/>
        <v>0</v>
      </c>
    </row>
    <row r="76" spans="1:134" x14ac:dyDescent="0.2">
      <c r="A76" s="71"/>
      <c r="B76" s="96" t="s">
        <v>52</v>
      </c>
      <c r="C76" s="96"/>
      <c r="D76" s="97">
        <f t="shared" si="0"/>
        <v>0</v>
      </c>
      <c r="E76" s="97">
        <f t="shared" si="97"/>
        <v>0</v>
      </c>
      <c r="F76" s="97">
        <f t="shared" si="98"/>
        <v>0</v>
      </c>
      <c r="G76" s="96"/>
      <c r="H76" s="97">
        <f t="shared" si="1"/>
        <v>0</v>
      </c>
      <c r="I76" s="97">
        <f t="shared" si="2"/>
        <v>0</v>
      </c>
      <c r="J76" s="97">
        <f t="shared" si="3"/>
        <v>0</v>
      </c>
      <c r="K76" s="96"/>
      <c r="L76" s="97">
        <f t="shared" si="4"/>
        <v>0</v>
      </c>
      <c r="M76" s="97">
        <f t="shared" si="5"/>
        <v>0</v>
      </c>
      <c r="N76" s="97">
        <f t="shared" si="6"/>
        <v>0</v>
      </c>
      <c r="O76" s="96"/>
      <c r="P76" s="97">
        <f t="shared" si="7"/>
        <v>0</v>
      </c>
      <c r="Q76" s="97">
        <f t="shared" si="8"/>
        <v>0</v>
      </c>
      <c r="R76" s="97">
        <f t="shared" si="9"/>
        <v>0</v>
      </c>
      <c r="S76" s="96"/>
      <c r="T76" s="97">
        <f t="shared" si="10"/>
        <v>0</v>
      </c>
      <c r="U76" s="97">
        <f t="shared" si="11"/>
        <v>0</v>
      </c>
      <c r="V76" s="97">
        <f t="shared" si="12"/>
        <v>0</v>
      </c>
      <c r="W76" s="96"/>
      <c r="X76" s="97">
        <f t="shared" si="13"/>
        <v>0</v>
      </c>
      <c r="Y76" s="97">
        <f t="shared" si="14"/>
        <v>0</v>
      </c>
      <c r="Z76" s="97">
        <f t="shared" si="15"/>
        <v>0</v>
      </c>
      <c r="AA76" s="96"/>
      <c r="AB76" s="97">
        <f t="shared" si="16"/>
        <v>0</v>
      </c>
      <c r="AC76" s="97">
        <f t="shared" si="17"/>
        <v>0</v>
      </c>
      <c r="AD76" s="97">
        <f t="shared" si="18"/>
        <v>0</v>
      </c>
      <c r="AE76" s="96"/>
      <c r="AF76" s="97">
        <f t="shared" si="19"/>
        <v>0</v>
      </c>
      <c r="AG76" s="97">
        <f t="shared" si="20"/>
        <v>0</v>
      </c>
      <c r="AH76" s="97">
        <f t="shared" si="21"/>
        <v>0</v>
      </c>
      <c r="AI76" s="96"/>
      <c r="AJ76" s="97">
        <f t="shared" si="22"/>
        <v>0</v>
      </c>
      <c r="AK76" s="97">
        <f t="shared" si="23"/>
        <v>0</v>
      </c>
      <c r="AL76" s="97">
        <f t="shared" si="24"/>
        <v>0</v>
      </c>
      <c r="AM76" s="96"/>
      <c r="AN76" s="97">
        <f t="shared" si="25"/>
        <v>0</v>
      </c>
      <c r="AO76" s="97">
        <f t="shared" si="26"/>
        <v>0</v>
      </c>
      <c r="AP76" s="97">
        <f t="shared" si="27"/>
        <v>0</v>
      </c>
      <c r="AQ76" s="96"/>
      <c r="AR76" s="97">
        <f t="shared" si="28"/>
        <v>0</v>
      </c>
      <c r="AS76" s="97">
        <f t="shared" si="29"/>
        <v>0</v>
      </c>
      <c r="AT76" s="97">
        <f t="shared" si="30"/>
        <v>0</v>
      </c>
      <c r="AU76" s="96"/>
      <c r="AV76" s="97">
        <f t="shared" si="31"/>
        <v>0</v>
      </c>
      <c r="AW76" s="97">
        <f t="shared" si="32"/>
        <v>0</v>
      </c>
      <c r="AX76" s="97">
        <f t="shared" si="33"/>
        <v>0</v>
      </c>
      <c r="AY76" s="96"/>
      <c r="AZ76" s="65">
        <f t="shared" si="34"/>
        <v>0</v>
      </c>
      <c r="BA76" s="65">
        <f t="shared" si="35"/>
        <v>0</v>
      </c>
      <c r="BB76" s="65">
        <f t="shared" si="36"/>
        <v>0</v>
      </c>
      <c r="BC76" s="96"/>
      <c r="BD76" s="65">
        <f t="shared" si="37"/>
        <v>0</v>
      </c>
      <c r="BE76" s="65">
        <f t="shared" si="38"/>
        <v>0</v>
      </c>
      <c r="BF76" s="65">
        <f t="shared" si="39"/>
        <v>0</v>
      </c>
      <c r="BG76" s="96"/>
      <c r="BH76" s="65">
        <f t="shared" si="40"/>
        <v>0</v>
      </c>
      <c r="BI76" s="65">
        <f t="shared" si="41"/>
        <v>0</v>
      </c>
      <c r="BJ76" s="65">
        <f t="shared" si="42"/>
        <v>0</v>
      </c>
      <c r="BK76" s="96"/>
      <c r="BL76" s="97">
        <f t="shared" si="43"/>
        <v>0</v>
      </c>
      <c r="BM76" s="97">
        <f t="shared" si="44"/>
        <v>0</v>
      </c>
      <c r="BN76" s="97">
        <f t="shared" si="45"/>
        <v>0</v>
      </c>
      <c r="BO76" s="96"/>
      <c r="BP76" s="97">
        <f t="shared" si="46"/>
        <v>0</v>
      </c>
      <c r="BQ76" s="97">
        <f t="shared" si="47"/>
        <v>0</v>
      </c>
      <c r="BR76" s="97">
        <f t="shared" si="48"/>
        <v>0</v>
      </c>
      <c r="BS76" s="96"/>
      <c r="BT76" s="97">
        <f t="shared" si="49"/>
        <v>0</v>
      </c>
      <c r="BU76" s="97">
        <f t="shared" si="50"/>
        <v>0</v>
      </c>
      <c r="BV76" s="97">
        <f t="shared" si="51"/>
        <v>0</v>
      </c>
      <c r="BW76" s="96"/>
      <c r="BX76" s="97">
        <f t="shared" si="52"/>
        <v>0</v>
      </c>
      <c r="BY76" s="97">
        <f t="shared" si="53"/>
        <v>0</v>
      </c>
      <c r="BZ76" s="97">
        <f t="shared" si="54"/>
        <v>0</v>
      </c>
      <c r="CA76" s="96"/>
      <c r="CB76" s="97">
        <f t="shared" si="55"/>
        <v>0</v>
      </c>
      <c r="CC76" s="97">
        <f t="shared" si="56"/>
        <v>0</v>
      </c>
      <c r="CD76" s="97">
        <f t="shared" si="57"/>
        <v>0</v>
      </c>
      <c r="CE76" s="96"/>
      <c r="CF76" s="65">
        <f t="shared" si="58"/>
        <v>0</v>
      </c>
      <c r="CG76" s="65">
        <f t="shared" si="59"/>
        <v>0</v>
      </c>
      <c r="CH76" s="65">
        <f t="shared" si="60"/>
        <v>0</v>
      </c>
      <c r="CI76" s="96"/>
      <c r="CJ76" s="65">
        <f t="shared" si="61"/>
        <v>0</v>
      </c>
      <c r="CK76" s="65">
        <f t="shared" si="62"/>
        <v>0</v>
      </c>
      <c r="CL76" s="65">
        <f t="shared" si="63"/>
        <v>0</v>
      </c>
      <c r="CM76" s="96"/>
      <c r="CN76" s="65">
        <f t="shared" si="64"/>
        <v>0</v>
      </c>
      <c r="CO76" s="65">
        <f t="shared" si="65"/>
        <v>0</v>
      </c>
      <c r="CP76" s="65">
        <f t="shared" si="66"/>
        <v>0</v>
      </c>
      <c r="CQ76" s="96"/>
      <c r="CR76" s="65">
        <f t="shared" si="67"/>
        <v>0</v>
      </c>
      <c r="CS76" s="65">
        <f t="shared" si="68"/>
        <v>0</v>
      </c>
      <c r="CT76" s="65">
        <f t="shared" si="69"/>
        <v>0</v>
      </c>
      <c r="CU76" s="96"/>
      <c r="CV76" s="65">
        <f t="shared" si="70"/>
        <v>0</v>
      </c>
      <c r="CW76" s="65">
        <f t="shared" si="71"/>
        <v>0</v>
      </c>
      <c r="CX76" s="65">
        <f t="shared" si="72"/>
        <v>0</v>
      </c>
      <c r="CY76" s="96"/>
      <c r="CZ76" s="97">
        <f t="shared" si="73"/>
        <v>0</v>
      </c>
      <c r="DA76" s="97">
        <f t="shared" si="74"/>
        <v>0</v>
      </c>
      <c r="DB76" s="97">
        <f t="shared" si="75"/>
        <v>0</v>
      </c>
      <c r="DC76" s="96"/>
      <c r="DD76" s="97">
        <f t="shared" si="76"/>
        <v>0</v>
      </c>
      <c r="DE76" s="97">
        <f t="shared" si="77"/>
        <v>0</v>
      </c>
      <c r="DF76" s="97">
        <f t="shared" si="78"/>
        <v>0</v>
      </c>
      <c r="DG76" s="96"/>
      <c r="DH76" s="97">
        <f t="shared" si="79"/>
        <v>0</v>
      </c>
      <c r="DI76" s="97">
        <f t="shared" si="80"/>
        <v>0</v>
      </c>
      <c r="DJ76" s="97">
        <f t="shared" si="81"/>
        <v>0</v>
      </c>
      <c r="DK76" s="96"/>
      <c r="DL76" s="97">
        <f t="shared" si="82"/>
        <v>0</v>
      </c>
      <c r="DM76" s="97">
        <f t="shared" si="83"/>
        <v>0</v>
      </c>
      <c r="DN76" s="97">
        <f t="shared" si="84"/>
        <v>0</v>
      </c>
      <c r="DO76" s="96"/>
      <c r="DP76" s="97">
        <f t="shared" si="85"/>
        <v>0</v>
      </c>
      <c r="DQ76" s="97">
        <f t="shared" si="86"/>
        <v>0</v>
      </c>
      <c r="DR76" s="97">
        <f t="shared" si="87"/>
        <v>0</v>
      </c>
      <c r="DS76" s="96"/>
      <c r="DT76" s="65">
        <f t="shared" si="88"/>
        <v>0</v>
      </c>
      <c r="DU76" s="65">
        <f t="shared" si="89"/>
        <v>0</v>
      </c>
      <c r="DV76" s="65">
        <f t="shared" si="90"/>
        <v>0</v>
      </c>
      <c r="DW76" s="96"/>
      <c r="DX76" s="65">
        <f t="shared" si="91"/>
        <v>0</v>
      </c>
      <c r="DY76" s="65">
        <f t="shared" si="92"/>
        <v>0</v>
      </c>
      <c r="DZ76" s="65">
        <f t="shared" si="93"/>
        <v>0</v>
      </c>
      <c r="EA76" s="96"/>
      <c r="EB76" s="65">
        <f t="shared" si="94"/>
        <v>0</v>
      </c>
      <c r="EC76" s="65">
        <f t="shared" si="95"/>
        <v>0</v>
      </c>
      <c r="ED76" s="65">
        <f t="shared" si="96"/>
        <v>0</v>
      </c>
    </row>
    <row r="77" spans="1:134" x14ac:dyDescent="0.2">
      <c r="A77" s="71"/>
      <c r="B77" s="96" t="s">
        <v>52</v>
      </c>
      <c r="C77" s="96"/>
      <c r="D77" s="97">
        <f t="shared" si="0"/>
        <v>0</v>
      </c>
      <c r="E77" s="97">
        <f t="shared" si="97"/>
        <v>0</v>
      </c>
      <c r="F77" s="97">
        <f t="shared" si="98"/>
        <v>0</v>
      </c>
      <c r="G77" s="96"/>
      <c r="H77" s="97">
        <f t="shared" si="1"/>
        <v>0</v>
      </c>
      <c r="I77" s="97">
        <f t="shared" si="2"/>
        <v>0</v>
      </c>
      <c r="J77" s="97">
        <f t="shared" si="3"/>
        <v>0</v>
      </c>
      <c r="K77" s="96"/>
      <c r="L77" s="97">
        <f t="shared" si="4"/>
        <v>0</v>
      </c>
      <c r="M77" s="97">
        <f t="shared" si="5"/>
        <v>0</v>
      </c>
      <c r="N77" s="97">
        <f t="shared" si="6"/>
        <v>0</v>
      </c>
      <c r="O77" s="96"/>
      <c r="P77" s="97">
        <f t="shared" si="7"/>
        <v>0</v>
      </c>
      <c r="Q77" s="97">
        <f t="shared" si="8"/>
        <v>0</v>
      </c>
      <c r="R77" s="97">
        <f t="shared" si="9"/>
        <v>0</v>
      </c>
      <c r="S77" s="96"/>
      <c r="T77" s="97">
        <f t="shared" si="10"/>
        <v>0</v>
      </c>
      <c r="U77" s="97">
        <f t="shared" si="11"/>
        <v>0</v>
      </c>
      <c r="V77" s="97">
        <f t="shared" si="12"/>
        <v>0</v>
      </c>
      <c r="W77" s="96"/>
      <c r="X77" s="97">
        <f t="shared" si="13"/>
        <v>0</v>
      </c>
      <c r="Y77" s="97">
        <f t="shared" si="14"/>
        <v>0</v>
      </c>
      <c r="Z77" s="97">
        <f t="shared" si="15"/>
        <v>0</v>
      </c>
      <c r="AA77" s="96"/>
      <c r="AB77" s="97">
        <f t="shared" si="16"/>
        <v>0</v>
      </c>
      <c r="AC77" s="97">
        <f t="shared" si="17"/>
        <v>0</v>
      </c>
      <c r="AD77" s="97">
        <f t="shared" si="18"/>
        <v>0</v>
      </c>
      <c r="AE77" s="96"/>
      <c r="AF77" s="97">
        <f t="shared" si="19"/>
        <v>0</v>
      </c>
      <c r="AG77" s="97">
        <f t="shared" si="20"/>
        <v>0</v>
      </c>
      <c r="AH77" s="97">
        <f t="shared" si="21"/>
        <v>0</v>
      </c>
      <c r="AI77" s="96"/>
      <c r="AJ77" s="97">
        <f t="shared" si="22"/>
        <v>0</v>
      </c>
      <c r="AK77" s="97">
        <f t="shared" si="23"/>
        <v>0</v>
      </c>
      <c r="AL77" s="97">
        <f t="shared" si="24"/>
        <v>0</v>
      </c>
      <c r="AM77" s="96"/>
      <c r="AN77" s="97">
        <f t="shared" si="25"/>
        <v>0</v>
      </c>
      <c r="AO77" s="97">
        <f t="shared" si="26"/>
        <v>0</v>
      </c>
      <c r="AP77" s="97">
        <f t="shared" si="27"/>
        <v>0</v>
      </c>
      <c r="AQ77" s="96"/>
      <c r="AR77" s="97">
        <f t="shared" si="28"/>
        <v>0</v>
      </c>
      <c r="AS77" s="97">
        <f t="shared" si="29"/>
        <v>0</v>
      </c>
      <c r="AT77" s="97">
        <f t="shared" si="30"/>
        <v>0</v>
      </c>
      <c r="AU77" s="96"/>
      <c r="AV77" s="97">
        <f t="shared" si="31"/>
        <v>0</v>
      </c>
      <c r="AW77" s="97">
        <f t="shared" si="32"/>
        <v>0</v>
      </c>
      <c r="AX77" s="97">
        <f t="shared" si="33"/>
        <v>0</v>
      </c>
      <c r="AY77" s="96"/>
      <c r="AZ77" s="65">
        <f t="shared" si="34"/>
        <v>0</v>
      </c>
      <c r="BA77" s="65">
        <f t="shared" si="35"/>
        <v>0</v>
      </c>
      <c r="BB77" s="65">
        <f t="shared" si="36"/>
        <v>0</v>
      </c>
      <c r="BC77" s="96"/>
      <c r="BD77" s="65">
        <f t="shared" si="37"/>
        <v>0</v>
      </c>
      <c r="BE77" s="65">
        <f t="shared" si="38"/>
        <v>0</v>
      </c>
      <c r="BF77" s="65">
        <f t="shared" si="39"/>
        <v>0</v>
      </c>
      <c r="BG77" s="96"/>
      <c r="BH77" s="65">
        <f t="shared" si="40"/>
        <v>0</v>
      </c>
      <c r="BI77" s="65">
        <f t="shared" si="41"/>
        <v>0</v>
      </c>
      <c r="BJ77" s="65">
        <f t="shared" si="42"/>
        <v>0</v>
      </c>
      <c r="BK77" s="96"/>
      <c r="BL77" s="97">
        <f t="shared" si="43"/>
        <v>0</v>
      </c>
      <c r="BM77" s="97">
        <f t="shared" si="44"/>
        <v>0</v>
      </c>
      <c r="BN77" s="97">
        <f t="shared" si="45"/>
        <v>0</v>
      </c>
      <c r="BO77" s="96"/>
      <c r="BP77" s="97">
        <f t="shared" si="46"/>
        <v>0</v>
      </c>
      <c r="BQ77" s="97">
        <f t="shared" si="47"/>
        <v>0</v>
      </c>
      <c r="BR77" s="97">
        <f t="shared" si="48"/>
        <v>0</v>
      </c>
      <c r="BS77" s="96"/>
      <c r="BT77" s="97">
        <f t="shared" si="49"/>
        <v>0</v>
      </c>
      <c r="BU77" s="97">
        <f t="shared" si="50"/>
        <v>0</v>
      </c>
      <c r="BV77" s="97">
        <f t="shared" si="51"/>
        <v>0</v>
      </c>
      <c r="BW77" s="96"/>
      <c r="BX77" s="97">
        <f t="shared" si="52"/>
        <v>0</v>
      </c>
      <c r="BY77" s="97">
        <f t="shared" si="53"/>
        <v>0</v>
      </c>
      <c r="BZ77" s="97">
        <f t="shared" si="54"/>
        <v>0</v>
      </c>
      <c r="CA77" s="96"/>
      <c r="CB77" s="97">
        <f t="shared" si="55"/>
        <v>0</v>
      </c>
      <c r="CC77" s="97">
        <f t="shared" si="56"/>
        <v>0</v>
      </c>
      <c r="CD77" s="97">
        <f t="shared" si="57"/>
        <v>0</v>
      </c>
      <c r="CE77" s="96"/>
      <c r="CF77" s="65">
        <f t="shared" si="58"/>
        <v>0</v>
      </c>
      <c r="CG77" s="65">
        <f t="shared" si="59"/>
        <v>0</v>
      </c>
      <c r="CH77" s="65">
        <f t="shared" si="60"/>
        <v>0</v>
      </c>
      <c r="CI77" s="96"/>
      <c r="CJ77" s="65">
        <f t="shared" si="61"/>
        <v>0</v>
      </c>
      <c r="CK77" s="65">
        <f t="shared" si="62"/>
        <v>0</v>
      </c>
      <c r="CL77" s="65">
        <f t="shared" si="63"/>
        <v>0</v>
      </c>
      <c r="CM77" s="96"/>
      <c r="CN77" s="65">
        <f t="shared" si="64"/>
        <v>0</v>
      </c>
      <c r="CO77" s="65">
        <f t="shared" si="65"/>
        <v>0</v>
      </c>
      <c r="CP77" s="65">
        <f t="shared" si="66"/>
        <v>0</v>
      </c>
      <c r="CQ77" s="96"/>
      <c r="CR77" s="65">
        <f t="shared" si="67"/>
        <v>0</v>
      </c>
      <c r="CS77" s="65">
        <f t="shared" si="68"/>
        <v>0</v>
      </c>
      <c r="CT77" s="65">
        <f t="shared" si="69"/>
        <v>0</v>
      </c>
      <c r="CU77" s="96"/>
      <c r="CV77" s="65">
        <f t="shared" si="70"/>
        <v>0</v>
      </c>
      <c r="CW77" s="65">
        <f t="shared" si="71"/>
        <v>0</v>
      </c>
      <c r="CX77" s="65">
        <f t="shared" si="72"/>
        <v>0</v>
      </c>
      <c r="CY77" s="96"/>
      <c r="CZ77" s="97">
        <f t="shared" si="73"/>
        <v>0</v>
      </c>
      <c r="DA77" s="97">
        <f t="shared" si="74"/>
        <v>0</v>
      </c>
      <c r="DB77" s="97">
        <f t="shared" si="75"/>
        <v>0</v>
      </c>
      <c r="DC77" s="96"/>
      <c r="DD77" s="97">
        <f t="shared" si="76"/>
        <v>0</v>
      </c>
      <c r="DE77" s="97">
        <f t="shared" si="77"/>
        <v>0</v>
      </c>
      <c r="DF77" s="97">
        <f t="shared" si="78"/>
        <v>0</v>
      </c>
      <c r="DG77" s="96"/>
      <c r="DH77" s="97">
        <f t="shared" si="79"/>
        <v>0</v>
      </c>
      <c r="DI77" s="97">
        <f t="shared" si="80"/>
        <v>0</v>
      </c>
      <c r="DJ77" s="97">
        <f t="shared" si="81"/>
        <v>0</v>
      </c>
      <c r="DK77" s="96"/>
      <c r="DL77" s="97">
        <f t="shared" si="82"/>
        <v>0</v>
      </c>
      <c r="DM77" s="97">
        <f t="shared" si="83"/>
        <v>0</v>
      </c>
      <c r="DN77" s="97">
        <f t="shared" si="84"/>
        <v>0</v>
      </c>
      <c r="DO77" s="96"/>
      <c r="DP77" s="97">
        <f t="shared" si="85"/>
        <v>0</v>
      </c>
      <c r="DQ77" s="97">
        <f t="shared" si="86"/>
        <v>0</v>
      </c>
      <c r="DR77" s="97">
        <f t="shared" si="87"/>
        <v>0</v>
      </c>
      <c r="DS77" s="96"/>
      <c r="DT77" s="65">
        <f t="shared" si="88"/>
        <v>0</v>
      </c>
      <c r="DU77" s="65">
        <f t="shared" si="89"/>
        <v>0</v>
      </c>
      <c r="DV77" s="65">
        <f t="shared" si="90"/>
        <v>0</v>
      </c>
      <c r="DW77" s="96"/>
      <c r="DX77" s="65">
        <f t="shared" si="91"/>
        <v>0</v>
      </c>
      <c r="DY77" s="65">
        <f t="shared" si="92"/>
        <v>0</v>
      </c>
      <c r="DZ77" s="65">
        <f t="shared" si="93"/>
        <v>0</v>
      </c>
      <c r="EA77" s="96"/>
      <c r="EB77" s="65">
        <f t="shared" si="94"/>
        <v>0</v>
      </c>
      <c r="EC77" s="65">
        <f t="shared" si="95"/>
        <v>0</v>
      </c>
      <c r="ED77" s="65">
        <f t="shared" si="96"/>
        <v>0</v>
      </c>
    </row>
    <row r="78" spans="1:134" x14ac:dyDescent="0.2">
      <c r="A78" s="71"/>
      <c r="B78" s="96" t="s">
        <v>52</v>
      </c>
      <c r="C78" s="96"/>
      <c r="D78" s="97">
        <f t="shared" si="0"/>
        <v>0</v>
      </c>
      <c r="E78" s="97">
        <f t="shared" si="97"/>
        <v>0</v>
      </c>
      <c r="F78" s="97">
        <f t="shared" si="98"/>
        <v>0</v>
      </c>
      <c r="G78" s="96"/>
      <c r="H78" s="97">
        <f t="shared" si="1"/>
        <v>0</v>
      </c>
      <c r="I78" s="97">
        <f t="shared" si="2"/>
        <v>0</v>
      </c>
      <c r="J78" s="97">
        <f t="shared" si="3"/>
        <v>0</v>
      </c>
      <c r="K78" s="96"/>
      <c r="L78" s="97">
        <f t="shared" si="4"/>
        <v>0</v>
      </c>
      <c r="M78" s="97">
        <f t="shared" si="5"/>
        <v>0</v>
      </c>
      <c r="N78" s="97">
        <f t="shared" si="6"/>
        <v>0</v>
      </c>
      <c r="O78" s="96"/>
      <c r="P78" s="97">
        <f t="shared" si="7"/>
        <v>0</v>
      </c>
      <c r="Q78" s="97">
        <f t="shared" si="8"/>
        <v>0</v>
      </c>
      <c r="R78" s="97">
        <f t="shared" si="9"/>
        <v>0</v>
      </c>
      <c r="S78" s="96"/>
      <c r="T78" s="97">
        <f t="shared" si="10"/>
        <v>0</v>
      </c>
      <c r="U78" s="97">
        <f t="shared" si="11"/>
        <v>0</v>
      </c>
      <c r="V78" s="97">
        <f t="shared" si="12"/>
        <v>0</v>
      </c>
      <c r="W78" s="96"/>
      <c r="X78" s="97">
        <f t="shared" si="13"/>
        <v>0</v>
      </c>
      <c r="Y78" s="97">
        <f t="shared" si="14"/>
        <v>0</v>
      </c>
      <c r="Z78" s="97">
        <f t="shared" si="15"/>
        <v>0</v>
      </c>
      <c r="AA78" s="96"/>
      <c r="AB78" s="97">
        <f t="shared" si="16"/>
        <v>0</v>
      </c>
      <c r="AC78" s="97">
        <f t="shared" si="17"/>
        <v>0</v>
      </c>
      <c r="AD78" s="97">
        <f t="shared" si="18"/>
        <v>0</v>
      </c>
      <c r="AE78" s="96"/>
      <c r="AF78" s="97">
        <f t="shared" si="19"/>
        <v>0</v>
      </c>
      <c r="AG78" s="97">
        <f t="shared" si="20"/>
        <v>0</v>
      </c>
      <c r="AH78" s="97">
        <f t="shared" si="21"/>
        <v>0</v>
      </c>
      <c r="AI78" s="96"/>
      <c r="AJ78" s="97">
        <f t="shared" si="22"/>
        <v>0</v>
      </c>
      <c r="AK78" s="97">
        <f t="shared" si="23"/>
        <v>0</v>
      </c>
      <c r="AL78" s="97">
        <f t="shared" si="24"/>
        <v>0</v>
      </c>
      <c r="AM78" s="96"/>
      <c r="AN78" s="97">
        <f t="shared" si="25"/>
        <v>0</v>
      </c>
      <c r="AO78" s="97">
        <f t="shared" si="26"/>
        <v>0</v>
      </c>
      <c r="AP78" s="97">
        <f t="shared" si="27"/>
        <v>0</v>
      </c>
      <c r="AQ78" s="96"/>
      <c r="AR78" s="97">
        <f t="shared" si="28"/>
        <v>0</v>
      </c>
      <c r="AS78" s="97">
        <f t="shared" si="29"/>
        <v>0</v>
      </c>
      <c r="AT78" s="97">
        <f t="shared" si="30"/>
        <v>0</v>
      </c>
      <c r="AU78" s="96"/>
      <c r="AV78" s="97">
        <f t="shared" si="31"/>
        <v>0</v>
      </c>
      <c r="AW78" s="97">
        <f t="shared" si="32"/>
        <v>0</v>
      </c>
      <c r="AX78" s="97">
        <f t="shared" si="33"/>
        <v>0</v>
      </c>
      <c r="AY78" s="96"/>
      <c r="AZ78" s="65">
        <f t="shared" si="34"/>
        <v>0</v>
      </c>
      <c r="BA78" s="65">
        <f t="shared" si="35"/>
        <v>0</v>
      </c>
      <c r="BB78" s="65">
        <f t="shared" si="36"/>
        <v>0</v>
      </c>
      <c r="BC78" s="96"/>
      <c r="BD78" s="65">
        <f t="shared" si="37"/>
        <v>0</v>
      </c>
      <c r="BE78" s="65">
        <f t="shared" si="38"/>
        <v>0</v>
      </c>
      <c r="BF78" s="65">
        <f t="shared" si="39"/>
        <v>0</v>
      </c>
      <c r="BG78" s="96"/>
      <c r="BH78" s="65">
        <f t="shared" si="40"/>
        <v>0</v>
      </c>
      <c r="BI78" s="65">
        <f t="shared" si="41"/>
        <v>0</v>
      </c>
      <c r="BJ78" s="65">
        <f t="shared" si="42"/>
        <v>0</v>
      </c>
      <c r="BK78" s="96"/>
      <c r="BL78" s="97">
        <f t="shared" si="43"/>
        <v>0</v>
      </c>
      <c r="BM78" s="97">
        <f t="shared" si="44"/>
        <v>0</v>
      </c>
      <c r="BN78" s="97">
        <f t="shared" si="45"/>
        <v>0</v>
      </c>
      <c r="BO78" s="96"/>
      <c r="BP78" s="97">
        <f t="shared" si="46"/>
        <v>0</v>
      </c>
      <c r="BQ78" s="97">
        <f t="shared" si="47"/>
        <v>0</v>
      </c>
      <c r="BR78" s="97">
        <f t="shared" si="48"/>
        <v>0</v>
      </c>
      <c r="BS78" s="96"/>
      <c r="BT78" s="97">
        <f t="shared" si="49"/>
        <v>0</v>
      </c>
      <c r="BU78" s="97">
        <f t="shared" si="50"/>
        <v>0</v>
      </c>
      <c r="BV78" s="97">
        <f t="shared" si="51"/>
        <v>0</v>
      </c>
      <c r="BW78" s="96"/>
      <c r="BX78" s="97">
        <f t="shared" si="52"/>
        <v>0</v>
      </c>
      <c r="BY78" s="97">
        <f t="shared" si="53"/>
        <v>0</v>
      </c>
      <c r="BZ78" s="97">
        <f t="shared" si="54"/>
        <v>0</v>
      </c>
      <c r="CA78" s="96"/>
      <c r="CB78" s="97">
        <f t="shared" si="55"/>
        <v>0</v>
      </c>
      <c r="CC78" s="97">
        <f t="shared" si="56"/>
        <v>0</v>
      </c>
      <c r="CD78" s="97">
        <f t="shared" si="57"/>
        <v>0</v>
      </c>
      <c r="CE78" s="96"/>
      <c r="CF78" s="65">
        <f t="shared" si="58"/>
        <v>0</v>
      </c>
      <c r="CG78" s="65">
        <f t="shared" si="59"/>
        <v>0</v>
      </c>
      <c r="CH78" s="65">
        <f t="shared" si="60"/>
        <v>0</v>
      </c>
      <c r="CI78" s="96"/>
      <c r="CJ78" s="65">
        <f t="shared" si="61"/>
        <v>0</v>
      </c>
      <c r="CK78" s="65">
        <f t="shared" si="62"/>
        <v>0</v>
      </c>
      <c r="CL78" s="65">
        <f t="shared" si="63"/>
        <v>0</v>
      </c>
      <c r="CM78" s="96"/>
      <c r="CN78" s="65">
        <f t="shared" si="64"/>
        <v>0</v>
      </c>
      <c r="CO78" s="65">
        <f t="shared" si="65"/>
        <v>0</v>
      </c>
      <c r="CP78" s="65">
        <f t="shared" si="66"/>
        <v>0</v>
      </c>
      <c r="CQ78" s="96"/>
      <c r="CR78" s="65">
        <f t="shared" si="67"/>
        <v>0</v>
      </c>
      <c r="CS78" s="65">
        <f t="shared" si="68"/>
        <v>0</v>
      </c>
      <c r="CT78" s="65">
        <f t="shared" si="69"/>
        <v>0</v>
      </c>
      <c r="CU78" s="96"/>
      <c r="CV78" s="65">
        <f t="shared" si="70"/>
        <v>0</v>
      </c>
      <c r="CW78" s="65">
        <f t="shared" si="71"/>
        <v>0</v>
      </c>
      <c r="CX78" s="65">
        <f t="shared" si="72"/>
        <v>0</v>
      </c>
      <c r="CY78" s="96"/>
      <c r="CZ78" s="97">
        <f t="shared" si="73"/>
        <v>0</v>
      </c>
      <c r="DA78" s="97">
        <f t="shared" si="74"/>
        <v>0</v>
      </c>
      <c r="DB78" s="97">
        <f t="shared" si="75"/>
        <v>0</v>
      </c>
      <c r="DC78" s="96"/>
      <c r="DD78" s="97">
        <f t="shared" si="76"/>
        <v>0</v>
      </c>
      <c r="DE78" s="97">
        <f t="shared" si="77"/>
        <v>0</v>
      </c>
      <c r="DF78" s="97">
        <f t="shared" si="78"/>
        <v>0</v>
      </c>
      <c r="DG78" s="96"/>
      <c r="DH78" s="97">
        <f t="shared" si="79"/>
        <v>0</v>
      </c>
      <c r="DI78" s="97">
        <f t="shared" si="80"/>
        <v>0</v>
      </c>
      <c r="DJ78" s="97">
        <f t="shared" si="81"/>
        <v>0</v>
      </c>
      <c r="DK78" s="96"/>
      <c r="DL78" s="97">
        <f t="shared" si="82"/>
        <v>0</v>
      </c>
      <c r="DM78" s="97">
        <f t="shared" si="83"/>
        <v>0</v>
      </c>
      <c r="DN78" s="97">
        <f t="shared" si="84"/>
        <v>0</v>
      </c>
      <c r="DO78" s="96"/>
      <c r="DP78" s="97">
        <f t="shared" si="85"/>
        <v>0</v>
      </c>
      <c r="DQ78" s="97">
        <f t="shared" si="86"/>
        <v>0</v>
      </c>
      <c r="DR78" s="97">
        <f t="shared" si="87"/>
        <v>0</v>
      </c>
      <c r="DS78" s="96"/>
      <c r="DT78" s="65">
        <f t="shared" si="88"/>
        <v>0</v>
      </c>
      <c r="DU78" s="65">
        <f t="shared" si="89"/>
        <v>0</v>
      </c>
      <c r="DV78" s="65">
        <f t="shared" si="90"/>
        <v>0</v>
      </c>
      <c r="DW78" s="96"/>
      <c r="DX78" s="65">
        <f t="shared" si="91"/>
        <v>0</v>
      </c>
      <c r="DY78" s="65">
        <f t="shared" si="92"/>
        <v>0</v>
      </c>
      <c r="DZ78" s="65">
        <f t="shared" si="93"/>
        <v>0</v>
      </c>
      <c r="EA78" s="96"/>
      <c r="EB78" s="65">
        <f t="shared" si="94"/>
        <v>0</v>
      </c>
      <c r="EC78" s="65">
        <f t="shared" si="95"/>
        <v>0</v>
      </c>
      <c r="ED78" s="65">
        <f t="shared" si="96"/>
        <v>0</v>
      </c>
    </row>
    <row r="79" spans="1:134" x14ac:dyDescent="0.2">
      <c r="A79" s="71"/>
      <c r="B79" s="96" t="s">
        <v>52</v>
      </c>
      <c r="C79" s="96"/>
      <c r="D79" s="97">
        <f t="shared" si="0"/>
        <v>0</v>
      </c>
      <c r="E79" s="97">
        <f t="shared" si="97"/>
        <v>0</v>
      </c>
      <c r="F79" s="97">
        <f t="shared" si="98"/>
        <v>0</v>
      </c>
      <c r="G79" s="96"/>
      <c r="H79" s="97">
        <f t="shared" si="1"/>
        <v>0</v>
      </c>
      <c r="I79" s="97">
        <f t="shared" si="2"/>
        <v>0</v>
      </c>
      <c r="J79" s="97">
        <f t="shared" si="3"/>
        <v>0</v>
      </c>
      <c r="K79" s="96"/>
      <c r="L79" s="97">
        <f t="shared" si="4"/>
        <v>0</v>
      </c>
      <c r="M79" s="97">
        <f t="shared" si="5"/>
        <v>0</v>
      </c>
      <c r="N79" s="97">
        <f t="shared" si="6"/>
        <v>0</v>
      </c>
      <c r="O79" s="96"/>
      <c r="P79" s="97">
        <f t="shared" si="7"/>
        <v>0</v>
      </c>
      <c r="Q79" s="97">
        <f t="shared" si="8"/>
        <v>0</v>
      </c>
      <c r="R79" s="97">
        <f t="shared" si="9"/>
        <v>0</v>
      </c>
      <c r="S79" s="96"/>
      <c r="T79" s="97">
        <f t="shared" si="10"/>
        <v>0</v>
      </c>
      <c r="U79" s="97">
        <f t="shared" si="11"/>
        <v>0</v>
      </c>
      <c r="V79" s="97">
        <f t="shared" si="12"/>
        <v>0</v>
      </c>
      <c r="W79" s="96"/>
      <c r="X79" s="97">
        <f t="shared" si="13"/>
        <v>0</v>
      </c>
      <c r="Y79" s="97">
        <f t="shared" si="14"/>
        <v>0</v>
      </c>
      <c r="Z79" s="97">
        <f t="shared" si="15"/>
        <v>0</v>
      </c>
      <c r="AA79" s="96"/>
      <c r="AB79" s="97">
        <f t="shared" si="16"/>
        <v>0</v>
      </c>
      <c r="AC79" s="97">
        <f t="shared" si="17"/>
        <v>0</v>
      </c>
      <c r="AD79" s="97">
        <f t="shared" si="18"/>
        <v>0</v>
      </c>
      <c r="AE79" s="96"/>
      <c r="AF79" s="97">
        <f t="shared" si="19"/>
        <v>0</v>
      </c>
      <c r="AG79" s="97">
        <f t="shared" si="20"/>
        <v>0</v>
      </c>
      <c r="AH79" s="97">
        <f t="shared" si="21"/>
        <v>0</v>
      </c>
      <c r="AI79" s="96"/>
      <c r="AJ79" s="97">
        <f t="shared" si="22"/>
        <v>0</v>
      </c>
      <c r="AK79" s="97">
        <f t="shared" si="23"/>
        <v>0</v>
      </c>
      <c r="AL79" s="97">
        <f t="shared" si="24"/>
        <v>0</v>
      </c>
      <c r="AM79" s="96"/>
      <c r="AN79" s="97">
        <f t="shared" si="25"/>
        <v>0</v>
      </c>
      <c r="AO79" s="97">
        <f t="shared" si="26"/>
        <v>0</v>
      </c>
      <c r="AP79" s="97">
        <f t="shared" si="27"/>
        <v>0</v>
      </c>
      <c r="AQ79" s="96"/>
      <c r="AR79" s="97">
        <f t="shared" si="28"/>
        <v>0</v>
      </c>
      <c r="AS79" s="97">
        <f t="shared" si="29"/>
        <v>0</v>
      </c>
      <c r="AT79" s="97">
        <f t="shared" si="30"/>
        <v>0</v>
      </c>
      <c r="AU79" s="96"/>
      <c r="AV79" s="97">
        <f t="shared" si="31"/>
        <v>0</v>
      </c>
      <c r="AW79" s="97">
        <f t="shared" si="32"/>
        <v>0</v>
      </c>
      <c r="AX79" s="97">
        <f t="shared" si="33"/>
        <v>0</v>
      </c>
      <c r="AY79" s="96"/>
      <c r="AZ79" s="65">
        <f t="shared" si="34"/>
        <v>0</v>
      </c>
      <c r="BA79" s="65">
        <f t="shared" si="35"/>
        <v>0</v>
      </c>
      <c r="BB79" s="65">
        <f t="shared" si="36"/>
        <v>0</v>
      </c>
      <c r="BC79" s="96"/>
      <c r="BD79" s="65">
        <f t="shared" si="37"/>
        <v>0</v>
      </c>
      <c r="BE79" s="65">
        <f t="shared" si="38"/>
        <v>0</v>
      </c>
      <c r="BF79" s="65">
        <f t="shared" si="39"/>
        <v>0</v>
      </c>
      <c r="BG79" s="96"/>
      <c r="BH79" s="65">
        <f t="shared" si="40"/>
        <v>0</v>
      </c>
      <c r="BI79" s="65">
        <f t="shared" si="41"/>
        <v>0</v>
      </c>
      <c r="BJ79" s="65">
        <f t="shared" si="42"/>
        <v>0</v>
      </c>
      <c r="BK79" s="96"/>
      <c r="BL79" s="97">
        <f t="shared" si="43"/>
        <v>0</v>
      </c>
      <c r="BM79" s="97">
        <f t="shared" si="44"/>
        <v>0</v>
      </c>
      <c r="BN79" s="97">
        <f t="shared" si="45"/>
        <v>0</v>
      </c>
      <c r="BO79" s="96"/>
      <c r="BP79" s="97">
        <f t="shared" si="46"/>
        <v>0</v>
      </c>
      <c r="BQ79" s="97">
        <f t="shared" si="47"/>
        <v>0</v>
      </c>
      <c r="BR79" s="97">
        <f t="shared" si="48"/>
        <v>0</v>
      </c>
      <c r="BS79" s="96"/>
      <c r="BT79" s="97">
        <f t="shared" si="49"/>
        <v>0</v>
      </c>
      <c r="BU79" s="97">
        <f t="shared" si="50"/>
        <v>0</v>
      </c>
      <c r="BV79" s="97">
        <f t="shared" si="51"/>
        <v>0</v>
      </c>
      <c r="BW79" s="96"/>
      <c r="BX79" s="97">
        <f t="shared" si="52"/>
        <v>0</v>
      </c>
      <c r="BY79" s="97">
        <f t="shared" si="53"/>
        <v>0</v>
      </c>
      <c r="BZ79" s="97">
        <f t="shared" si="54"/>
        <v>0</v>
      </c>
      <c r="CA79" s="96"/>
      <c r="CB79" s="97">
        <f t="shared" si="55"/>
        <v>0</v>
      </c>
      <c r="CC79" s="97">
        <f t="shared" si="56"/>
        <v>0</v>
      </c>
      <c r="CD79" s="97">
        <f t="shared" si="57"/>
        <v>0</v>
      </c>
      <c r="CE79" s="96"/>
      <c r="CF79" s="65">
        <f t="shared" si="58"/>
        <v>0</v>
      </c>
      <c r="CG79" s="65">
        <f t="shared" si="59"/>
        <v>0</v>
      </c>
      <c r="CH79" s="65">
        <f t="shared" si="60"/>
        <v>0</v>
      </c>
      <c r="CI79" s="96"/>
      <c r="CJ79" s="65">
        <f t="shared" si="61"/>
        <v>0</v>
      </c>
      <c r="CK79" s="65">
        <f t="shared" si="62"/>
        <v>0</v>
      </c>
      <c r="CL79" s="65">
        <f t="shared" si="63"/>
        <v>0</v>
      </c>
      <c r="CM79" s="96"/>
      <c r="CN79" s="65">
        <f t="shared" si="64"/>
        <v>0</v>
      </c>
      <c r="CO79" s="65">
        <f t="shared" si="65"/>
        <v>0</v>
      </c>
      <c r="CP79" s="65">
        <f t="shared" si="66"/>
        <v>0</v>
      </c>
      <c r="CQ79" s="96"/>
      <c r="CR79" s="65">
        <f t="shared" si="67"/>
        <v>0</v>
      </c>
      <c r="CS79" s="65">
        <f t="shared" si="68"/>
        <v>0</v>
      </c>
      <c r="CT79" s="65">
        <f t="shared" si="69"/>
        <v>0</v>
      </c>
      <c r="CU79" s="96"/>
      <c r="CV79" s="65">
        <f t="shared" si="70"/>
        <v>0</v>
      </c>
      <c r="CW79" s="65">
        <f t="shared" si="71"/>
        <v>0</v>
      </c>
      <c r="CX79" s="65">
        <f t="shared" si="72"/>
        <v>0</v>
      </c>
      <c r="CY79" s="96"/>
      <c r="CZ79" s="97">
        <f t="shared" si="73"/>
        <v>0</v>
      </c>
      <c r="DA79" s="97">
        <f t="shared" si="74"/>
        <v>0</v>
      </c>
      <c r="DB79" s="97">
        <f t="shared" si="75"/>
        <v>0</v>
      </c>
      <c r="DC79" s="96"/>
      <c r="DD79" s="97">
        <f t="shared" si="76"/>
        <v>0</v>
      </c>
      <c r="DE79" s="97">
        <f t="shared" si="77"/>
        <v>0</v>
      </c>
      <c r="DF79" s="97">
        <f t="shared" si="78"/>
        <v>0</v>
      </c>
      <c r="DG79" s="96"/>
      <c r="DH79" s="97">
        <f t="shared" si="79"/>
        <v>0</v>
      </c>
      <c r="DI79" s="97">
        <f t="shared" si="80"/>
        <v>0</v>
      </c>
      <c r="DJ79" s="97">
        <f t="shared" si="81"/>
        <v>0</v>
      </c>
      <c r="DK79" s="96"/>
      <c r="DL79" s="97">
        <f t="shared" si="82"/>
        <v>0</v>
      </c>
      <c r="DM79" s="97">
        <f t="shared" si="83"/>
        <v>0</v>
      </c>
      <c r="DN79" s="97">
        <f t="shared" si="84"/>
        <v>0</v>
      </c>
      <c r="DO79" s="96"/>
      <c r="DP79" s="97">
        <f t="shared" si="85"/>
        <v>0</v>
      </c>
      <c r="DQ79" s="97">
        <f t="shared" si="86"/>
        <v>0</v>
      </c>
      <c r="DR79" s="97">
        <f t="shared" si="87"/>
        <v>0</v>
      </c>
      <c r="DS79" s="96"/>
      <c r="DT79" s="65">
        <f t="shared" si="88"/>
        <v>0</v>
      </c>
      <c r="DU79" s="65">
        <f t="shared" si="89"/>
        <v>0</v>
      </c>
      <c r="DV79" s="65">
        <f t="shared" si="90"/>
        <v>0</v>
      </c>
      <c r="DW79" s="96"/>
      <c r="DX79" s="65">
        <f t="shared" si="91"/>
        <v>0</v>
      </c>
      <c r="DY79" s="65">
        <f t="shared" si="92"/>
        <v>0</v>
      </c>
      <c r="DZ79" s="65">
        <f t="shared" si="93"/>
        <v>0</v>
      </c>
      <c r="EA79" s="96"/>
      <c r="EB79" s="65">
        <f t="shared" si="94"/>
        <v>0</v>
      </c>
      <c r="EC79" s="65">
        <f t="shared" si="95"/>
        <v>0</v>
      </c>
      <c r="ED79" s="65">
        <f t="shared" si="96"/>
        <v>0</v>
      </c>
    </row>
    <row r="80" spans="1:134" x14ac:dyDescent="0.2">
      <c r="A80" s="71"/>
      <c r="B80" s="96" t="s">
        <v>52</v>
      </c>
      <c r="C80" s="96"/>
      <c r="D80" s="97">
        <f t="shared" si="0"/>
        <v>0</v>
      </c>
      <c r="E80" s="97">
        <f t="shared" si="97"/>
        <v>0</v>
      </c>
      <c r="F80" s="97">
        <f t="shared" si="98"/>
        <v>0</v>
      </c>
      <c r="G80" s="96"/>
      <c r="H80" s="97">
        <f t="shared" si="1"/>
        <v>0</v>
      </c>
      <c r="I80" s="97">
        <f t="shared" si="2"/>
        <v>0</v>
      </c>
      <c r="J80" s="97">
        <f t="shared" si="3"/>
        <v>0</v>
      </c>
      <c r="K80" s="96"/>
      <c r="L80" s="97">
        <f t="shared" si="4"/>
        <v>0</v>
      </c>
      <c r="M80" s="97">
        <f t="shared" si="5"/>
        <v>0</v>
      </c>
      <c r="N80" s="97">
        <f t="shared" si="6"/>
        <v>0</v>
      </c>
      <c r="O80" s="96"/>
      <c r="P80" s="97">
        <f t="shared" si="7"/>
        <v>0</v>
      </c>
      <c r="Q80" s="97">
        <f t="shared" si="8"/>
        <v>0</v>
      </c>
      <c r="R80" s="97">
        <f t="shared" si="9"/>
        <v>0</v>
      </c>
      <c r="S80" s="96"/>
      <c r="T80" s="97">
        <f t="shared" si="10"/>
        <v>0</v>
      </c>
      <c r="U80" s="97">
        <f t="shared" si="11"/>
        <v>0</v>
      </c>
      <c r="V80" s="97">
        <f t="shared" si="12"/>
        <v>0</v>
      </c>
      <c r="W80" s="96"/>
      <c r="X80" s="97">
        <f t="shared" si="13"/>
        <v>0</v>
      </c>
      <c r="Y80" s="97">
        <f t="shared" si="14"/>
        <v>0</v>
      </c>
      <c r="Z80" s="97">
        <f t="shared" si="15"/>
        <v>0</v>
      </c>
      <c r="AA80" s="96"/>
      <c r="AB80" s="97">
        <f t="shared" si="16"/>
        <v>0</v>
      </c>
      <c r="AC80" s="97">
        <f t="shared" si="17"/>
        <v>0</v>
      </c>
      <c r="AD80" s="97">
        <f t="shared" si="18"/>
        <v>0</v>
      </c>
      <c r="AE80" s="96"/>
      <c r="AF80" s="97">
        <f t="shared" si="19"/>
        <v>0</v>
      </c>
      <c r="AG80" s="97">
        <f t="shared" si="20"/>
        <v>0</v>
      </c>
      <c r="AH80" s="97">
        <f t="shared" si="21"/>
        <v>0</v>
      </c>
      <c r="AI80" s="96"/>
      <c r="AJ80" s="97">
        <f t="shared" si="22"/>
        <v>0</v>
      </c>
      <c r="AK80" s="97">
        <f t="shared" si="23"/>
        <v>0</v>
      </c>
      <c r="AL80" s="97">
        <f t="shared" si="24"/>
        <v>0</v>
      </c>
      <c r="AM80" s="96"/>
      <c r="AN80" s="97">
        <f t="shared" si="25"/>
        <v>0</v>
      </c>
      <c r="AO80" s="97">
        <f t="shared" si="26"/>
        <v>0</v>
      </c>
      <c r="AP80" s="97">
        <f t="shared" si="27"/>
        <v>0</v>
      </c>
      <c r="AQ80" s="96"/>
      <c r="AR80" s="97">
        <f t="shared" si="28"/>
        <v>0</v>
      </c>
      <c r="AS80" s="97">
        <f t="shared" si="29"/>
        <v>0</v>
      </c>
      <c r="AT80" s="97">
        <f t="shared" si="30"/>
        <v>0</v>
      </c>
      <c r="AU80" s="96"/>
      <c r="AV80" s="97">
        <f t="shared" si="31"/>
        <v>0</v>
      </c>
      <c r="AW80" s="97">
        <f t="shared" si="32"/>
        <v>0</v>
      </c>
      <c r="AX80" s="97">
        <f t="shared" si="33"/>
        <v>0</v>
      </c>
      <c r="AY80" s="96"/>
      <c r="AZ80" s="65">
        <f t="shared" si="34"/>
        <v>0</v>
      </c>
      <c r="BA80" s="65">
        <f t="shared" si="35"/>
        <v>0</v>
      </c>
      <c r="BB80" s="65">
        <f t="shared" si="36"/>
        <v>0</v>
      </c>
      <c r="BC80" s="96"/>
      <c r="BD80" s="65">
        <f t="shared" si="37"/>
        <v>0</v>
      </c>
      <c r="BE80" s="65">
        <f t="shared" si="38"/>
        <v>0</v>
      </c>
      <c r="BF80" s="65">
        <f t="shared" si="39"/>
        <v>0</v>
      </c>
      <c r="BG80" s="96"/>
      <c r="BH80" s="65">
        <f t="shared" si="40"/>
        <v>0</v>
      </c>
      <c r="BI80" s="65">
        <f t="shared" si="41"/>
        <v>0</v>
      </c>
      <c r="BJ80" s="65">
        <f t="shared" si="42"/>
        <v>0</v>
      </c>
      <c r="BK80" s="96"/>
      <c r="BL80" s="97">
        <f t="shared" si="43"/>
        <v>0</v>
      </c>
      <c r="BM80" s="97">
        <f t="shared" si="44"/>
        <v>0</v>
      </c>
      <c r="BN80" s="97">
        <f t="shared" si="45"/>
        <v>0</v>
      </c>
      <c r="BO80" s="96"/>
      <c r="BP80" s="97">
        <f t="shared" si="46"/>
        <v>0</v>
      </c>
      <c r="BQ80" s="97">
        <f t="shared" si="47"/>
        <v>0</v>
      </c>
      <c r="BR80" s="97">
        <f t="shared" si="48"/>
        <v>0</v>
      </c>
      <c r="BS80" s="96"/>
      <c r="BT80" s="97">
        <f t="shared" si="49"/>
        <v>0</v>
      </c>
      <c r="BU80" s="97">
        <f t="shared" si="50"/>
        <v>0</v>
      </c>
      <c r="BV80" s="97">
        <f t="shared" si="51"/>
        <v>0</v>
      </c>
      <c r="BW80" s="96"/>
      <c r="BX80" s="97">
        <f t="shared" si="52"/>
        <v>0</v>
      </c>
      <c r="BY80" s="97">
        <f t="shared" si="53"/>
        <v>0</v>
      </c>
      <c r="BZ80" s="97">
        <f t="shared" si="54"/>
        <v>0</v>
      </c>
      <c r="CA80" s="96"/>
      <c r="CB80" s="97">
        <f t="shared" si="55"/>
        <v>0</v>
      </c>
      <c r="CC80" s="97">
        <f t="shared" si="56"/>
        <v>0</v>
      </c>
      <c r="CD80" s="97">
        <f t="shared" si="57"/>
        <v>0</v>
      </c>
      <c r="CE80" s="96"/>
      <c r="CF80" s="65">
        <f t="shared" si="58"/>
        <v>0</v>
      </c>
      <c r="CG80" s="65">
        <f t="shared" si="59"/>
        <v>0</v>
      </c>
      <c r="CH80" s="65">
        <f t="shared" si="60"/>
        <v>0</v>
      </c>
      <c r="CI80" s="96"/>
      <c r="CJ80" s="65">
        <f t="shared" si="61"/>
        <v>0</v>
      </c>
      <c r="CK80" s="65">
        <f t="shared" si="62"/>
        <v>0</v>
      </c>
      <c r="CL80" s="65">
        <f t="shared" si="63"/>
        <v>0</v>
      </c>
      <c r="CM80" s="96"/>
      <c r="CN80" s="65">
        <f t="shared" si="64"/>
        <v>0</v>
      </c>
      <c r="CO80" s="65">
        <f t="shared" si="65"/>
        <v>0</v>
      </c>
      <c r="CP80" s="65">
        <f t="shared" si="66"/>
        <v>0</v>
      </c>
      <c r="CQ80" s="96"/>
      <c r="CR80" s="65">
        <f t="shared" si="67"/>
        <v>0</v>
      </c>
      <c r="CS80" s="65">
        <f t="shared" si="68"/>
        <v>0</v>
      </c>
      <c r="CT80" s="65">
        <f t="shared" si="69"/>
        <v>0</v>
      </c>
      <c r="CU80" s="96"/>
      <c r="CV80" s="65">
        <f t="shared" si="70"/>
        <v>0</v>
      </c>
      <c r="CW80" s="65">
        <f t="shared" si="71"/>
        <v>0</v>
      </c>
      <c r="CX80" s="65">
        <f t="shared" si="72"/>
        <v>0</v>
      </c>
      <c r="CY80" s="96"/>
      <c r="CZ80" s="97">
        <f t="shared" si="73"/>
        <v>0</v>
      </c>
      <c r="DA80" s="97">
        <f t="shared" si="74"/>
        <v>0</v>
      </c>
      <c r="DB80" s="97">
        <f t="shared" si="75"/>
        <v>0</v>
      </c>
      <c r="DC80" s="96"/>
      <c r="DD80" s="97">
        <f t="shared" si="76"/>
        <v>0</v>
      </c>
      <c r="DE80" s="97">
        <f t="shared" si="77"/>
        <v>0</v>
      </c>
      <c r="DF80" s="97">
        <f t="shared" si="78"/>
        <v>0</v>
      </c>
      <c r="DG80" s="96"/>
      <c r="DH80" s="97">
        <f t="shared" si="79"/>
        <v>0</v>
      </c>
      <c r="DI80" s="97">
        <f t="shared" si="80"/>
        <v>0</v>
      </c>
      <c r="DJ80" s="97">
        <f t="shared" si="81"/>
        <v>0</v>
      </c>
      <c r="DK80" s="96"/>
      <c r="DL80" s="97">
        <f t="shared" si="82"/>
        <v>0</v>
      </c>
      <c r="DM80" s="97">
        <f t="shared" si="83"/>
        <v>0</v>
      </c>
      <c r="DN80" s="97">
        <f t="shared" si="84"/>
        <v>0</v>
      </c>
      <c r="DO80" s="96"/>
      <c r="DP80" s="97">
        <f t="shared" si="85"/>
        <v>0</v>
      </c>
      <c r="DQ80" s="97">
        <f t="shared" si="86"/>
        <v>0</v>
      </c>
      <c r="DR80" s="97">
        <f t="shared" si="87"/>
        <v>0</v>
      </c>
      <c r="DS80" s="96"/>
      <c r="DT80" s="65">
        <f t="shared" si="88"/>
        <v>0</v>
      </c>
      <c r="DU80" s="65">
        <f t="shared" si="89"/>
        <v>0</v>
      </c>
      <c r="DV80" s="65">
        <f t="shared" si="90"/>
        <v>0</v>
      </c>
      <c r="DW80" s="96"/>
      <c r="DX80" s="65">
        <f t="shared" si="91"/>
        <v>0</v>
      </c>
      <c r="DY80" s="65">
        <f t="shared" si="92"/>
        <v>0</v>
      </c>
      <c r="DZ80" s="65">
        <f t="shared" si="93"/>
        <v>0</v>
      </c>
      <c r="EA80" s="96"/>
      <c r="EB80" s="65">
        <f t="shared" si="94"/>
        <v>0</v>
      </c>
      <c r="EC80" s="65">
        <f t="shared" si="95"/>
        <v>0</v>
      </c>
      <c r="ED80" s="65">
        <f t="shared" si="96"/>
        <v>0</v>
      </c>
    </row>
    <row r="81" spans="1:134" x14ac:dyDescent="0.2">
      <c r="A81" s="71"/>
      <c r="B81" s="96" t="s">
        <v>52</v>
      </c>
      <c r="C81" s="96"/>
      <c r="D81" s="97">
        <f t="shared" si="0"/>
        <v>0</v>
      </c>
      <c r="E81" s="97">
        <f t="shared" si="97"/>
        <v>0</v>
      </c>
      <c r="F81" s="97">
        <f t="shared" si="98"/>
        <v>0</v>
      </c>
      <c r="G81" s="96"/>
      <c r="H81" s="97">
        <f t="shared" si="1"/>
        <v>0</v>
      </c>
      <c r="I81" s="97">
        <f t="shared" si="2"/>
        <v>0</v>
      </c>
      <c r="J81" s="97">
        <f t="shared" si="3"/>
        <v>0</v>
      </c>
      <c r="K81" s="96"/>
      <c r="L81" s="97">
        <f t="shared" si="4"/>
        <v>0</v>
      </c>
      <c r="M81" s="97">
        <f t="shared" si="5"/>
        <v>0</v>
      </c>
      <c r="N81" s="97">
        <f t="shared" si="6"/>
        <v>0</v>
      </c>
      <c r="O81" s="96"/>
      <c r="P81" s="97">
        <f t="shared" si="7"/>
        <v>0</v>
      </c>
      <c r="Q81" s="97">
        <f t="shared" si="8"/>
        <v>0</v>
      </c>
      <c r="R81" s="97">
        <f t="shared" si="9"/>
        <v>0</v>
      </c>
      <c r="S81" s="96"/>
      <c r="T81" s="97">
        <f t="shared" si="10"/>
        <v>0</v>
      </c>
      <c r="U81" s="97">
        <f t="shared" si="11"/>
        <v>0</v>
      </c>
      <c r="V81" s="97">
        <f t="shared" si="12"/>
        <v>0</v>
      </c>
      <c r="W81" s="96"/>
      <c r="X81" s="97">
        <f t="shared" si="13"/>
        <v>0</v>
      </c>
      <c r="Y81" s="97">
        <f t="shared" si="14"/>
        <v>0</v>
      </c>
      <c r="Z81" s="97">
        <f t="shared" si="15"/>
        <v>0</v>
      </c>
      <c r="AA81" s="96"/>
      <c r="AB81" s="97">
        <f t="shared" si="16"/>
        <v>0</v>
      </c>
      <c r="AC81" s="97">
        <f t="shared" si="17"/>
        <v>0</v>
      </c>
      <c r="AD81" s="97">
        <f t="shared" si="18"/>
        <v>0</v>
      </c>
      <c r="AE81" s="96"/>
      <c r="AF81" s="97">
        <f t="shared" si="19"/>
        <v>0</v>
      </c>
      <c r="AG81" s="97">
        <f t="shared" si="20"/>
        <v>0</v>
      </c>
      <c r="AH81" s="97">
        <f t="shared" si="21"/>
        <v>0</v>
      </c>
      <c r="AI81" s="96"/>
      <c r="AJ81" s="97">
        <f t="shared" si="22"/>
        <v>0</v>
      </c>
      <c r="AK81" s="97">
        <f t="shared" si="23"/>
        <v>0</v>
      </c>
      <c r="AL81" s="97">
        <f t="shared" si="24"/>
        <v>0</v>
      </c>
      <c r="AM81" s="96"/>
      <c r="AN81" s="97">
        <f t="shared" si="25"/>
        <v>0</v>
      </c>
      <c r="AO81" s="97">
        <f t="shared" si="26"/>
        <v>0</v>
      </c>
      <c r="AP81" s="97">
        <f t="shared" si="27"/>
        <v>0</v>
      </c>
      <c r="AQ81" s="96"/>
      <c r="AR81" s="97">
        <f t="shared" si="28"/>
        <v>0</v>
      </c>
      <c r="AS81" s="97">
        <f t="shared" si="29"/>
        <v>0</v>
      </c>
      <c r="AT81" s="97">
        <f t="shared" si="30"/>
        <v>0</v>
      </c>
      <c r="AU81" s="96"/>
      <c r="AV81" s="97">
        <f t="shared" si="31"/>
        <v>0</v>
      </c>
      <c r="AW81" s="97">
        <f t="shared" si="32"/>
        <v>0</v>
      </c>
      <c r="AX81" s="97">
        <f t="shared" si="33"/>
        <v>0</v>
      </c>
      <c r="AY81" s="96"/>
      <c r="AZ81" s="65">
        <f t="shared" si="34"/>
        <v>0</v>
      </c>
      <c r="BA81" s="65">
        <f t="shared" si="35"/>
        <v>0</v>
      </c>
      <c r="BB81" s="65">
        <f t="shared" si="36"/>
        <v>0</v>
      </c>
      <c r="BC81" s="96"/>
      <c r="BD81" s="65">
        <f t="shared" si="37"/>
        <v>0</v>
      </c>
      <c r="BE81" s="65">
        <f t="shared" si="38"/>
        <v>0</v>
      </c>
      <c r="BF81" s="65">
        <f t="shared" si="39"/>
        <v>0</v>
      </c>
      <c r="BG81" s="96"/>
      <c r="BH81" s="65">
        <f t="shared" si="40"/>
        <v>0</v>
      </c>
      <c r="BI81" s="65">
        <f t="shared" si="41"/>
        <v>0</v>
      </c>
      <c r="BJ81" s="65">
        <f t="shared" si="42"/>
        <v>0</v>
      </c>
      <c r="BK81" s="96"/>
      <c r="BL81" s="97">
        <f t="shared" si="43"/>
        <v>0</v>
      </c>
      <c r="BM81" s="97">
        <f t="shared" si="44"/>
        <v>0</v>
      </c>
      <c r="BN81" s="97">
        <f t="shared" si="45"/>
        <v>0</v>
      </c>
      <c r="BO81" s="96"/>
      <c r="BP81" s="97">
        <f t="shared" si="46"/>
        <v>0</v>
      </c>
      <c r="BQ81" s="97">
        <f t="shared" si="47"/>
        <v>0</v>
      </c>
      <c r="BR81" s="97">
        <f t="shared" si="48"/>
        <v>0</v>
      </c>
      <c r="BS81" s="96"/>
      <c r="BT81" s="97">
        <f t="shared" si="49"/>
        <v>0</v>
      </c>
      <c r="BU81" s="97">
        <f t="shared" si="50"/>
        <v>0</v>
      </c>
      <c r="BV81" s="97">
        <f t="shared" si="51"/>
        <v>0</v>
      </c>
      <c r="BW81" s="96"/>
      <c r="BX81" s="97">
        <f t="shared" si="52"/>
        <v>0</v>
      </c>
      <c r="BY81" s="97">
        <f t="shared" si="53"/>
        <v>0</v>
      </c>
      <c r="BZ81" s="97">
        <f t="shared" si="54"/>
        <v>0</v>
      </c>
      <c r="CA81" s="96"/>
      <c r="CB81" s="97">
        <f t="shared" si="55"/>
        <v>0</v>
      </c>
      <c r="CC81" s="97">
        <f t="shared" si="56"/>
        <v>0</v>
      </c>
      <c r="CD81" s="97">
        <f t="shared" si="57"/>
        <v>0</v>
      </c>
      <c r="CE81" s="96"/>
      <c r="CF81" s="65">
        <f t="shared" si="58"/>
        <v>0</v>
      </c>
      <c r="CG81" s="65">
        <f t="shared" si="59"/>
        <v>0</v>
      </c>
      <c r="CH81" s="65">
        <f t="shared" si="60"/>
        <v>0</v>
      </c>
      <c r="CI81" s="96"/>
      <c r="CJ81" s="65">
        <f t="shared" si="61"/>
        <v>0</v>
      </c>
      <c r="CK81" s="65">
        <f t="shared" si="62"/>
        <v>0</v>
      </c>
      <c r="CL81" s="65">
        <f t="shared" si="63"/>
        <v>0</v>
      </c>
      <c r="CM81" s="96"/>
      <c r="CN81" s="65">
        <f t="shared" si="64"/>
        <v>0</v>
      </c>
      <c r="CO81" s="65">
        <f t="shared" si="65"/>
        <v>0</v>
      </c>
      <c r="CP81" s="65">
        <f t="shared" si="66"/>
        <v>0</v>
      </c>
      <c r="CQ81" s="96"/>
      <c r="CR81" s="65">
        <f t="shared" si="67"/>
        <v>0</v>
      </c>
      <c r="CS81" s="65">
        <f t="shared" si="68"/>
        <v>0</v>
      </c>
      <c r="CT81" s="65">
        <f t="shared" si="69"/>
        <v>0</v>
      </c>
      <c r="CU81" s="96"/>
      <c r="CV81" s="65">
        <f t="shared" si="70"/>
        <v>0</v>
      </c>
      <c r="CW81" s="65">
        <f t="shared" si="71"/>
        <v>0</v>
      </c>
      <c r="CX81" s="65">
        <f t="shared" si="72"/>
        <v>0</v>
      </c>
      <c r="CY81" s="96"/>
      <c r="CZ81" s="97">
        <f t="shared" si="73"/>
        <v>0</v>
      </c>
      <c r="DA81" s="97">
        <f t="shared" si="74"/>
        <v>0</v>
      </c>
      <c r="DB81" s="97">
        <f t="shared" si="75"/>
        <v>0</v>
      </c>
      <c r="DC81" s="96"/>
      <c r="DD81" s="97">
        <f t="shared" si="76"/>
        <v>0</v>
      </c>
      <c r="DE81" s="97">
        <f t="shared" si="77"/>
        <v>0</v>
      </c>
      <c r="DF81" s="97">
        <f t="shared" si="78"/>
        <v>0</v>
      </c>
      <c r="DG81" s="96"/>
      <c r="DH81" s="97">
        <f t="shared" si="79"/>
        <v>0</v>
      </c>
      <c r="DI81" s="97">
        <f t="shared" si="80"/>
        <v>0</v>
      </c>
      <c r="DJ81" s="97">
        <f t="shared" si="81"/>
        <v>0</v>
      </c>
      <c r="DK81" s="96"/>
      <c r="DL81" s="97">
        <f t="shared" si="82"/>
        <v>0</v>
      </c>
      <c r="DM81" s="97">
        <f t="shared" si="83"/>
        <v>0</v>
      </c>
      <c r="DN81" s="97">
        <f t="shared" si="84"/>
        <v>0</v>
      </c>
      <c r="DO81" s="96"/>
      <c r="DP81" s="97">
        <f t="shared" si="85"/>
        <v>0</v>
      </c>
      <c r="DQ81" s="97">
        <f t="shared" si="86"/>
        <v>0</v>
      </c>
      <c r="DR81" s="97">
        <f t="shared" si="87"/>
        <v>0</v>
      </c>
      <c r="DS81" s="96"/>
      <c r="DT81" s="65">
        <f t="shared" si="88"/>
        <v>0</v>
      </c>
      <c r="DU81" s="65">
        <f t="shared" si="89"/>
        <v>0</v>
      </c>
      <c r="DV81" s="65">
        <f t="shared" si="90"/>
        <v>0</v>
      </c>
      <c r="DW81" s="96"/>
      <c r="DX81" s="65">
        <f t="shared" si="91"/>
        <v>0</v>
      </c>
      <c r="DY81" s="65">
        <f t="shared" si="92"/>
        <v>0</v>
      </c>
      <c r="DZ81" s="65">
        <f t="shared" si="93"/>
        <v>0</v>
      </c>
      <c r="EA81" s="96"/>
      <c r="EB81" s="65">
        <f t="shared" si="94"/>
        <v>0</v>
      </c>
      <c r="EC81" s="65">
        <f t="shared" si="95"/>
        <v>0</v>
      </c>
      <c r="ED81" s="65">
        <f t="shared" si="96"/>
        <v>0</v>
      </c>
    </row>
    <row r="82" spans="1:134" x14ac:dyDescent="0.2">
      <c r="A82" s="71"/>
      <c r="B82" s="96" t="s">
        <v>52</v>
      </c>
      <c r="C82" s="96"/>
      <c r="D82" s="97">
        <f t="shared" si="0"/>
        <v>0</v>
      </c>
      <c r="E82" s="97">
        <f t="shared" si="97"/>
        <v>0</v>
      </c>
      <c r="F82" s="97">
        <f t="shared" si="98"/>
        <v>0</v>
      </c>
      <c r="G82" s="96"/>
      <c r="H82" s="97">
        <f t="shared" si="1"/>
        <v>0</v>
      </c>
      <c r="I82" s="97">
        <f t="shared" si="2"/>
        <v>0</v>
      </c>
      <c r="J82" s="97">
        <f t="shared" si="3"/>
        <v>0</v>
      </c>
      <c r="K82" s="96"/>
      <c r="L82" s="97">
        <f t="shared" si="4"/>
        <v>0</v>
      </c>
      <c r="M82" s="97">
        <f t="shared" si="5"/>
        <v>0</v>
      </c>
      <c r="N82" s="97">
        <f t="shared" si="6"/>
        <v>0</v>
      </c>
      <c r="O82" s="96"/>
      <c r="P82" s="97">
        <f t="shared" si="7"/>
        <v>0</v>
      </c>
      <c r="Q82" s="97">
        <f t="shared" si="8"/>
        <v>0</v>
      </c>
      <c r="R82" s="97">
        <f t="shared" si="9"/>
        <v>0</v>
      </c>
      <c r="S82" s="96"/>
      <c r="T82" s="97">
        <f t="shared" si="10"/>
        <v>0</v>
      </c>
      <c r="U82" s="97">
        <f t="shared" si="11"/>
        <v>0</v>
      </c>
      <c r="V82" s="97">
        <f t="shared" si="12"/>
        <v>0</v>
      </c>
      <c r="W82" s="96"/>
      <c r="X82" s="97">
        <f t="shared" si="13"/>
        <v>0</v>
      </c>
      <c r="Y82" s="97">
        <f t="shared" si="14"/>
        <v>0</v>
      </c>
      <c r="Z82" s="97">
        <f t="shared" si="15"/>
        <v>0</v>
      </c>
      <c r="AA82" s="96"/>
      <c r="AB82" s="97">
        <f t="shared" si="16"/>
        <v>0</v>
      </c>
      <c r="AC82" s="97">
        <f t="shared" si="17"/>
        <v>0</v>
      </c>
      <c r="AD82" s="97">
        <f t="shared" si="18"/>
        <v>0</v>
      </c>
      <c r="AE82" s="96"/>
      <c r="AF82" s="97">
        <f t="shared" si="19"/>
        <v>0</v>
      </c>
      <c r="AG82" s="97">
        <f t="shared" si="20"/>
        <v>0</v>
      </c>
      <c r="AH82" s="97">
        <f t="shared" si="21"/>
        <v>0</v>
      </c>
      <c r="AI82" s="96"/>
      <c r="AJ82" s="97">
        <f t="shared" si="22"/>
        <v>0</v>
      </c>
      <c r="AK82" s="97">
        <f t="shared" si="23"/>
        <v>0</v>
      </c>
      <c r="AL82" s="97">
        <f t="shared" si="24"/>
        <v>0</v>
      </c>
      <c r="AM82" s="96"/>
      <c r="AN82" s="97">
        <f t="shared" si="25"/>
        <v>0</v>
      </c>
      <c r="AO82" s="97">
        <f t="shared" si="26"/>
        <v>0</v>
      </c>
      <c r="AP82" s="97">
        <f t="shared" si="27"/>
        <v>0</v>
      </c>
      <c r="AQ82" s="96"/>
      <c r="AR82" s="97">
        <f t="shared" si="28"/>
        <v>0</v>
      </c>
      <c r="AS82" s="97">
        <f t="shared" si="29"/>
        <v>0</v>
      </c>
      <c r="AT82" s="97">
        <f t="shared" si="30"/>
        <v>0</v>
      </c>
      <c r="AU82" s="96"/>
      <c r="AV82" s="97">
        <f t="shared" si="31"/>
        <v>0</v>
      </c>
      <c r="AW82" s="97">
        <f t="shared" si="32"/>
        <v>0</v>
      </c>
      <c r="AX82" s="97">
        <f t="shared" si="33"/>
        <v>0</v>
      </c>
      <c r="AY82" s="96"/>
      <c r="AZ82" s="65">
        <f t="shared" si="34"/>
        <v>0</v>
      </c>
      <c r="BA82" s="65">
        <f t="shared" si="35"/>
        <v>0</v>
      </c>
      <c r="BB82" s="65">
        <f t="shared" si="36"/>
        <v>0</v>
      </c>
      <c r="BC82" s="96"/>
      <c r="BD82" s="65">
        <f t="shared" si="37"/>
        <v>0</v>
      </c>
      <c r="BE82" s="65">
        <f t="shared" si="38"/>
        <v>0</v>
      </c>
      <c r="BF82" s="65">
        <f t="shared" si="39"/>
        <v>0</v>
      </c>
      <c r="BG82" s="96"/>
      <c r="BH82" s="65">
        <f t="shared" si="40"/>
        <v>0</v>
      </c>
      <c r="BI82" s="65">
        <f t="shared" si="41"/>
        <v>0</v>
      </c>
      <c r="BJ82" s="65">
        <f t="shared" si="42"/>
        <v>0</v>
      </c>
      <c r="BK82" s="96"/>
      <c r="BL82" s="97">
        <f t="shared" si="43"/>
        <v>0</v>
      </c>
      <c r="BM82" s="97">
        <f t="shared" si="44"/>
        <v>0</v>
      </c>
      <c r="BN82" s="97">
        <f t="shared" si="45"/>
        <v>0</v>
      </c>
      <c r="BO82" s="96"/>
      <c r="BP82" s="97">
        <f t="shared" si="46"/>
        <v>0</v>
      </c>
      <c r="BQ82" s="97">
        <f t="shared" si="47"/>
        <v>0</v>
      </c>
      <c r="BR82" s="97">
        <f t="shared" si="48"/>
        <v>0</v>
      </c>
      <c r="BS82" s="96"/>
      <c r="BT82" s="97">
        <f t="shared" si="49"/>
        <v>0</v>
      </c>
      <c r="BU82" s="97">
        <f t="shared" si="50"/>
        <v>0</v>
      </c>
      <c r="BV82" s="97">
        <f t="shared" si="51"/>
        <v>0</v>
      </c>
      <c r="BW82" s="96"/>
      <c r="BX82" s="97">
        <f t="shared" si="52"/>
        <v>0</v>
      </c>
      <c r="BY82" s="97">
        <f t="shared" si="53"/>
        <v>0</v>
      </c>
      <c r="BZ82" s="97">
        <f t="shared" si="54"/>
        <v>0</v>
      </c>
      <c r="CA82" s="96"/>
      <c r="CB82" s="97">
        <f t="shared" si="55"/>
        <v>0</v>
      </c>
      <c r="CC82" s="97">
        <f t="shared" si="56"/>
        <v>0</v>
      </c>
      <c r="CD82" s="97">
        <f t="shared" si="57"/>
        <v>0</v>
      </c>
      <c r="CE82" s="96"/>
      <c r="CF82" s="65">
        <f t="shared" si="58"/>
        <v>0</v>
      </c>
      <c r="CG82" s="65">
        <f t="shared" si="59"/>
        <v>0</v>
      </c>
      <c r="CH82" s="65">
        <f t="shared" si="60"/>
        <v>0</v>
      </c>
      <c r="CI82" s="96"/>
      <c r="CJ82" s="65">
        <f t="shared" si="61"/>
        <v>0</v>
      </c>
      <c r="CK82" s="65">
        <f t="shared" si="62"/>
        <v>0</v>
      </c>
      <c r="CL82" s="65">
        <f t="shared" si="63"/>
        <v>0</v>
      </c>
      <c r="CM82" s="96"/>
      <c r="CN82" s="65">
        <f t="shared" si="64"/>
        <v>0</v>
      </c>
      <c r="CO82" s="65">
        <f t="shared" si="65"/>
        <v>0</v>
      </c>
      <c r="CP82" s="65">
        <f t="shared" si="66"/>
        <v>0</v>
      </c>
      <c r="CQ82" s="96"/>
      <c r="CR82" s="65">
        <f t="shared" si="67"/>
        <v>0</v>
      </c>
      <c r="CS82" s="65">
        <f t="shared" si="68"/>
        <v>0</v>
      </c>
      <c r="CT82" s="65">
        <f t="shared" si="69"/>
        <v>0</v>
      </c>
      <c r="CU82" s="96"/>
      <c r="CV82" s="65">
        <f t="shared" si="70"/>
        <v>0</v>
      </c>
      <c r="CW82" s="65">
        <f t="shared" si="71"/>
        <v>0</v>
      </c>
      <c r="CX82" s="65">
        <f t="shared" si="72"/>
        <v>0</v>
      </c>
      <c r="CY82" s="96"/>
      <c r="CZ82" s="97">
        <f t="shared" si="73"/>
        <v>0</v>
      </c>
      <c r="DA82" s="97">
        <f t="shared" si="74"/>
        <v>0</v>
      </c>
      <c r="DB82" s="97">
        <f t="shared" si="75"/>
        <v>0</v>
      </c>
      <c r="DC82" s="96"/>
      <c r="DD82" s="97">
        <f t="shared" si="76"/>
        <v>0</v>
      </c>
      <c r="DE82" s="97">
        <f t="shared" si="77"/>
        <v>0</v>
      </c>
      <c r="DF82" s="97">
        <f t="shared" si="78"/>
        <v>0</v>
      </c>
      <c r="DG82" s="96"/>
      <c r="DH82" s="97">
        <f t="shared" si="79"/>
        <v>0</v>
      </c>
      <c r="DI82" s="97">
        <f t="shared" si="80"/>
        <v>0</v>
      </c>
      <c r="DJ82" s="97">
        <f t="shared" si="81"/>
        <v>0</v>
      </c>
      <c r="DK82" s="96"/>
      <c r="DL82" s="97">
        <f t="shared" si="82"/>
        <v>0</v>
      </c>
      <c r="DM82" s="97">
        <f t="shared" si="83"/>
        <v>0</v>
      </c>
      <c r="DN82" s="97">
        <f t="shared" si="84"/>
        <v>0</v>
      </c>
      <c r="DO82" s="96"/>
      <c r="DP82" s="97">
        <f t="shared" si="85"/>
        <v>0</v>
      </c>
      <c r="DQ82" s="97">
        <f t="shared" si="86"/>
        <v>0</v>
      </c>
      <c r="DR82" s="97">
        <f t="shared" si="87"/>
        <v>0</v>
      </c>
      <c r="DS82" s="96"/>
      <c r="DT82" s="65">
        <f t="shared" si="88"/>
        <v>0</v>
      </c>
      <c r="DU82" s="65">
        <f t="shared" si="89"/>
        <v>0</v>
      </c>
      <c r="DV82" s="65">
        <f t="shared" si="90"/>
        <v>0</v>
      </c>
      <c r="DW82" s="96"/>
      <c r="DX82" s="65">
        <f t="shared" si="91"/>
        <v>0</v>
      </c>
      <c r="DY82" s="65">
        <f t="shared" si="92"/>
        <v>0</v>
      </c>
      <c r="DZ82" s="65">
        <f t="shared" si="93"/>
        <v>0</v>
      </c>
      <c r="EA82" s="96"/>
      <c r="EB82" s="65">
        <f t="shared" si="94"/>
        <v>0</v>
      </c>
      <c r="EC82" s="65">
        <f t="shared" si="95"/>
        <v>0</v>
      </c>
      <c r="ED82" s="65">
        <f t="shared" si="96"/>
        <v>0</v>
      </c>
    </row>
    <row r="83" spans="1:134" x14ac:dyDescent="0.2">
      <c r="A83" s="71"/>
      <c r="B83" s="96" t="s">
        <v>52</v>
      </c>
      <c r="C83" s="96"/>
      <c r="D83" s="97">
        <f t="shared" si="0"/>
        <v>0</v>
      </c>
      <c r="E83" s="97">
        <f t="shared" si="97"/>
        <v>0</v>
      </c>
      <c r="F83" s="97">
        <f t="shared" si="98"/>
        <v>0</v>
      </c>
      <c r="G83" s="96"/>
      <c r="H83" s="97">
        <f t="shared" si="1"/>
        <v>0</v>
      </c>
      <c r="I83" s="97">
        <f t="shared" si="2"/>
        <v>0</v>
      </c>
      <c r="J83" s="97">
        <f t="shared" si="3"/>
        <v>0</v>
      </c>
      <c r="K83" s="96"/>
      <c r="L83" s="97">
        <f t="shared" si="4"/>
        <v>0</v>
      </c>
      <c r="M83" s="97">
        <f t="shared" si="5"/>
        <v>0</v>
      </c>
      <c r="N83" s="97">
        <f t="shared" si="6"/>
        <v>0</v>
      </c>
      <c r="O83" s="96"/>
      <c r="P83" s="97">
        <f t="shared" si="7"/>
        <v>0</v>
      </c>
      <c r="Q83" s="97">
        <f t="shared" si="8"/>
        <v>0</v>
      </c>
      <c r="R83" s="97">
        <f t="shared" si="9"/>
        <v>0</v>
      </c>
      <c r="S83" s="96"/>
      <c r="T83" s="97">
        <f t="shared" si="10"/>
        <v>0</v>
      </c>
      <c r="U83" s="97">
        <f t="shared" si="11"/>
        <v>0</v>
      </c>
      <c r="V83" s="97">
        <f t="shared" si="12"/>
        <v>0</v>
      </c>
      <c r="W83" s="96"/>
      <c r="X83" s="97">
        <f t="shared" si="13"/>
        <v>0</v>
      </c>
      <c r="Y83" s="97">
        <f t="shared" si="14"/>
        <v>0</v>
      </c>
      <c r="Z83" s="97">
        <f t="shared" si="15"/>
        <v>0</v>
      </c>
      <c r="AA83" s="96"/>
      <c r="AB83" s="97">
        <f t="shared" si="16"/>
        <v>0</v>
      </c>
      <c r="AC83" s="97">
        <f t="shared" si="17"/>
        <v>0</v>
      </c>
      <c r="AD83" s="97">
        <f t="shared" si="18"/>
        <v>0</v>
      </c>
      <c r="AE83" s="96"/>
      <c r="AF83" s="97">
        <f t="shared" si="19"/>
        <v>0</v>
      </c>
      <c r="AG83" s="97">
        <f t="shared" si="20"/>
        <v>0</v>
      </c>
      <c r="AH83" s="97">
        <f t="shared" si="21"/>
        <v>0</v>
      </c>
      <c r="AI83" s="96"/>
      <c r="AJ83" s="97">
        <f t="shared" si="22"/>
        <v>0</v>
      </c>
      <c r="AK83" s="97">
        <f t="shared" si="23"/>
        <v>0</v>
      </c>
      <c r="AL83" s="97">
        <f t="shared" si="24"/>
        <v>0</v>
      </c>
      <c r="AM83" s="96"/>
      <c r="AN83" s="97">
        <f t="shared" si="25"/>
        <v>0</v>
      </c>
      <c r="AO83" s="97">
        <f t="shared" si="26"/>
        <v>0</v>
      </c>
      <c r="AP83" s="97">
        <f t="shared" si="27"/>
        <v>0</v>
      </c>
      <c r="AQ83" s="96"/>
      <c r="AR83" s="97">
        <f t="shared" si="28"/>
        <v>0</v>
      </c>
      <c r="AS83" s="97">
        <f t="shared" si="29"/>
        <v>0</v>
      </c>
      <c r="AT83" s="97">
        <f t="shared" si="30"/>
        <v>0</v>
      </c>
      <c r="AU83" s="96"/>
      <c r="AV83" s="97">
        <f t="shared" si="31"/>
        <v>0</v>
      </c>
      <c r="AW83" s="97">
        <f t="shared" si="32"/>
        <v>0</v>
      </c>
      <c r="AX83" s="97">
        <f t="shared" si="33"/>
        <v>0</v>
      </c>
      <c r="AY83" s="96"/>
      <c r="AZ83" s="65">
        <f t="shared" si="34"/>
        <v>0</v>
      </c>
      <c r="BA83" s="65">
        <f t="shared" si="35"/>
        <v>0</v>
      </c>
      <c r="BB83" s="65">
        <f t="shared" si="36"/>
        <v>0</v>
      </c>
      <c r="BC83" s="96"/>
      <c r="BD83" s="65">
        <f t="shared" si="37"/>
        <v>0</v>
      </c>
      <c r="BE83" s="65">
        <f t="shared" si="38"/>
        <v>0</v>
      </c>
      <c r="BF83" s="65">
        <f t="shared" si="39"/>
        <v>0</v>
      </c>
      <c r="BG83" s="96"/>
      <c r="BH83" s="65">
        <f t="shared" si="40"/>
        <v>0</v>
      </c>
      <c r="BI83" s="65">
        <f t="shared" si="41"/>
        <v>0</v>
      </c>
      <c r="BJ83" s="65">
        <f t="shared" si="42"/>
        <v>0</v>
      </c>
      <c r="BK83" s="96"/>
      <c r="BL83" s="97">
        <f t="shared" si="43"/>
        <v>0</v>
      </c>
      <c r="BM83" s="97">
        <f t="shared" si="44"/>
        <v>0</v>
      </c>
      <c r="BN83" s="97">
        <f t="shared" si="45"/>
        <v>0</v>
      </c>
      <c r="BO83" s="96"/>
      <c r="BP83" s="97">
        <f t="shared" si="46"/>
        <v>0</v>
      </c>
      <c r="BQ83" s="97">
        <f t="shared" si="47"/>
        <v>0</v>
      </c>
      <c r="BR83" s="97">
        <f t="shared" si="48"/>
        <v>0</v>
      </c>
      <c r="BS83" s="96"/>
      <c r="BT83" s="97">
        <f t="shared" si="49"/>
        <v>0</v>
      </c>
      <c r="BU83" s="97">
        <f t="shared" si="50"/>
        <v>0</v>
      </c>
      <c r="BV83" s="97">
        <f t="shared" si="51"/>
        <v>0</v>
      </c>
      <c r="BW83" s="96"/>
      <c r="BX83" s="97">
        <f t="shared" si="52"/>
        <v>0</v>
      </c>
      <c r="BY83" s="97">
        <f t="shared" si="53"/>
        <v>0</v>
      </c>
      <c r="BZ83" s="97">
        <f t="shared" si="54"/>
        <v>0</v>
      </c>
      <c r="CA83" s="96"/>
      <c r="CB83" s="97">
        <f t="shared" si="55"/>
        <v>0</v>
      </c>
      <c r="CC83" s="97">
        <f t="shared" si="56"/>
        <v>0</v>
      </c>
      <c r="CD83" s="97">
        <f t="shared" si="57"/>
        <v>0</v>
      </c>
      <c r="CE83" s="96"/>
      <c r="CF83" s="65">
        <f t="shared" si="58"/>
        <v>0</v>
      </c>
      <c r="CG83" s="65">
        <f t="shared" si="59"/>
        <v>0</v>
      </c>
      <c r="CH83" s="65">
        <f t="shared" si="60"/>
        <v>0</v>
      </c>
      <c r="CI83" s="96"/>
      <c r="CJ83" s="65">
        <f t="shared" si="61"/>
        <v>0</v>
      </c>
      <c r="CK83" s="65">
        <f t="shared" si="62"/>
        <v>0</v>
      </c>
      <c r="CL83" s="65">
        <f t="shared" si="63"/>
        <v>0</v>
      </c>
      <c r="CM83" s="96"/>
      <c r="CN83" s="65">
        <f t="shared" si="64"/>
        <v>0</v>
      </c>
      <c r="CO83" s="65">
        <f t="shared" si="65"/>
        <v>0</v>
      </c>
      <c r="CP83" s="65">
        <f t="shared" si="66"/>
        <v>0</v>
      </c>
      <c r="CQ83" s="96"/>
      <c r="CR83" s="65">
        <f t="shared" si="67"/>
        <v>0</v>
      </c>
      <c r="CS83" s="65">
        <f t="shared" si="68"/>
        <v>0</v>
      </c>
      <c r="CT83" s="65">
        <f t="shared" si="69"/>
        <v>0</v>
      </c>
      <c r="CU83" s="96"/>
      <c r="CV83" s="65">
        <f t="shared" si="70"/>
        <v>0</v>
      </c>
      <c r="CW83" s="65">
        <f t="shared" si="71"/>
        <v>0</v>
      </c>
      <c r="CX83" s="65">
        <f t="shared" si="72"/>
        <v>0</v>
      </c>
      <c r="CY83" s="96"/>
      <c r="CZ83" s="97">
        <f t="shared" si="73"/>
        <v>0</v>
      </c>
      <c r="DA83" s="97">
        <f t="shared" si="74"/>
        <v>0</v>
      </c>
      <c r="DB83" s="97">
        <f t="shared" si="75"/>
        <v>0</v>
      </c>
      <c r="DC83" s="96"/>
      <c r="DD83" s="97">
        <f t="shared" si="76"/>
        <v>0</v>
      </c>
      <c r="DE83" s="97">
        <f t="shared" si="77"/>
        <v>0</v>
      </c>
      <c r="DF83" s="97">
        <f t="shared" si="78"/>
        <v>0</v>
      </c>
      <c r="DG83" s="96"/>
      <c r="DH83" s="97">
        <f t="shared" si="79"/>
        <v>0</v>
      </c>
      <c r="DI83" s="97">
        <f t="shared" si="80"/>
        <v>0</v>
      </c>
      <c r="DJ83" s="97">
        <f t="shared" si="81"/>
        <v>0</v>
      </c>
      <c r="DK83" s="96"/>
      <c r="DL83" s="97">
        <f t="shared" si="82"/>
        <v>0</v>
      </c>
      <c r="DM83" s="97">
        <f t="shared" si="83"/>
        <v>0</v>
      </c>
      <c r="DN83" s="97">
        <f t="shared" si="84"/>
        <v>0</v>
      </c>
      <c r="DO83" s="96"/>
      <c r="DP83" s="97">
        <f t="shared" si="85"/>
        <v>0</v>
      </c>
      <c r="DQ83" s="97">
        <f t="shared" si="86"/>
        <v>0</v>
      </c>
      <c r="DR83" s="97">
        <f t="shared" si="87"/>
        <v>0</v>
      </c>
      <c r="DS83" s="96"/>
      <c r="DT83" s="65">
        <f t="shared" si="88"/>
        <v>0</v>
      </c>
      <c r="DU83" s="65">
        <f t="shared" si="89"/>
        <v>0</v>
      </c>
      <c r="DV83" s="65">
        <f t="shared" si="90"/>
        <v>0</v>
      </c>
      <c r="DW83" s="96"/>
      <c r="DX83" s="65">
        <f t="shared" si="91"/>
        <v>0</v>
      </c>
      <c r="DY83" s="65">
        <f t="shared" si="92"/>
        <v>0</v>
      </c>
      <c r="DZ83" s="65">
        <f t="shared" si="93"/>
        <v>0</v>
      </c>
      <c r="EA83" s="96"/>
      <c r="EB83" s="65">
        <f t="shared" si="94"/>
        <v>0</v>
      </c>
      <c r="EC83" s="65">
        <f t="shared" si="95"/>
        <v>0</v>
      </c>
      <c r="ED83" s="65">
        <f t="shared" si="96"/>
        <v>0</v>
      </c>
    </row>
    <row r="84" spans="1:134" x14ac:dyDescent="0.2">
      <c r="A84" s="71"/>
      <c r="B84" s="96" t="s">
        <v>52</v>
      </c>
      <c r="C84" s="96"/>
      <c r="D84" s="97">
        <f t="shared" si="0"/>
        <v>0</v>
      </c>
      <c r="E84" s="97">
        <f t="shared" si="97"/>
        <v>0</v>
      </c>
      <c r="F84" s="97">
        <f t="shared" si="98"/>
        <v>0</v>
      </c>
      <c r="G84" s="96"/>
      <c r="H84" s="97">
        <f t="shared" si="1"/>
        <v>0</v>
      </c>
      <c r="I84" s="97">
        <f t="shared" si="2"/>
        <v>0</v>
      </c>
      <c r="J84" s="97">
        <f t="shared" si="3"/>
        <v>0</v>
      </c>
      <c r="K84" s="96"/>
      <c r="L84" s="97">
        <f t="shared" si="4"/>
        <v>0</v>
      </c>
      <c r="M84" s="97">
        <f t="shared" si="5"/>
        <v>0</v>
      </c>
      <c r="N84" s="97">
        <f t="shared" si="6"/>
        <v>0</v>
      </c>
      <c r="O84" s="96"/>
      <c r="P84" s="97">
        <f t="shared" si="7"/>
        <v>0</v>
      </c>
      <c r="Q84" s="97">
        <f t="shared" si="8"/>
        <v>0</v>
      </c>
      <c r="R84" s="97">
        <f t="shared" si="9"/>
        <v>0</v>
      </c>
      <c r="S84" s="96"/>
      <c r="T84" s="97">
        <f t="shared" si="10"/>
        <v>0</v>
      </c>
      <c r="U84" s="97">
        <f t="shared" si="11"/>
        <v>0</v>
      </c>
      <c r="V84" s="97">
        <f t="shared" si="12"/>
        <v>0</v>
      </c>
      <c r="W84" s="96"/>
      <c r="X84" s="97">
        <f t="shared" si="13"/>
        <v>0</v>
      </c>
      <c r="Y84" s="97">
        <f t="shared" si="14"/>
        <v>0</v>
      </c>
      <c r="Z84" s="97">
        <f t="shared" si="15"/>
        <v>0</v>
      </c>
      <c r="AA84" s="96"/>
      <c r="AB84" s="97">
        <f t="shared" si="16"/>
        <v>0</v>
      </c>
      <c r="AC84" s="97">
        <f t="shared" si="17"/>
        <v>0</v>
      </c>
      <c r="AD84" s="97">
        <f t="shared" si="18"/>
        <v>0</v>
      </c>
      <c r="AE84" s="96"/>
      <c r="AF84" s="97">
        <f t="shared" si="19"/>
        <v>0</v>
      </c>
      <c r="AG84" s="97">
        <f t="shared" si="20"/>
        <v>0</v>
      </c>
      <c r="AH84" s="97">
        <f t="shared" si="21"/>
        <v>0</v>
      </c>
      <c r="AI84" s="96"/>
      <c r="AJ84" s="97">
        <f t="shared" si="22"/>
        <v>0</v>
      </c>
      <c r="AK84" s="97">
        <f t="shared" si="23"/>
        <v>0</v>
      </c>
      <c r="AL84" s="97">
        <f t="shared" si="24"/>
        <v>0</v>
      </c>
      <c r="AM84" s="96"/>
      <c r="AN84" s="97">
        <f t="shared" si="25"/>
        <v>0</v>
      </c>
      <c r="AO84" s="97">
        <f t="shared" si="26"/>
        <v>0</v>
      </c>
      <c r="AP84" s="97">
        <f t="shared" si="27"/>
        <v>0</v>
      </c>
      <c r="AQ84" s="96"/>
      <c r="AR84" s="97">
        <f t="shared" si="28"/>
        <v>0</v>
      </c>
      <c r="AS84" s="97">
        <f t="shared" si="29"/>
        <v>0</v>
      </c>
      <c r="AT84" s="97">
        <f t="shared" si="30"/>
        <v>0</v>
      </c>
      <c r="AU84" s="96"/>
      <c r="AV84" s="97">
        <f t="shared" si="31"/>
        <v>0</v>
      </c>
      <c r="AW84" s="97">
        <f t="shared" si="32"/>
        <v>0</v>
      </c>
      <c r="AX84" s="97">
        <f t="shared" si="33"/>
        <v>0</v>
      </c>
      <c r="AY84" s="96"/>
      <c r="AZ84" s="65">
        <f t="shared" si="34"/>
        <v>0</v>
      </c>
      <c r="BA84" s="65">
        <f t="shared" si="35"/>
        <v>0</v>
      </c>
      <c r="BB84" s="65">
        <f t="shared" si="36"/>
        <v>0</v>
      </c>
      <c r="BC84" s="96"/>
      <c r="BD84" s="65">
        <f t="shared" si="37"/>
        <v>0</v>
      </c>
      <c r="BE84" s="65">
        <f t="shared" si="38"/>
        <v>0</v>
      </c>
      <c r="BF84" s="65">
        <f t="shared" si="39"/>
        <v>0</v>
      </c>
      <c r="BG84" s="96"/>
      <c r="BH84" s="65">
        <f t="shared" si="40"/>
        <v>0</v>
      </c>
      <c r="BI84" s="65">
        <f t="shared" si="41"/>
        <v>0</v>
      </c>
      <c r="BJ84" s="65">
        <f t="shared" si="42"/>
        <v>0</v>
      </c>
      <c r="BK84" s="96"/>
      <c r="BL84" s="97">
        <f t="shared" si="43"/>
        <v>0</v>
      </c>
      <c r="BM84" s="97">
        <f t="shared" si="44"/>
        <v>0</v>
      </c>
      <c r="BN84" s="97">
        <f t="shared" si="45"/>
        <v>0</v>
      </c>
      <c r="BO84" s="96"/>
      <c r="BP84" s="97">
        <f t="shared" si="46"/>
        <v>0</v>
      </c>
      <c r="BQ84" s="97">
        <f t="shared" si="47"/>
        <v>0</v>
      </c>
      <c r="BR84" s="97">
        <f t="shared" si="48"/>
        <v>0</v>
      </c>
      <c r="BS84" s="96"/>
      <c r="BT84" s="97">
        <f t="shared" si="49"/>
        <v>0</v>
      </c>
      <c r="BU84" s="97">
        <f t="shared" si="50"/>
        <v>0</v>
      </c>
      <c r="BV84" s="97">
        <f t="shared" si="51"/>
        <v>0</v>
      </c>
      <c r="BW84" s="96"/>
      <c r="BX84" s="97">
        <f t="shared" si="52"/>
        <v>0</v>
      </c>
      <c r="BY84" s="97">
        <f t="shared" si="53"/>
        <v>0</v>
      </c>
      <c r="BZ84" s="97">
        <f t="shared" si="54"/>
        <v>0</v>
      </c>
      <c r="CA84" s="96"/>
      <c r="CB84" s="97">
        <f t="shared" si="55"/>
        <v>0</v>
      </c>
      <c r="CC84" s="97">
        <f t="shared" si="56"/>
        <v>0</v>
      </c>
      <c r="CD84" s="97">
        <f t="shared" si="57"/>
        <v>0</v>
      </c>
      <c r="CE84" s="96"/>
      <c r="CF84" s="65">
        <f t="shared" si="58"/>
        <v>0</v>
      </c>
      <c r="CG84" s="65">
        <f t="shared" si="59"/>
        <v>0</v>
      </c>
      <c r="CH84" s="65">
        <f t="shared" si="60"/>
        <v>0</v>
      </c>
      <c r="CI84" s="96"/>
      <c r="CJ84" s="65">
        <f t="shared" si="61"/>
        <v>0</v>
      </c>
      <c r="CK84" s="65">
        <f t="shared" si="62"/>
        <v>0</v>
      </c>
      <c r="CL84" s="65">
        <f t="shared" si="63"/>
        <v>0</v>
      </c>
      <c r="CM84" s="96"/>
      <c r="CN84" s="65">
        <f t="shared" si="64"/>
        <v>0</v>
      </c>
      <c r="CO84" s="65">
        <f t="shared" si="65"/>
        <v>0</v>
      </c>
      <c r="CP84" s="65">
        <f t="shared" si="66"/>
        <v>0</v>
      </c>
      <c r="CQ84" s="96"/>
      <c r="CR84" s="65">
        <f t="shared" si="67"/>
        <v>0</v>
      </c>
      <c r="CS84" s="65">
        <f t="shared" si="68"/>
        <v>0</v>
      </c>
      <c r="CT84" s="65">
        <f t="shared" si="69"/>
        <v>0</v>
      </c>
      <c r="CU84" s="96"/>
      <c r="CV84" s="65">
        <f t="shared" si="70"/>
        <v>0</v>
      </c>
      <c r="CW84" s="65">
        <f t="shared" si="71"/>
        <v>0</v>
      </c>
      <c r="CX84" s="65">
        <f t="shared" si="72"/>
        <v>0</v>
      </c>
      <c r="CY84" s="96"/>
      <c r="CZ84" s="97">
        <f t="shared" si="73"/>
        <v>0</v>
      </c>
      <c r="DA84" s="97">
        <f t="shared" si="74"/>
        <v>0</v>
      </c>
      <c r="DB84" s="97">
        <f t="shared" si="75"/>
        <v>0</v>
      </c>
      <c r="DC84" s="96"/>
      <c r="DD84" s="97">
        <f t="shared" si="76"/>
        <v>0</v>
      </c>
      <c r="DE84" s="97">
        <f t="shared" si="77"/>
        <v>0</v>
      </c>
      <c r="DF84" s="97">
        <f t="shared" si="78"/>
        <v>0</v>
      </c>
      <c r="DG84" s="96"/>
      <c r="DH84" s="97">
        <f t="shared" si="79"/>
        <v>0</v>
      </c>
      <c r="DI84" s="97">
        <f t="shared" si="80"/>
        <v>0</v>
      </c>
      <c r="DJ84" s="97">
        <f t="shared" si="81"/>
        <v>0</v>
      </c>
      <c r="DK84" s="96"/>
      <c r="DL84" s="97">
        <f t="shared" si="82"/>
        <v>0</v>
      </c>
      <c r="DM84" s="97">
        <f t="shared" si="83"/>
        <v>0</v>
      </c>
      <c r="DN84" s="97">
        <f t="shared" si="84"/>
        <v>0</v>
      </c>
      <c r="DO84" s="96"/>
      <c r="DP84" s="97">
        <f t="shared" si="85"/>
        <v>0</v>
      </c>
      <c r="DQ84" s="97">
        <f t="shared" si="86"/>
        <v>0</v>
      </c>
      <c r="DR84" s="97">
        <f t="shared" si="87"/>
        <v>0</v>
      </c>
      <c r="DS84" s="96"/>
      <c r="DT84" s="65">
        <f t="shared" si="88"/>
        <v>0</v>
      </c>
      <c r="DU84" s="65">
        <f t="shared" si="89"/>
        <v>0</v>
      </c>
      <c r="DV84" s="65">
        <f t="shared" si="90"/>
        <v>0</v>
      </c>
      <c r="DW84" s="96"/>
      <c r="DX84" s="65">
        <f t="shared" si="91"/>
        <v>0</v>
      </c>
      <c r="DY84" s="65">
        <f t="shared" si="92"/>
        <v>0</v>
      </c>
      <c r="DZ84" s="65">
        <f t="shared" si="93"/>
        <v>0</v>
      </c>
      <c r="EA84" s="96"/>
      <c r="EB84" s="65">
        <f t="shared" si="94"/>
        <v>0</v>
      </c>
      <c r="EC84" s="65">
        <f t="shared" si="95"/>
        <v>0</v>
      </c>
      <c r="ED84" s="65">
        <f t="shared" si="96"/>
        <v>0</v>
      </c>
    </row>
    <row r="85" spans="1:134" x14ac:dyDescent="0.2">
      <c r="A85" s="71"/>
      <c r="B85" s="96" t="s">
        <v>52</v>
      </c>
      <c r="C85" s="96"/>
      <c r="D85" s="97">
        <f t="shared" si="0"/>
        <v>0</v>
      </c>
      <c r="E85" s="97">
        <f t="shared" si="97"/>
        <v>0</v>
      </c>
      <c r="F85" s="97">
        <f t="shared" si="98"/>
        <v>0</v>
      </c>
      <c r="G85" s="96"/>
      <c r="H85" s="97">
        <f t="shared" si="1"/>
        <v>0</v>
      </c>
      <c r="I85" s="97">
        <f t="shared" si="2"/>
        <v>0</v>
      </c>
      <c r="J85" s="97">
        <f t="shared" si="3"/>
        <v>0</v>
      </c>
      <c r="K85" s="96"/>
      <c r="L85" s="97">
        <f t="shared" si="4"/>
        <v>0</v>
      </c>
      <c r="M85" s="97">
        <f t="shared" si="5"/>
        <v>0</v>
      </c>
      <c r="N85" s="97">
        <f t="shared" si="6"/>
        <v>0</v>
      </c>
      <c r="O85" s="96"/>
      <c r="P85" s="97">
        <f t="shared" si="7"/>
        <v>0</v>
      </c>
      <c r="Q85" s="97">
        <f t="shared" si="8"/>
        <v>0</v>
      </c>
      <c r="R85" s="97">
        <f t="shared" si="9"/>
        <v>0</v>
      </c>
      <c r="S85" s="96"/>
      <c r="T85" s="97">
        <f t="shared" si="10"/>
        <v>0</v>
      </c>
      <c r="U85" s="97">
        <f t="shared" si="11"/>
        <v>0</v>
      </c>
      <c r="V85" s="97">
        <f t="shared" si="12"/>
        <v>0</v>
      </c>
      <c r="W85" s="96"/>
      <c r="X85" s="97">
        <f t="shared" si="13"/>
        <v>0</v>
      </c>
      <c r="Y85" s="97">
        <f t="shared" si="14"/>
        <v>0</v>
      </c>
      <c r="Z85" s="97">
        <f t="shared" si="15"/>
        <v>0</v>
      </c>
      <c r="AA85" s="96"/>
      <c r="AB85" s="97">
        <f t="shared" si="16"/>
        <v>0</v>
      </c>
      <c r="AC85" s="97">
        <f t="shared" si="17"/>
        <v>0</v>
      </c>
      <c r="AD85" s="97">
        <f t="shared" si="18"/>
        <v>0</v>
      </c>
      <c r="AE85" s="96"/>
      <c r="AF85" s="97">
        <f t="shared" si="19"/>
        <v>0</v>
      </c>
      <c r="AG85" s="97">
        <f t="shared" si="20"/>
        <v>0</v>
      </c>
      <c r="AH85" s="97">
        <f t="shared" si="21"/>
        <v>0</v>
      </c>
      <c r="AI85" s="96"/>
      <c r="AJ85" s="97">
        <f t="shared" si="22"/>
        <v>0</v>
      </c>
      <c r="AK85" s="97">
        <f t="shared" si="23"/>
        <v>0</v>
      </c>
      <c r="AL85" s="97">
        <f t="shared" si="24"/>
        <v>0</v>
      </c>
      <c r="AM85" s="96"/>
      <c r="AN85" s="97">
        <f t="shared" si="25"/>
        <v>0</v>
      </c>
      <c r="AO85" s="97">
        <f t="shared" si="26"/>
        <v>0</v>
      </c>
      <c r="AP85" s="97">
        <f t="shared" si="27"/>
        <v>0</v>
      </c>
      <c r="AQ85" s="96"/>
      <c r="AR85" s="97">
        <f t="shared" si="28"/>
        <v>0</v>
      </c>
      <c r="AS85" s="97">
        <f t="shared" si="29"/>
        <v>0</v>
      </c>
      <c r="AT85" s="97">
        <f t="shared" si="30"/>
        <v>0</v>
      </c>
      <c r="AU85" s="96"/>
      <c r="AV85" s="97">
        <f t="shared" si="31"/>
        <v>0</v>
      </c>
      <c r="AW85" s="97">
        <f t="shared" si="32"/>
        <v>0</v>
      </c>
      <c r="AX85" s="97">
        <f t="shared" si="33"/>
        <v>0</v>
      </c>
      <c r="AY85" s="96"/>
      <c r="AZ85" s="65">
        <f t="shared" si="34"/>
        <v>0</v>
      </c>
      <c r="BA85" s="65">
        <f t="shared" si="35"/>
        <v>0</v>
      </c>
      <c r="BB85" s="65">
        <f t="shared" si="36"/>
        <v>0</v>
      </c>
      <c r="BC85" s="96"/>
      <c r="BD85" s="65">
        <f t="shared" si="37"/>
        <v>0</v>
      </c>
      <c r="BE85" s="65">
        <f t="shared" si="38"/>
        <v>0</v>
      </c>
      <c r="BF85" s="65">
        <f t="shared" si="39"/>
        <v>0</v>
      </c>
      <c r="BG85" s="96"/>
      <c r="BH85" s="65">
        <f t="shared" si="40"/>
        <v>0</v>
      </c>
      <c r="BI85" s="65">
        <f t="shared" si="41"/>
        <v>0</v>
      </c>
      <c r="BJ85" s="65">
        <f t="shared" si="42"/>
        <v>0</v>
      </c>
      <c r="BK85" s="96"/>
      <c r="BL85" s="97">
        <f t="shared" si="43"/>
        <v>0</v>
      </c>
      <c r="BM85" s="97">
        <f t="shared" si="44"/>
        <v>0</v>
      </c>
      <c r="BN85" s="97">
        <f t="shared" si="45"/>
        <v>0</v>
      </c>
      <c r="BO85" s="96"/>
      <c r="BP85" s="97">
        <f t="shared" si="46"/>
        <v>0</v>
      </c>
      <c r="BQ85" s="97">
        <f t="shared" si="47"/>
        <v>0</v>
      </c>
      <c r="BR85" s="97">
        <f t="shared" si="48"/>
        <v>0</v>
      </c>
      <c r="BS85" s="96"/>
      <c r="BT85" s="97">
        <f t="shared" si="49"/>
        <v>0</v>
      </c>
      <c r="BU85" s="97">
        <f t="shared" si="50"/>
        <v>0</v>
      </c>
      <c r="BV85" s="97">
        <f t="shared" si="51"/>
        <v>0</v>
      </c>
      <c r="BW85" s="96"/>
      <c r="BX85" s="97">
        <f t="shared" si="52"/>
        <v>0</v>
      </c>
      <c r="BY85" s="97">
        <f t="shared" si="53"/>
        <v>0</v>
      </c>
      <c r="BZ85" s="97">
        <f t="shared" si="54"/>
        <v>0</v>
      </c>
      <c r="CA85" s="96"/>
      <c r="CB85" s="97">
        <f t="shared" si="55"/>
        <v>0</v>
      </c>
      <c r="CC85" s="97">
        <f t="shared" si="56"/>
        <v>0</v>
      </c>
      <c r="CD85" s="97">
        <f t="shared" si="57"/>
        <v>0</v>
      </c>
      <c r="CE85" s="96"/>
      <c r="CF85" s="65">
        <f t="shared" si="58"/>
        <v>0</v>
      </c>
      <c r="CG85" s="65">
        <f t="shared" si="59"/>
        <v>0</v>
      </c>
      <c r="CH85" s="65">
        <f t="shared" si="60"/>
        <v>0</v>
      </c>
      <c r="CI85" s="96"/>
      <c r="CJ85" s="65">
        <f t="shared" si="61"/>
        <v>0</v>
      </c>
      <c r="CK85" s="65">
        <f t="shared" si="62"/>
        <v>0</v>
      </c>
      <c r="CL85" s="65">
        <f t="shared" si="63"/>
        <v>0</v>
      </c>
      <c r="CM85" s="96"/>
      <c r="CN85" s="65">
        <f t="shared" si="64"/>
        <v>0</v>
      </c>
      <c r="CO85" s="65">
        <f t="shared" si="65"/>
        <v>0</v>
      </c>
      <c r="CP85" s="65">
        <f t="shared" si="66"/>
        <v>0</v>
      </c>
      <c r="CQ85" s="96"/>
      <c r="CR85" s="65">
        <f t="shared" si="67"/>
        <v>0</v>
      </c>
      <c r="CS85" s="65">
        <f t="shared" si="68"/>
        <v>0</v>
      </c>
      <c r="CT85" s="65">
        <f t="shared" si="69"/>
        <v>0</v>
      </c>
      <c r="CU85" s="96"/>
      <c r="CV85" s="65">
        <f t="shared" si="70"/>
        <v>0</v>
      </c>
      <c r="CW85" s="65">
        <f t="shared" si="71"/>
        <v>0</v>
      </c>
      <c r="CX85" s="65">
        <f t="shared" si="72"/>
        <v>0</v>
      </c>
      <c r="CY85" s="96"/>
      <c r="CZ85" s="97">
        <f t="shared" si="73"/>
        <v>0</v>
      </c>
      <c r="DA85" s="97">
        <f t="shared" si="74"/>
        <v>0</v>
      </c>
      <c r="DB85" s="97">
        <f t="shared" si="75"/>
        <v>0</v>
      </c>
      <c r="DC85" s="96"/>
      <c r="DD85" s="97">
        <f t="shared" si="76"/>
        <v>0</v>
      </c>
      <c r="DE85" s="97">
        <f t="shared" si="77"/>
        <v>0</v>
      </c>
      <c r="DF85" s="97">
        <f t="shared" si="78"/>
        <v>0</v>
      </c>
      <c r="DG85" s="96"/>
      <c r="DH85" s="97">
        <f t="shared" si="79"/>
        <v>0</v>
      </c>
      <c r="DI85" s="97">
        <f t="shared" si="80"/>
        <v>0</v>
      </c>
      <c r="DJ85" s="97">
        <f t="shared" si="81"/>
        <v>0</v>
      </c>
      <c r="DK85" s="96"/>
      <c r="DL85" s="97">
        <f t="shared" si="82"/>
        <v>0</v>
      </c>
      <c r="DM85" s="97">
        <f t="shared" si="83"/>
        <v>0</v>
      </c>
      <c r="DN85" s="97">
        <f t="shared" si="84"/>
        <v>0</v>
      </c>
      <c r="DO85" s="96"/>
      <c r="DP85" s="97">
        <f t="shared" si="85"/>
        <v>0</v>
      </c>
      <c r="DQ85" s="97">
        <f t="shared" si="86"/>
        <v>0</v>
      </c>
      <c r="DR85" s="97">
        <f t="shared" si="87"/>
        <v>0</v>
      </c>
      <c r="DS85" s="96"/>
      <c r="DT85" s="65">
        <f t="shared" si="88"/>
        <v>0</v>
      </c>
      <c r="DU85" s="65">
        <f t="shared" si="89"/>
        <v>0</v>
      </c>
      <c r="DV85" s="65">
        <f t="shared" si="90"/>
        <v>0</v>
      </c>
      <c r="DW85" s="96"/>
      <c r="DX85" s="65">
        <f t="shared" si="91"/>
        <v>0</v>
      </c>
      <c r="DY85" s="65">
        <f t="shared" si="92"/>
        <v>0</v>
      </c>
      <c r="DZ85" s="65">
        <f t="shared" si="93"/>
        <v>0</v>
      </c>
      <c r="EA85" s="96"/>
      <c r="EB85" s="65">
        <f t="shared" si="94"/>
        <v>0</v>
      </c>
      <c r="EC85" s="65">
        <f t="shared" si="95"/>
        <v>0</v>
      </c>
      <c r="ED85" s="65">
        <f t="shared" si="96"/>
        <v>0</v>
      </c>
    </row>
    <row r="86" spans="1:134" x14ac:dyDescent="0.2">
      <c r="A86" s="71"/>
      <c r="B86" s="96" t="s">
        <v>52</v>
      </c>
      <c r="C86" s="96"/>
      <c r="D86" s="97">
        <f t="shared" si="0"/>
        <v>0</v>
      </c>
      <c r="E86" s="97">
        <f t="shared" si="97"/>
        <v>0</v>
      </c>
      <c r="F86" s="97">
        <f t="shared" si="98"/>
        <v>0</v>
      </c>
      <c r="G86" s="96"/>
      <c r="H86" s="97">
        <f t="shared" si="1"/>
        <v>0</v>
      </c>
      <c r="I86" s="97">
        <f t="shared" si="2"/>
        <v>0</v>
      </c>
      <c r="J86" s="97">
        <f t="shared" si="3"/>
        <v>0</v>
      </c>
      <c r="K86" s="96"/>
      <c r="L86" s="97">
        <f t="shared" si="4"/>
        <v>0</v>
      </c>
      <c r="M86" s="97">
        <f t="shared" si="5"/>
        <v>0</v>
      </c>
      <c r="N86" s="97">
        <f t="shared" si="6"/>
        <v>0</v>
      </c>
      <c r="O86" s="96"/>
      <c r="P86" s="97">
        <f t="shared" si="7"/>
        <v>0</v>
      </c>
      <c r="Q86" s="97">
        <f t="shared" si="8"/>
        <v>0</v>
      </c>
      <c r="R86" s="97">
        <f t="shared" si="9"/>
        <v>0</v>
      </c>
      <c r="S86" s="96"/>
      <c r="T86" s="97">
        <f t="shared" si="10"/>
        <v>0</v>
      </c>
      <c r="U86" s="97">
        <f t="shared" si="11"/>
        <v>0</v>
      </c>
      <c r="V86" s="97">
        <f t="shared" si="12"/>
        <v>0</v>
      </c>
      <c r="W86" s="96"/>
      <c r="X86" s="97">
        <f t="shared" si="13"/>
        <v>0</v>
      </c>
      <c r="Y86" s="97">
        <f t="shared" si="14"/>
        <v>0</v>
      </c>
      <c r="Z86" s="97">
        <f t="shared" si="15"/>
        <v>0</v>
      </c>
      <c r="AA86" s="96"/>
      <c r="AB86" s="97">
        <f t="shared" si="16"/>
        <v>0</v>
      </c>
      <c r="AC86" s="97">
        <f t="shared" si="17"/>
        <v>0</v>
      </c>
      <c r="AD86" s="97">
        <f t="shared" si="18"/>
        <v>0</v>
      </c>
      <c r="AE86" s="96"/>
      <c r="AF86" s="97">
        <f t="shared" si="19"/>
        <v>0</v>
      </c>
      <c r="AG86" s="97">
        <f t="shared" si="20"/>
        <v>0</v>
      </c>
      <c r="AH86" s="97">
        <f t="shared" si="21"/>
        <v>0</v>
      </c>
      <c r="AI86" s="96"/>
      <c r="AJ86" s="97">
        <f t="shared" si="22"/>
        <v>0</v>
      </c>
      <c r="AK86" s="97">
        <f t="shared" si="23"/>
        <v>0</v>
      </c>
      <c r="AL86" s="97">
        <f t="shared" si="24"/>
        <v>0</v>
      </c>
      <c r="AM86" s="96"/>
      <c r="AN86" s="97">
        <f t="shared" si="25"/>
        <v>0</v>
      </c>
      <c r="AO86" s="97">
        <f t="shared" si="26"/>
        <v>0</v>
      </c>
      <c r="AP86" s="97">
        <f t="shared" si="27"/>
        <v>0</v>
      </c>
      <c r="AQ86" s="96"/>
      <c r="AR86" s="97">
        <f t="shared" si="28"/>
        <v>0</v>
      </c>
      <c r="AS86" s="97">
        <f t="shared" si="29"/>
        <v>0</v>
      </c>
      <c r="AT86" s="97">
        <f t="shared" si="30"/>
        <v>0</v>
      </c>
      <c r="AU86" s="96"/>
      <c r="AV86" s="97">
        <f t="shared" si="31"/>
        <v>0</v>
      </c>
      <c r="AW86" s="97">
        <f t="shared" si="32"/>
        <v>0</v>
      </c>
      <c r="AX86" s="97">
        <f t="shared" si="33"/>
        <v>0</v>
      </c>
      <c r="AY86" s="96"/>
      <c r="AZ86" s="65">
        <f t="shared" si="34"/>
        <v>0</v>
      </c>
      <c r="BA86" s="65">
        <f t="shared" si="35"/>
        <v>0</v>
      </c>
      <c r="BB86" s="65">
        <f t="shared" si="36"/>
        <v>0</v>
      </c>
      <c r="BC86" s="96"/>
      <c r="BD86" s="65">
        <f t="shared" si="37"/>
        <v>0</v>
      </c>
      <c r="BE86" s="65">
        <f t="shared" si="38"/>
        <v>0</v>
      </c>
      <c r="BF86" s="65">
        <f t="shared" si="39"/>
        <v>0</v>
      </c>
      <c r="BG86" s="96"/>
      <c r="BH86" s="65">
        <f t="shared" si="40"/>
        <v>0</v>
      </c>
      <c r="BI86" s="65">
        <f t="shared" si="41"/>
        <v>0</v>
      </c>
      <c r="BJ86" s="65">
        <f t="shared" si="42"/>
        <v>0</v>
      </c>
      <c r="BK86" s="96"/>
      <c r="BL86" s="97">
        <f t="shared" si="43"/>
        <v>0</v>
      </c>
      <c r="BM86" s="97">
        <f t="shared" si="44"/>
        <v>0</v>
      </c>
      <c r="BN86" s="97">
        <f t="shared" si="45"/>
        <v>0</v>
      </c>
      <c r="BO86" s="96"/>
      <c r="BP86" s="97">
        <f t="shared" si="46"/>
        <v>0</v>
      </c>
      <c r="BQ86" s="97">
        <f t="shared" si="47"/>
        <v>0</v>
      </c>
      <c r="BR86" s="97">
        <f t="shared" si="48"/>
        <v>0</v>
      </c>
      <c r="BS86" s="96"/>
      <c r="BT86" s="97">
        <f t="shared" si="49"/>
        <v>0</v>
      </c>
      <c r="BU86" s="97">
        <f t="shared" si="50"/>
        <v>0</v>
      </c>
      <c r="BV86" s="97">
        <f t="shared" si="51"/>
        <v>0</v>
      </c>
      <c r="BW86" s="96"/>
      <c r="BX86" s="97">
        <f t="shared" si="52"/>
        <v>0</v>
      </c>
      <c r="BY86" s="97">
        <f t="shared" si="53"/>
        <v>0</v>
      </c>
      <c r="BZ86" s="97">
        <f t="shared" si="54"/>
        <v>0</v>
      </c>
      <c r="CA86" s="96"/>
      <c r="CB86" s="97">
        <f t="shared" si="55"/>
        <v>0</v>
      </c>
      <c r="CC86" s="97">
        <f t="shared" si="56"/>
        <v>0</v>
      </c>
      <c r="CD86" s="97">
        <f t="shared" si="57"/>
        <v>0</v>
      </c>
      <c r="CE86" s="96"/>
      <c r="CF86" s="65">
        <f t="shared" si="58"/>
        <v>0</v>
      </c>
      <c r="CG86" s="65">
        <f t="shared" si="59"/>
        <v>0</v>
      </c>
      <c r="CH86" s="65">
        <f t="shared" si="60"/>
        <v>0</v>
      </c>
      <c r="CI86" s="96"/>
      <c r="CJ86" s="65">
        <f t="shared" si="61"/>
        <v>0</v>
      </c>
      <c r="CK86" s="65">
        <f t="shared" si="62"/>
        <v>0</v>
      </c>
      <c r="CL86" s="65">
        <f t="shared" si="63"/>
        <v>0</v>
      </c>
      <c r="CM86" s="96"/>
      <c r="CN86" s="65">
        <f t="shared" si="64"/>
        <v>0</v>
      </c>
      <c r="CO86" s="65">
        <f t="shared" si="65"/>
        <v>0</v>
      </c>
      <c r="CP86" s="65">
        <f t="shared" si="66"/>
        <v>0</v>
      </c>
      <c r="CQ86" s="96"/>
      <c r="CR86" s="65">
        <f t="shared" si="67"/>
        <v>0</v>
      </c>
      <c r="CS86" s="65">
        <f t="shared" si="68"/>
        <v>0</v>
      </c>
      <c r="CT86" s="65">
        <f t="shared" si="69"/>
        <v>0</v>
      </c>
      <c r="CU86" s="96"/>
      <c r="CV86" s="65">
        <f t="shared" si="70"/>
        <v>0</v>
      </c>
      <c r="CW86" s="65">
        <f t="shared" si="71"/>
        <v>0</v>
      </c>
      <c r="CX86" s="65">
        <f t="shared" si="72"/>
        <v>0</v>
      </c>
      <c r="CY86" s="96"/>
      <c r="CZ86" s="97">
        <f t="shared" si="73"/>
        <v>0</v>
      </c>
      <c r="DA86" s="97">
        <f t="shared" si="74"/>
        <v>0</v>
      </c>
      <c r="DB86" s="97">
        <f t="shared" si="75"/>
        <v>0</v>
      </c>
      <c r="DC86" s="96"/>
      <c r="DD86" s="97">
        <f t="shared" si="76"/>
        <v>0</v>
      </c>
      <c r="DE86" s="97">
        <f t="shared" si="77"/>
        <v>0</v>
      </c>
      <c r="DF86" s="97">
        <f t="shared" si="78"/>
        <v>0</v>
      </c>
      <c r="DG86" s="96"/>
      <c r="DH86" s="97">
        <f t="shared" si="79"/>
        <v>0</v>
      </c>
      <c r="DI86" s="97">
        <f t="shared" si="80"/>
        <v>0</v>
      </c>
      <c r="DJ86" s="97">
        <f t="shared" si="81"/>
        <v>0</v>
      </c>
      <c r="DK86" s="96"/>
      <c r="DL86" s="97">
        <f t="shared" si="82"/>
        <v>0</v>
      </c>
      <c r="DM86" s="97">
        <f t="shared" si="83"/>
        <v>0</v>
      </c>
      <c r="DN86" s="97">
        <f t="shared" si="84"/>
        <v>0</v>
      </c>
      <c r="DO86" s="96"/>
      <c r="DP86" s="97">
        <f t="shared" si="85"/>
        <v>0</v>
      </c>
      <c r="DQ86" s="97">
        <f t="shared" si="86"/>
        <v>0</v>
      </c>
      <c r="DR86" s="97">
        <f t="shared" si="87"/>
        <v>0</v>
      </c>
      <c r="DS86" s="96"/>
      <c r="DT86" s="65">
        <f t="shared" si="88"/>
        <v>0</v>
      </c>
      <c r="DU86" s="65">
        <f t="shared" si="89"/>
        <v>0</v>
      </c>
      <c r="DV86" s="65">
        <f t="shared" si="90"/>
        <v>0</v>
      </c>
      <c r="DW86" s="96"/>
      <c r="DX86" s="65">
        <f t="shared" si="91"/>
        <v>0</v>
      </c>
      <c r="DY86" s="65">
        <f t="shared" si="92"/>
        <v>0</v>
      </c>
      <c r="DZ86" s="65">
        <f t="shared" si="93"/>
        <v>0</v>
      </c>
      <c r="EA86" s="96"/>
      <c r="EB86" s="65">
        <f t="shared" si="94"/>
        <v>0</v>
      </c>
      <c r="EC86" s="65">
        <f t="shared" si="95"/>
        <v>0</v>
      </c>
      <c r="ED86" s="65">
        <f t="shared" si="96"/>
        <v>0</v>
      </c>
    </row>
    <row r="87" spans="1:134" x14ac:dyDescent="0.2">
      <c r="A87" s="71"/>
      <c r="B87" s="96" t="s">
        <v>52</v>
      </c>
      <c r="C87" s="96"/>
      <c r="D87" s="97">
        <f t="shared" si="0"/>
        <v>0</v>
      </c>
      <c r="E87" s="97">
        <f t="shared" si="97"/>
        <v>0</v>
      </c>
      <c r="F87" s="97">
        <f t="shared" si="98"/>
        <v>0</v>
      </c>
      <c r="G87" s="96"/>
      <c r="H87" s="97">
        <f t="shared" si="1"/>
        <v>0</v>
      </c>
      <c r="I87" s="97">
        <f t="shared" si="2"/>
        <v>0</v>
      </c>
      <c r="J87" s="97">
        <f t="shared" si="3"/>
        <v>0</v>
      </c>
      <c r="K87" s="96"/>
      <c r="L87" s="97">
        <f t="shared" si="4"/>
        <v>0</v>
      </c>
      <c r="M87" s="97">
        <f t="shared" si="5"/>
        <v>0</v>
      </c>
      <c r="N87" s="97">
        <f t="shared" si="6"/>
        <v>0</v>
      </c>
      <c r="O87" s="96"/>
      <c r="P87" s="97">
        <f t="shared" si="7"/>
        <v>0</v>
      </c>
      <c r="Q87" s="97">
        <f t="shared" si="8"/>
        <v>0</v>
      </c>
      <c r="R87" s="97">
        <f t="shared" si="9"/>
        <v>0</v>
      </c>
      <c r="S87" s="96"/>
      <c r="T87" s="97">
        <f t="shared" si="10"/>
        <v>0</v>
      </c>
      <c r="U87" s="97">
        <f t="shared" si="11"/>
        <v>0</v>
      </c>
      <c r="V87" s="97">
        <f t="shared" si="12"/>
        <v>0</v>
      </c>
      <c r="W87" s="96"/>
      <c r="X87" s="97">
        <f t="shared" si="13"/>
        <v>0</v>
      </c>
      <c r="Y87" s="97">
        <f t="shared" si="14"/>
        <v>0</v>
      </c>
      <c r="Z87" s="97">
        <f t="shared" si="15"/>
        <v>0</v>
      </c>
      <c r="AA87" s="96"/>
      <c r="AB87" s="97">
        <f t="shared" si="16"/>
        <v>0</v>
      </c>
      <c r="AC87" s="97">
        <f t="shared" si="17"/>
        <v>0</v>
      </c>
      <c r="AD87" s="97">
        <f t="shared" si="18"/>
        <v>0</v>
      </c>
      <c r="AE87" s="96"/>
      <c r="AF87" s="97">
        <f t="shared" si="19"/>
        <v>0</v>
      </c>
      <c r="AG87" s="97">
        <f t="shared" si="20"/>
        <v>0</v>
      </c>
      <c r="AH87" s="97">
        <f t="shared" si="21"/>
        <v>0</v>
      </c>
      <c r="AI87" s="96"/>
      <c r="AJ87" s="97">
        <f t="shared" si="22"/>
        <v>0</v>
      </c>
      <c r="AK87" s="97">
        <f t="shared" si="23"/>
        <v>0</v>
      </c>
      <c r="AL87" s="97">
        <f t="shared" si="24"/>
        <v>0</v>
      </c>
      <c r="AM87" s="96"/>
      <c r="AN87" s="97">
        <f t="shared" si="25"/>
        <v>0</v>
      </c>
      <c r="AO87" s="97">
        <f t="shared" si="26"/>
        <v>0</v>
      </c>
      <c r="AP87" s="97">
        <f t="shared" si="27"/>
        <v>0</v>
      </c>
      <c r="AQ87" s="96"/>
      <c r="AR87" s="97">
        <f t="shared" si="28"/>
        <v>0</v>
      </c>
      <c r="AS87" s="97">
        <f t="shared" si="29"/>
        <v>0</v>
      </c>
      <c r="AT87" s="97">
        <f t="shared" si="30"/>
        <v>0</v>
      </c>
      <c r="AU87" s="96"/>
      <c r="AV87" s="97">
        <f t="shared" si="31"/>
        <v>0</v>
      </c>
      <c r="AW87" s="97">
        <f t="shared" si="32"/>
        <v>0</v>
      </c>
      <c r="AX87" s="97">
        <f t="shared" si="33"/>
        <v>0</v>
      </c>
      <c r="AY87" s="96"/>
      <c r="AZ87" s="65">
        <f t="shared" si="34"/>
        <v>0</v>
      </c>
      <c r="BA87" s="65">
        <f t="shared" si="35"/>
        <v>0</v>
      </c>
      <c r="BB87" s="65">
        <f t="shared" si="36"/>
        <v>0</v>
      </c>
      <c r="BC87" s="96"/>
      <c r="BD87" s="65">
        <f t="shared" si="37"/>
        <v>0</v>
      </c>
      <c r="BE87" s="65">
        <f t="shared" si="38"/>
        <v>0</v>
      </c>
      <c r="BF87" s="65">
        <f t="shared" si="39"/>
        <v>0</v>
      </c>
      <c r="BG87" s="96"/>
      <c r="BH87" s="65">
        <f t="shared" si="40"/>
        <v>0</v>
      </c>
      <c r="BI87" s="65">
        <f t="shared" si="41"/>
        <v>0</v>
      </c>
      <c r="BJ87" s="65">
        <f t="shared" si="42"/>
        <v>0</v>
      </c>
      <c r="BK87" s="96"/>
      <c r="BL87" s="97">
        <f t="shared" si="43"/>
        <v>0</v>
      </c>
      <c r="BM87" s="97">
        <f t="shared" si="44"/>
        <v>0</v>
      </c>
      <c r="BN87" s="97">
        <f t="shared" si="45"/>
        <v>0</v>
      </c>
      <c r="BO87" s="96"/>
      <c r="BP87" s="97">
        <f t="shared" si="46"/>
        <v>0</v>
      </c>
      <c r="BQ87" s="97">
        <f t="shared" si="47"/>
        <v>0</v>
      </c>
      <c r="BR87" s="97">
        <f t="shared" si="48"/>
        <v>0</v>
      </c>
      <c r="BS87" s="96"/>
      <c r="BT87" s="97">
        <f t="shared" si="49"/>
        <v>0</v>
      </c>
      <c r="BU87" s="97">
        <f t="shared" si="50"/>
        <v>0</v>
      </c>
      <c r="BV87" s="97">
        <f t="shared" si="51"/>
        <v>0</v>
      </c>
      <c r="BW87" s="96"/>
      <c r="BX87" s="97">
        <f t="shared" si="52"/>
        <v>0</v>
      </c>
      <c r="BY87" s="97">
        <f t="shared" si="53"/>
        <v>0</v>
      </c>
      <c r="BZ87" s="97">
        <f t="shared" si="54"/>
        <v>0</v>
      </c>
      <c r="CA87" s="96"/>
      <c r="CB87" s="97">
        <f t="shared" si="55"/>
        <v>0</v>
      </c>
      <c r="CC87" s="97">
        <f t="shared" si="56"/>
        <v>0</v>
      </c>
      <c r="CD87" s="97">
        <f t="shared" si="57"/>
        <v>0</v>
      </c>
      <c r="CE87" s="96"/>
      <c r="CF87" s="65">
        <f t="shared" si="58"/>
        <v>0</v>
      </c>
      <c r="CG87" s="65">
        <f t="shared" si="59"/>
        <v>0</v>
      </c>
      <c r="CH87" s="65">
        <f t="shared" si="60"/>
        <v>0</v>
      </c>
      <c r="CI87" s="96"/>
      <c r="CJ87" s="65">
        <f t="shared" si="61"/>
        <v>0</v>
      </c>
      <c r="CK87" s="65">
        <f t="shared" si="62"/>
        <v>0</v>
      </c>
      <c r="CL87" s="65">
        <f t="shared" si="63"/>
        <v>0</v>
      </c>
      <c r="CM87" s="96"/>
      <c r="CN87" s="65">
        <f t="shared" si="64"/>
        <v>0</v>
      </c>
      <c r="CO87" s="65">
        <f t="shared" si="65"/>
        <v>0</v>
      </c>
      <c r="CP87" s="65">
        <f t="shared" si="66"/>
        <v>0</v>
      </c>
      <c r="CQ87" s="96"/>
      <c r="CR87" s="65">
        <f t="shared" si="67"/>
        <v>0</v>
      </c>
      <c r="CS87" s="65">
        <f t="shared" si="68"/>
        <v>0</v>
      </c>
      <c r="CT87" s="65">
        <f t="shared" si="69"/>
        <v>0</v>
      </c>
      <c r="CU87" s="96"/>
      <c r="CV87" s="65">
        <f t="shared" si="70"/>
        <v>0</v>
      </c>
      <c r="CW87" s="65">
        <f t="shared" si="71"/>
        <v>0</v>
      </c>
      <c r="CX87" s="65">
        <f t="shared" si="72"/>
        <v>0</v>
      </c>
      <c r="CY87" s="96"/>
      <c r="CZ87" s="97">
        <f t="shared" si="73"/>
        <v>0</v>
      </c>
      <c r="DA87" s="97">
        <f t="shared" si="74"/>
        <v>0</v>
      </c>
      <c r="DB87" s="97">
        <f t="shared" si="75"/>
        <v>0</v>
      </c>
      <c r="DC87" s="96"/>
      <c r="DD87" s="97">
        <f t="shared" si="76"/>
        <v>0</v>
      </c>
      <c r="DE87" s="97">
        <f t="shared" si="77"/>
        <v>0</v>
      </c>
      <c r="DF87" s="97">
        <f t="shared" si="78"/>
        <v>0</v>
      </c>
      <c r="DG87" s="96"/>
      <c r="DH87" s="97">
        <f t="shared" si="79"/>
        <v>0</v>
      </c>
      <c r="DI87" s="97">
        <f t="shared" si="80"/>
        <v>0</v>
      </c>
      <c r="DJ87" s="97">
        <f t="shared" si="81"/>
        <v>0</v>
      </c>
      <c r="DK87" s="96"/>
      <c r="DL87" s="97">
        <f t="shared" si="82"/>
        <v>0</v>
      </c>
      <c r="DM87" s="97">
        <f t="shared" si="83"/>
        <v>0</v>
      </c>
      <c r="DN87" s="97">
        <f t="shared" si="84"/>
        <v>0</v>
      </c>
      <c r="DO87" s="96"/>
      <c r="DP87" s="97">
        <f t="shared" si="85"/>
        <v>0</v>
      </c>
      <c r="DQ87" s="97">
        <f t="shared" si="86"/>
        <v>0</v>
      </c>
      <c r="DR87" s="97">
        <f t="shared" si="87"/>
        <v>0</v>
      </c>
      <c r="DS87" s="96"/>
      <c r="DT87" s="65">
        <f t="shared" si="88"/>
        <v>0</v>
      </c>
      <c r="DU87" s="65">
        <f t="shared" si="89"/>
        <v>0</v>
      </c>
      <c r="DV87" s="65">
        <f t="shared" si="90"/>
        <v>0</v>
      </c>
      <c r="DW87" s="96"/>
      <c r="DX87" s="65">
        <f t="shared" si="91"/>
        <v>0</v>
      </c>
      <c r="DY87" s="65">
        <f t="shared" si="92"/>
        <v>0</v>
      </c>
      <c r="DZ87" s="65">
        <f t="shared" si="93"/>
        <v>0</v>
      </c>
      <c r="EA87" s="96"/>
      <c r="EB87" s="65">
        <f t="shared" si="94"/>
        <v>0</v>
      </c>
      <c r="EC87" s="65">
        <f t="shared" si="95"/>
        <v>0</v>
      </c>
      <c r="ED87" s="65">
        <f t="shared" si="96"/>
        <v>0</v>
      </c>
    </row>
    <row r="88" spans="1:134" x14ac:dyDescent="0.2">
      <c r="A88" s="71"/>
      <c r="B88" s="96" t="s">
        <v>52</v>
      </c>
      <c r="C88" s="96"/>
      <c r="D88" s="97">
        <f t="shared" si="0"/>
        <v>0</v>
      </c>
      <c r="E88" s="97">
        <f t="shared" si="97"/>
        <v>0</v>
      </c>
      <c r="F88" s="97">
        <f t="shared" si="98"/>
        <v>0</v>
      </c>
      <c r="G88" s="96"/>
      <c r="H88" s="97">
        <f t="shared" si="1"/>
        <v>0</v>
      </c>
      <c r="I88" s="97">
        <f t="shared" si="2"/>
        <v>0</v>
      </c>
      <c r="J88" s="97">
        <f t="shared" si="3"/>
        <v>0</v>
      </c>
      <c r="K88" s="96"/>
      <c r="L88" s="97">
        <f t="shared" si="4"/>
        <v>0</v>
      </c>
      <c r="M88" s="97">
        <f t="shared" si="5"/>
        <v>0</v>
      </c>
      <c r="N88" s="97">
        <f t="shared" si="6"/>
        <v>0</v>
      </c>
      <c r="O88" s="96"/>
      <c r="P88" s="97">
        <f t="shared" si="7"/>
        <v>0</v>
      </c>
      <c r="Q88" s="97">
        <f t="shared" si="8"/>
        <v>0</v>
      </c>
      <c r="R88" s="97">
        <f t="shared" si="9"/>
        <v>0</v>
      </c>
      <c r="S88" s="96"/>
      <c r="T88" s="97">
        <f t="shared" si="10"/>
        <v>0</v>
      </c>
      <c r="U88" s="97">
        <f t="shared" si="11"/>
        <v>0</v>
      </c>
      <c r="V88" s="97">
        <f t="shared" si="12"/>
        <v>0</v>
      </c>
      <c r="W88" s="96"/>
      <c r="X88" s="97">
        <f t="shared" si="13"/>
        <v>0</v>
      </c>
      <c r="Y88" s="97">
        <f t="shared" si="14"/>
        <v>0</v>
      </c>
      <c r="Z88" s="97">
        <f t="shared" si="15"/>
        <v>0</v>
      </c>
      <c r="AA88" s="96"/>
      <c r="AB88" s="97">
        <f t="shared" si="16"/>
        <v>0</v>
      </c>
      <c r="AC88" s="97">
        <f t="shared" si="17"/>
        <v>0</v>
      </c>
      <c r="AD88" s="97">
        <f t="shared" si="18"/>
        <v>0</v>
      </c>
      <c r="AE88" s="96"/>
      <c r="AF88" s="97">
        <f t="shared" si="19"/>
        <v>0</v>
      </c>
      <c r="AG88" s="97">
        <f t="shared" si="20"/>
        <v>0</v>
      </c>
      <c r="AH88" s="97">
        <f t="shared" si="21"/>
        <v>0</v>
      </c>
      <c r="AI88" s="96"/>
      <c r="AJ88" s="97">
        <f t="shared" si="22"/>
        <v>0</v>
      </c>
      <c r="AK88" s="97">
        <f t="shared" si="23"/>
        <v>0</v>
      </c>
      <c r="AL88" s="97">
        <f t="shared" si="24"/>
        <v>0</v>
      </c>
      <c r="AM88" s="96"/>
      <c r="AN88" s="97">
        <f t="shared" si="25"/>
        <v>0</v>
      </c>
      <c r="AO88" s="97">
        <f t="shared" si="26"/>
        <v>0</v>
      </c>
      <c r="AP88" s="97">
        <f t="shared" si="27"/>
        <v>0</v>
      </c>
      <c r="AQ88" s="96"/>
      <c r="AR88" s="97">
        <f t="shared" si="28"/>
        <v>0</v>
      </c>
      <c r="AS88" s="97">
        <f t="shared" si="29"/>
        <v>0</v>
      </c>
      <c r="AT88" s="97">
        <f t="shared" si="30"/>
        <v>0</v>
      </c>
      <c r="AU88" s="96"/>
      <c r="AV88" s="97">
        <f t="shared" si="31"/>
        <v>0</v>
      </c>
      <c r="AW88" s="97">
        <f t="shared" si="32"/>
        <v>0</v>
      </c>
      <c r="AX88" s="97">
        <f t="shared" si="33"/>
        <v>0</v>
      </c>
      <c r="AY88" s="96"/>
      <c r="AZ88" s="65">
        <f t="shared" si="34"/>
        <v>0</v>
      </c>
      <c r="BA88" s="65">
        <f t="shared" si="35"/>
        <v>0</v>
      </c>
      <c r="BB88" s="65">
        <f t="shared" si="36"/>
        <v>0</v>
      </c>
      <c r="BC88" s="96"/>
      <c r="BD88" s="65">
        <f t="shared" si="37"/>
        <v>0</v>
      </c>
      <c r="BE88" s="65">
        <f t="shared" si="38"/>
        <v>0</v>
      </c>
      <c r="BF88" s="65">
        <f t="shared" si="39"/>
        <v>0</v>
      </c>
      <c r="BG88" s="96"/>
      <c r="BH88" s="65">
        <f t="shared" si="40"/>
        <v>0</v>
      </c>
      <c r="BI88" s="65">
        <f t="shared" si="41"/>
        <v>0</v>
      </c>
      <c r="BJ88" s="65">
        <f t="shared" si="42"/>
        <v>0</v>
      </c>
      <c r="BK88" s="96"/>
      <c r="BL88" s="97">
        <f t="shared" si="43"/>
        <v>0</v>
      </c>
      <c r="BM88" s="97">
        <f t="shared" si="44"/>
        <v>0</v>
      </c>
      <c r="BN88" s="97">
        <f t="shared" si="45"/>
        <v>0</v>
      </c>
      <c r="BO88" s="96"/>
      <c r="BP88" s="97">
        <f t="shared" si="46"/>
        <v>0</v>
      </c>
      <c r="BQ88" s="97">
        <f t="shared" si="47"/>
        <v>0</v>
      </c>
      <c r="BR88" s="97">
        <f t="shared" si="48"/>
        <v>0</v>
      </c>
      <c r="BS88" s="96"/>
      <c r="BT88" s="97">
        <f t="shared" si="49"/>
        <v>0</v>
      </c>
      <c r="BU88" s="97">
        <f t="shared" si="50"/>
        <v>0</v>
      </c>
      <c r="BV88" s="97">
        <f t="shared" si="51"/>
        <v>0</v>
      </c>
      <c r="BW88" s="96"/>
      <c r="BX88" s="97">
        <f t="shared" si="52"/>
        <v>0</v>
      </c>
      <c r="BY88" s="97">
        <f t="shared" si="53"/>
        <v>0</v>
      </c>
      <c r="BZ88" s="97">
        <f t="shared" si="54"/>
        <v>0</v>
      </c>
      <c r="CA88" s="96"/>
      <c r="CB88" s="97">
        <f t="shared" si="55"/>
        <v>0</v>
      </c>
      <c r="CC88" s="97">
        <f t="shared" si="56"/>
        <v>0</v>
      </c>
      <c r="CD88" s="97">
        <f t="shared" si="57"/>
        <v>0</v>
      </c>
      <c r="CE88" s="96"/>
      <c r="CF88" s="65">
        <f t="shared" si="58"/>
        <v>0</v>
      </c>
      <c r="CG88" s="65">
        <f t="shared" si="59"/>
        <v>0</v>
      </c>
      <c r="CH88" s="65">
        <f t="shared" si="60"/>
        <v>0</v>
      </c>
      <c r="CI88" s="96"/>
      <c r="CJ88" s="65">
        <f t="shared" si="61"/>
        <v>0</v>
      </c>
      <c r="CK88" s="65">
        <f t="shared" si="62"/>
        <v>0</v>
      </c>
      <c r="CL88" s="65">
        <f t="shared" si="63"/>
        <v>0</v>
      </c>
      <c r="CM88" s="96"/>
      <c r="CN88" s="65">
        <f t="shared" si="64"/>
        <v>0</v>
      </c>
      <c r="CO88" s="65">
        <f t="shared" si="65"/>
        <v>0</v>
      </c>
      <c r="CP88" s="65">
        <f t="shared" si="66"/>
        <v>0</v>
      </c>
      <c r="CQ88" s="96"/>
      <c r="CR88" s="65">
        <f t="shared" si="67"/>
        <v>0</v>
      </c>
      <c r="CS88" s="65">
        <f t="shared" si="68"/>
        <v>0</v>
      </c>
      <c r="CT88" s="65">
        <f t="shared" si="69"/>
        <v>0</v>
      </c>
      <c r="CU88" s="96"/>
      <c r="CV88" s="65">
        <f t="shared" si="70"/>
        <v>0</v>
      </c>
      <c r="CW88" s="65">
        <f t="shared" si="71"/>
        <v>0</v>
      </c>
      <c r="CX88" s="65">
        <f t="shared" si="72"/>
        <v>0</v>
      </c>
      <c r="CY88" s="96"/>
      <c r="CZ88" s="97">
        <f t="shared" si="73"/>
        <v>0</v>
      </c>
      <c r="DA88" s="97">
        <f t="shared" si="74"/>
        <v>0</v>
      </c>
      <c r="DB88" s="97">
        <f t="shared" si="75"/>
        <v>0</v>
      </c>
      <c r="DC88" s="96"/>
      <c r="DD88" s="97">
        <f t="shared" si="76"/>
        <v>0</v>
      </c>
      <c r="DE88" s="97">
        <f t="shared" si="77"/>
        <v>0</v>
      </c>
      <c r="DF88" s="97">
        <f t="shared" si="78"/>
        <v>0</v>
      </c>
      <c r="DG88" s="96"/>
      <c r="DH88" s="97">
        <f t="shared" si="79"/>
        <v>0</v>
      </c>
      <c r="DI88" s="97">
        <f t="shared" si="80"/>
        <v>0</v>
      </c>
      <c r="DJ88" s="97">
        <f t="shared" si="81"/>
        <v>0</v>
      </c>
      <c r="DK88" s="96"/>
      <c r="DL88" s="97">
        <f t="shared" si="82"/>
        <v>0</v>
      </c>
      <c r="DM88" s="97">
        <f t="shared" si="83"/>
        <v>0</v>
      </c>
      <c r="DN88" s="97">
        <f t="shared" si="84"/>
        <v>0</v>
      </c>
      <c r="DO88" s="96"/>
      <c r="DP88" s="97">
        <f t="shared" si="85"/>
        <v>0</v>
      </c>
      <c r="DQ88" s="97">
        <f t="shared" si="86"/>
        <v>0</v>
      </c>
      <c r="DR88" s="97">
        <f t="shared" si="87"/>
        <v>0</v>
      </c>
      <c r="DS88" s="96"/>
      <c r="DT88" s="65">
        <f t="shared" si="88"/>
        <v>0</v>
      </c>
      <c r="DU88" s="65">
        <f t="shared" si="89"/>
        <v>0</v>
      </c>
      <c r="DV88" s="65">
        <f t="shared" si="90"/>
        <v>0</v>
      </c>
      <c r="DW88" s="96"/>
      <c r="DX88" s="65">
        <f t="shared" si="91"/>
        <v>0</v>
      </c>
      <c r="DY88" s="65">
        <f t="shared" si="92"/>
        <v>0</v>
      </c>
      <c r="DZ88" s="65">
        <f t="shared" si="93"/>
        <v>0</v>
      </c>
      <c r="EA88" s="96"/>
      <c r="EB88" s="65">
        <f t="shared" si="94"/>
        <v>0</v>
      </c>
      <c r="EC88" s="65">
        <f t="shared" si="95"/>
        <v>0</v>
      </c>
      <c r="ED88" s="65">
        <f t="shared" si="96"/>
        <v>0</v>
      </c>
    </row>
    <row r="89" spans="1:134" x14ac:dyDescent="0.2">
      <c r="A89" s="71"/>
      <c r="B89" s="96" t="s">
        <v>52</v>
      </c>
      <c r="C89" s="96"/>
      <c r="D89" s="97">
        <f t="shared" si="0"/>
        <v>0</v>
      </c>
      <c r="E89" s="97">
        <f t="shared" si="97"/>
        <v>0</v>
      </c>
      <c r="F89" s="97">
        <f t="shared" si="98"/>
        <v>0</v>
      </c>
      <c r="G89" s="96"/>
      <c r="H89" s="97">
        <f t="shared" si="1"/>
        <v>0</v>
      </c>
      <c r="I89" s="97">
        <f t="shared" si="2"/>
        <v>0</v>
      </c>
      <c r="J89" s="97">
        <f t="shared" si="3"/>
        <v>0</v>
      </c>
      <c r="K89" s="96"/>
      <c r="L89" s="97">
        <f t="shared" si="4"/>
        <v>0</v>
      </c>
      <c r="M89" s="97">
        <f t="shared" si="5"/>
        <v>0</v>
      </c>
      <c r="N89" s="97">
        <f t="shared" si="6"/>
        <v>0</v>
      </c>
      <c r="O89" s="96"/>
      <c r="P89" s="97">
        <f t="shared" si="7"/>
        <v>0</v>
      </c>
      <c r="Q89" s="97">
        <f t="shared" si="8"/>
        <v>0</v>
      </c>
      <c r="R89" s="97">
        <f t="shared" si="9"/>
        <v>0</v>
      </c>
      <c r="S89" s="96"/>
      <c r="T89" s="97">
        <f t="shared" si="10"/>
        <v>0</v>
      </c>
      <c r="U89" s="97">
        <f t="shared" si="11"/>
        <v>0</v>
      </c>
      <c r="V89" s="97">
        <f t="shared" si="12"/>
        <v>0</v>
      </c>
      <c r="W89" s="96"/>
      <c r="X89" s="97">
        <f t="shared" si="13"/>
        <v>0</v>
      </c>
      <c r="Y89" s="97">
        <f t="shared" si="14"/>
        <v>0</v>
      </c>
      <c r="Z89" s="97">
        <f t="shared" si="15"/>
        <v>0</v>
      </c>
      <c r="AA89" s="96"/>
      <c r="AB89" s="97">
        <f t="shared" si="16"/>
        <v>0</v>
      </c>
      <c r="AC89" s="97">
        <f t="shared" si="17"/>
        <v>0</v>
      </c>
      <c r="AD89" s="97">
        <f t="shared" si="18"/>
        <v>0</v>
      </c>
      <c r="AE89" s="96"/>
      <c r="AF89" s="97">
        <f t="shared" si="19"/>
        <v>0</v>
      </c>
      <c r="AG89" s="97">
        <f t="shared" si="20"/>
        <v>0</v>
      </c>
      <c r="AH89" s="97">
        <f t="shared" si="21"/>
        <v>0</v>
      </c>
      <c r="AI89" s="96"/>
      <c r="AJ89" s="97">
        <f t="shared" si="22"/>
        <v>0</v>
      </c>
      <c r="AK89" s="97">
        <f t="shared" si="23"/>
        <v>0</v>
      </c>
      <c r="AL89" s="97">
        <f t="shared" si="24"/>
        <v>0</v>
      </c>
      <c r="AM89" s="96"/>
      <c r="AN89" s="97">
        <f t="shared" si="25"/>
        <v>0</v>
      </c>
      <c r="AO89" s="97">
        <f t="shared" si="26"/>
        <v>0</v>
      </c>
      <c r="AP89" s="97">
        <f t="shared" si="27"/>
        <v>0</v>
      </c>
      <c r="AQ89" s="96"/>
      <c r="AR89" s="97">
        <f t="shared" si="28"/>
        <v>0</v>
      </c>
      <c r="AS89" s="97">
        <f t="shared" si="29"/>
        <v>0</v>
      </c>
      <c r="AT89" s="97">
        <f t="shared" si="30"/>
        <v>0</v>
      </c>
      <c r="AU89" s="96"/>
      <c r="AV89" s="97">
        <f t="shared" si="31"/>
        <v>0</v>
      </c>
      <c r="AW89" s="97">
        <f t="shared" si="32"/>
        <v>0</v>
      </c>
      <c r="AX89" s="97">
        <f t="shared" si="33"/>
        <v>0</v>
      </c>
      <c r="AY89" s="96"/>
      <c r="AZ89" s="65">
        <f t="shared" si="34"/>
        <v>0</v>
      </c>
      <c r="BA89" s="65">
        <f t="shared" si="35"/>
        <v>0</v>
      </c>
      <c r="BB89" s="65">
        <f t="shared" si="36"/>
        <v>0</v>
      </c>
      <c r="BC89" s="96"/>
      <c r="BD89" s="65">
        <f t="shared" si="37"/>
        <v>0</v>
      </c>
      <c r="BE89" s="65">
        <f t="shared" si="38"/>
        <v>0</v>
      </c>
      <c r="BF89" s="65">
        <f t="shared" si="39"/>
        <v>0</v>
      </c>
      <c r="BG89" s="96"/>
      <c r="BH89" s="65">
        <f t="shared" si="40"/>
        <v>0</v>
      </c>
      <c r="BI89" s="65">
        <f t="shared" si="41"/>
        <v>0</v>
      </c>
      <c r="BJ89" s="65">
        <f t="shared" si="42"/>
        <v>0</v>
      </c>
      <c r="BK89" s="96"/>
      <c r="BL89" s="97">
        <f t="shared" si="43"/>
        <v>0</v>
      </c>
      <c r="BM89" s="97">
        <f t="shared" si="44"/>
        <v>0</v>
      </c>
      <c r="BN89" s="97">
        <f t="shared" si="45"/>
        <v>0</v>
      </c>
      <c r="BO89" s="96"/>
      <c r="BP89" s="97">
        <f t="shared" si="46"/>
        <v>0</v>
      </c>
      <c r="BQ89" s="97">
        <f t="shared" si="47"/>
        <v>0</v>
      </c>
      <c r="BR89" s="97">
        <f t="shared" si="48"/>
        <v>0</v>
      </c>
      <c r="BS89" s="96"/>
      <c r="BT89" s="97">
        <f t="shared" si="49"/>
        <v>0</v>
      </c>
      <c r="BU89" s="97">
        <f t="shared" si="50"/>
        <v>0</v>
      </c>
      <c r="BV89" s="97">
        <f t="shared" si="51"/>
        <v>0</v>
      </c>
      <c r="BW89" s="96"/>
      <c r="BX89" s="97">
        <f t="shared" si="52"/>
        <v>0</v>
      </c>
      <c r="BY89" s="97">
        <f t="shared" si="53"/>
        <v>0</v>
      </c>
      <c r="BZ89" s="97">
        <f t="shared" si="54"/>
        <v>0</v>
      </c>
      <c r="CA89" s="96"/>
      <c r="CB89" s="97">
        <f t="shared" si="55"/>
        <v>0</v>
      </c>
      <c r="CC89" s="97">
        <f t="shared" si="56"/>
        <v>0</v>
      </c>
      <c r="CD89" s="97">
        <f t="shared" si="57"/>
        <v>0</v>
      </c>
      <c r="CE89" s="96"/>
      <c r="CF89" s="65">
        <f t="shared" si="58"/>
        <v>0</v>
      </c>
      <c r="CG89" s="65">
        <f t="shared" si="59"/>
        <v>0</v>
      </c>
      <c r="CH89" s="65">
        <f t="shared" si="60"/>
        <v>0</v>
      </c>
      <c r="CI89" s="96"/>
      <c r="CJ89" s="65">
        <f t="shared" si="61"/>
        <v>0</v>
      </c>
      <c r="CK89" s="65">
        <f t="shared" si="62"/>
        <v>0</v>
      </c>
      <c r="CL89" s="65">
        <f t="shared" si="63"/>
        <v>0</v>
      </c>
      <c r="CM89" s="96"/>
      <c r="CN89" s="65">
        <f t="shared" si="64"/>
        <v>0</v>
      </c>
      <c r="CO89" s="65">
        <f t="shared" si="65"/>
        <v>0</v>
      </c>
      <c r="CP89" s="65">
        <f t="shared" si="66"/>
        <v>0</v>
      </c>
      <c r="CQ89" s="96"/>
      <c r="CR89" s="65">
        <f t="shared" si="67"/>
        <v>0</v>
      </c>
      <c r="CS89" s="65">
        <f t="shared" si="68"/>
        <v>0</v>
      </c>
      <c r="CT89" s="65">
        <f t="shared" si="69"/>
        <v>0</v>
      </c>
      <c r="CU89" s="96"/>
      <c r="CV89" s="65">
        <f t="shared" si="70"/>
        <v>0</v>
      </c>
      <c r="CW89" s="65">
        <f t="shared" si="71"/>
        <v>0</v>
      </c>
      <c r="CX89" s="65">
        <f t="shared" si="72"/>
        <v>0</v>
      </c>
      <c r="CY89" s="96"/>
      <c r="CZ89" s="97">
        <f t="shared" si="73"/>
        <v>0</v>
      </c>
      <c r="DA89" s="97">
        <f t="shared" si="74"/>
        <v>0</v>
      </c>
      <c r="DB89" s="97">
        <f t="shared" si="75"/>
        <v>0</v>
      </c>
      <c r="DC89" s="96"/>
      <c r="DD89" s="97">
        <f t="shared" si="76"/>
        <v>0</v>
      </c>
      <c r="DE89" s="97">
        <f t="shared" si="77"/>
        <v>0</v>
      </c>
      <c r="DF89" s="97">
        <f t="shared" si="78"/>
        <v>0</v>
      </c>
      <c r="DG89" s="96"/>
      <c r="DH89" s="97">
        <f t="shared" si="79"/>
        <v>0</v>
      </c>
      <c r="DI89" s="97">
        <f t="shared" si="80"/>
        <v>0</v>
      </c>
      <c r="DJ89" s="97">
        <f t="shared" si="81"/>
        <v>0</v>
      </c>
      <c r="DK89" s="96"/>
      <c r="DL89" s="97">
        <f t="shared" si="82"/>
        <v>0</v>
      </c>
      <c r="DM89" s="97">
        <f t="shared" si="83"/>
        <v>0</v>
      </c>
      <c r="DN89" s="97">
        <f t="shared" si="84"/>
        <v>0</v>
      </c>
      <c r="DO89" s="96"/>
      <c r="DP89" s="97">
        <f t="shared" si="85"/>
        <v>0</v>
      </c>
      <c r="DQ89" s="97">
        <f t="shared" si="86"/>
        <v>0</v>
      </c>
      <c r="DR89" s="97">
        <f t="shared" si="87"/>
        <v>0</v>
      </c>
      <c r="DS89" s="96"/>
      <c r="DT89" s="65">
        <f t="shared" si="88"/>
        <v>0</v>
      </c>
      <c r="DU89" s="65">
        <f t="shared" si="89"/>
        <v>0</v>
      </c>
      <c r="DV89" s="65">
        <f t="shared" si="90"/>
        <v>0</v>
      </c>
      <c r="DW89" s="96"/>
      <c r="DX89" s="65">
        <f t="shared" si="91"/>
        <v>0</v>
      </c>
      <c r="DY89" s="65">
        <f t="shared" si="92"/>
        <v>0</v>
      </c>
      <c r="DZ89" s="65">
        <f t="shared" si="93"/>
        <v>0</v>
      </c>
      <c r="EA89" s="96"/>
      <c r="EB89" s="65">
        <f t="shared" si="94"/>
        <v>0</v>
      </c>
      <c r="EC89" s="65">
        <f t="shared" si="95"/>
        <v>0</v>
      </c>
      <c r="ED89" s="65">
        <f t="shared" si="96"/>
        <v>0</v>
      </c>
    </row>
    <row r="90" spans="1:134" x14ac:dyDescent="0.2">
      <c r="A90" s="71"/>
      <c r="B90" s="96" t="s">
        <v>52</v>
      </c>
      <c r="C90" s="96"/>
      <c r="D90" s="97">
        <f t="shared" si="0"/>
        <v>0</v>
      </c>
      <c r="E90" s="97">
        <f t="shared" si="97"/>
        <v>0</v>
      </c>
      <c r="F90" s="97">
        <f t="shared" si="98"/>
        <v>0</v>
      </c>
      <c r="G90" s="96"/>
      <c r="H90" s="97">
        <f t="shared" si="1"/>
        <v>0</v>
      </c>
      <c r="I90" s="97">
        <f t="shared" si="2"/>
        <v>0</v>
      </c>
      <c r="J90" s="97">
        <f t="shared" si="3"/>
        <v>0</v>
      </c>
      <c r="K90" s="96"/>
      <c r="L90" s="97">
        <f t="shared" si="4"/>
        <v>0</v>
      </c>
      <c r="M90" s="97">
        <f t="shared" si="5"/>
        <v>0</v>
      </c>
      <c r="N90" s="97">
        <f t="shared" si="6"/>
        <v>0</v>
      </c>
      <c r="O90" s="96"/>
      <c r="P90" s="97">
        <f t="shared" si="7"/>
        <v>0</v>
      </c>
      <c r="Q90" s="97">
        <f t="shared" si="8"/>
        <v>0</v>
      </c>
      <c r="R90" s="97">
        <f t="shared" si="9"/>
        <v>0</v>
      </c>
      <c r="S90" s="96"/>
      <c r="T90" s="97">
        <f t="shared" si="10"/>
        <v>0</v>
      </c>
      <c r="U90" s="97">
        <f t="shared" si="11"/>
        <v>0</v>
      </c>
      <c r="V90" s="97">
        <f t="shared" si="12"/>
        <v>0</v>
      </c>
      <c r="W90" s="96"/>
      <c r="X90" s="97">
        <f t="shared" si="13"/>
        <v>0</v>
      </c>
      <c r="Y90" s="97">
        <f t="shared" si="14"/>
        <v>0</v>
      </c>
      <c r="Z90" s="97">
        <f t="shared" si="15"/>
        <v>0</v>
      </c>
      <c r="AA90" s="96"/>
      <c r="AB90" s="97">
        <f t="shared" si="16"/>
        <v>0</v>
      </c>
      <c r="AC90" s="97">
        <f t="shared" si="17"/>
        <v>0</v>
      </c>
      <c r="AD90" s="97">
        <f t="shared" si="18"/>
        <v>0</v>
      </c>
      <c r="AE90" s="96"/>
      <c r="AF90" s="97">
        <f t="shared" si="19"/>
        <v>0</v>
      </c>
      <c r="AG90" s="97">
        <f t="shared" si="20"/>
        <v>0</v>
      </c>
      <c r="AH90" s="97">
        <f t="shared" si="21"/>
        <v>0</v>
      </c>
      <c r="AI90" s="96"/>
      <c r="AJ90" s="97">
        <f t="shared" si="22"/>
        <v>0</v>
      </c>
      <c r="AK90" s="97">
        <f t="shared" si="23"/>
        <v>0</v>
      </c>
      <c r="AL90" s="97">
        <f t="shared" si="24"/>
        <v>0</v>
      </c>
      <c r="AM90" s="96"/>
      <c r="AN90" s="97">
        <f t="shared" si="25"/>
        <v>0</v>
      </c>
      <c r="AO90" s="97">
        <f t="shared" si="26"/>
        <v>0</v>
      </c>
      <c r="AP90" s="97">
        <f t="shared" si="27"/>
        <v>0</v>
      </c>
      <c r="AQ90" s="96"/>
      <c r="AR90" s="97">
        <f t="shared" si="28"/>
        <v>0</v>
      </c>
      <c r="AS90" s="97">
        <f t="shared" si="29"/>
        <v>0</v>
      </c>
      <c r="AT90" s="97">
        <f t="shared" si="30"/>
        <v>0</v>
      </c>
      <c r="AU90" s="96"/>
      <c r="AV90" s="97">
        <f t="shared" si="31"/>
        <v>0</v>
      </c>
      <c r="AW90" s="97">
        <f t="shared" si="32"/>
        <v>0</v>
      </c>
      <c r="AX90" s="97">
        <f t="shared" si="33"/>
        <v>0</v>
      </c>
      <c r="AY90" s="96"/>
      <c r="AZ90" s="65">
        <f t="shared" si="34"/>
        <v>0</v>
      </c>
      <c r="BA90" s="65">
        <f t="shared" si="35"/>
        <v>0</v>
      </c>
      <c r="BB90" s="65">
        <f t="shared" si="36"/>
        <v>0</v>
      </c>
      <c r="BC90" s="96"/>
      <c r="BD90" s="65">
        <f t="shared" si="37"/>
        <v>0</v>
      </c>
      <c r="BE90" s="65">
        <f t="shared" si="38"/>
        <v>0</v>
      </c>
      <c r="BF90" s="65">
        <f t="shared" si="39"/>
        <v>0</v>
      </c>
      <c r="BG90" s="96"/>
      <c r="BH90" s="65">
        <f t="shared" si="40"/>
        <v>0</v>
      </c>
      <c r="BI90" s="65">
        <f t="shared" si="41"/>
        <v>0</v>
      </c>
      <c r="BJ90" s="65">
        <f t="shared" si="42"/>
        <v>0</v>
      </c>
      <c r="BK90" s="96"/>
      <c r="BL90" s="97">
        <f t="shared" si="43"/>
        <v>0</v>
      </c>
      <c r="BM90" s="97">
        <f t="shared" si="44"/>
        <v>0</v>
      </c>
      <c r="BN90" s="97">
        <f t="shared" si="45"/>
        <v>0</v>
      </c>
      <c r="BO90" s="96"/>
      <c r="BP90" s="97">
        <f t="shared" si="46"/>
        <v>0</v>
      </c>
      <c r="BQ90" s="97">
        <f t="shared" si="47"/>
        <v>0</v>
      </c>
      <c r="BR90" s="97">
        <f t="shared" si="48"/>
        <v>0</v>
      </c>
      <c r="BS90" s="96"/>
      <c r="BT90" s="97">
        <f t="shared" si="49"/>
        <v>0</v>
      </c>
      <c r="BU90" s="97">
        <f t="shared" si="50"/>
        <v>0</v>
      </c>
      <c r="BV90" s="97">
        <f t="shared" si="51"/>
        <v>0</v>
      </c>
      <c r="BW90" s="96"/>
      <c r="BX90" s="97">
        <f t="shared" si="52"/>
        <v>0</v>
      </c>
      <c r="BY90" s="97">
        <f t="shared" si="53"/>
        <v>0</v>
      </c>
      <c r="BZ90" s="97">
        <f t="shared" si="54"/>
        <v>0</v>
      </c>
      <c r="CA90" s="96"/>
      <c r="CB90" s="97">
        <f t="shared" si="55"/>
        <v>0</v>
      </c>
      <c r="CC90" s="97">
        <f t="shared" si="56"/>
        <v>0</v>
      </c>
      <c r="CD90" s="97">
        <f t="shared" si="57"/>
        <v>0</v>
      </c>
      <c r="CE90" s="96"/>
      <c r="CF90" s="65">
        <f t="shared" si="58"/>
        <v>0</v>
      </c>
      <c r="CG90" s="65">
        <f t="shared" si="59"/>
        <v>0</v>
      </c>
      <c r="CH90" s="65">
        <f t="shared" si="60"/>
        <v>0</v>
      </c>
      <c r="CI90" s="96"/>
      <c r="CJ90" s="65">
        <f t="shared" si="61"/>
        <v>0</v>
      </c>
      <c r="CK90" s="65">
        <f t="shared" si="62"/>
        <v>0</v>
      </c>
      <c r="CL90" s="65">
        <f t="shared" si="63"/>
        <v>0</v>
      </c>
      <c r="CM90" s="96"/>
      <c r="CN90" s="65">
        <f t="shared" si="64"/>
        <v>0</v>
      </c>
      <c r="CO90" s="65">
        <f t="shared" si="65"/>
        <v>0</v>
      </c>
      <c r="CP90" s="65">
        <f t="shared" si="66"/>
        <v>0</v>
      </c>
      <c r="CQ90" s="96"/>
      <c r="CR90" s="65">
        <f t="shared" si="67"/>
        <v>0</v>
      </c>
      <c r="CS90" s="65">
        <f t="shared" si="68"/>
        <v>0</v>
      </c>
      <c r="CT90" s="65">
        <f t="shared" si="69"/>
        <v>0</v>
      </c>
      <c r="CU90" s="96"/>
      <c r="CV90" s="65">
        <f t="shared" si="70"/>
        <v>0</v>
      </c>
      <c r="CW90" s="65">
        <f t="shared" si="71"/>
        <v>0</v>
      </c>
      <c r="CX90" s="65">
        <f t="shared" si="72"/>
        <v>0</v>
      </c>
      <c r="CY90" s="96"/>
      <c r="CZ90" s="97">
        <f t="shared" si="73"/>
        <v>0</v>
      </c>
      <c r="DA90" s="97">
        <f t="shared" si="74"/>
        <v>0</v>
      </c>
      <c r="DB90" s="97">
        <f t="shared" si="75"/>
        <v>0</v>
      </c>
      <c r="DC90" s="96"/>
      <c r="DD90" s="97">
        <f t="shared" si="76"/>
        <v>0</v>
      </c>
      <c r="DE90" s="97">
        <f t="shared" si="77"/>
        <v>0</v>
      </c>
      <c r="DF90" s="97">
        <f t="shared" si="78"/>
        <v>0</v>
      </c>
      <c r="DG90" s="96"/>
      <c r="DH90" s="97">
        <f t="shared" si="79"/>
        <v>0</v>
      </c>
      <c r="DI90" s="97">
        <f t="shared" si="80"/>
        <v>0</v>
      </c>
      <c r="DJ90" s="97">
        <f t="shared" si="81"/>
        <v>0</v>
      </c>
      <c r="DK90" s="96"/>
      <c r="DL90" s="97">
        <f t="shared" si="82"/>
        <v>0</v>
      </c>
      <c r="DM90" s="97">
        <f t="shared" si="83"/>
        <v>0</v>
      </c>
      <c r="DN90" s="97">
        <f t="shared" si="84"/>
        <v>0</v>
      </c>
      <c r="DO90" s="96"/>
      <c r="DP90" s="97">
        <f t="shared" si="85"/>
        <v>0</v>
      </c>
      <c r="DQ90" s="97">
        <f t="shared" si="86"/>
        <v>0</v>
      </c>
      <c r="DR90" s="97">
        <f t="shared" si="87"/>
        <v>0</v>
      </c>
      <c r="DS90" s="96"/>
      <c r="DT90" s="65">
        <f t="shared" si="88"/>
        <v>0</v>
      </c>
      <c r="DU90" s="65">
        <f t="shared" si="89"/>
        <v>0</v>
      </c>
      <c r="DV90" s="65">
        <f t="shared" si="90"/>
        <v>0</v>
      </c>
      <c r="DW90" s="96"/>
      <c r="DX90" s="65">
        <f t="shared" si="91"/>
        <v>0</v>
      </c>
      <c r="DY90" s="65">
        <f t="shared" si="92"/>
        <v>0</v>
      </c>
      <c r="DZ90" s="65">
        <f t="shared" si="93"/>
        <v>0</v>
      </c>
      <c r="EA90" s="96"/>
      <c r="EB90" s="65">
        <f t="shared" si="94"/>
        <v>0</v>
      </c>
      <c r="EC90" s="65">
        <f t="shared" si="95"/>
        <v>0</v>
      </c>
      <c r="ED90" s="65">
        <f t="shared" si="96"/>
        <v>0</v>
      </c>
    </row>
    <row r="91" spans="1:134" x14ac:dyDescent="0.2">
      <c r="A91" s="71"/>
      <c r="B91" s="96" t="s">
        <v>52</v>
      </c>
      <c r="C91" s="96"/>
      <c r="D91" s="97">
        <f t="shared" si="0"/>
        <v>0</v>
      </c>
      <c r="E91" s="97">
        <f t="shared" si="97"/>
        <v>0</v>
      </c>
      <c r="F91" s="97">
        <f t="shared" si="98"/>
        <v>0</v>
      </c>
      <c r="G91" s="96"/>
      <c r="H91" s="97">
        <f t="shared" si="1"/>
        <v>0</v>
      </c>
      <c r="I91" s="97">
        <f t="shared" si="2"/>
        <v>0</v>
      </c>
      <c r="J91" s="97">
        <f t="shared" si="3"/>
        <v>0</v>
      </c>
      <c r="K91" s="96"/>
      <c r="L91" s="97">
        <f t="shared" si="4"/>
        <v>0</v>
      </c>
      <c r="M91" s="97">
        <f t="shared" si="5"/>
        <v>0</v>
      </c>
      <c r="N91" s="97">
        <f t="shared" si="6"/>
        <v>0</v>
      </c>
      <c r="O91" s="96"/>
      <c r="P91" s="97">
        <f t="shared" si="7"/>
        <v>0</v>
      </c>
      <c r="Q91" s="97">
        <f t="shared" si="8"/>
        <v>0</v>
      </c>
      <c r="R91" s="97">
        <f t="shared" si="9"/>
        <v>0</v>
      </c>
      <c r="S91" s="96"/>
      <c r="T91" s="97">
        <f t="shared" si="10"/>
        <v>0</v>
      </c>
      <c r="U91" s="97">
        <f t="shared" si="11"/>
        <v>0</v>
      </c>
      <c r="V91" s="97">
        <f t="shared" si="12"/>
        <v>0</v>
      </c>
      <c r="W91" s="96"/>
      <c r="X91" s="97">
        <f t="shared" si="13"/>
        <v>0</v>
      </c>
      <c r="Y91" s="97">
        <f t="shared" si="14"/>
        <v>0</v>
      </c>
      <c r="Z91" s="97">
        <f t="shared" si="15"/>
        <v>0</v>
      </c>
      <c r="AA91" s="96"/>
      <c r="AB91" s="97">
        <f t="shared" si="16"/>
        <v>0</v>
      </c>
      <c r="AC91" s="97">
        <f t="shared" si="17"/>
        <v>0</v>
      </c>
      <c r="AD91" s="97">
        <f t="shared" si="18"/>
        <v>0</v>
      </c>
      <c r="AE91" s="96"/>
      <c r="AF91" s="97">
        <f t="shared" si="19"/>
        <v>0</v>
      </c>
      <c r="AG91" s="97">
        <f t="shared" si="20"/>
        <v>0</v>
      </c>
      <c r="AH91" s="97">
        <f t="shared" si="21"/>
        <v>0</v>
      </c>
      <c r="AI91" s="96"/>
      <c r="AJ91" s="97">
        <f t="shared" si="22"/>
        <v>0</v>
      </c>
      <c r="AK91" s="97">
        <f t="shared" si="23"/>
        <v>0</v>
      </c>
      <c r="AL91" s="97">
        <f t="shared" si="24"/>
        <v>0</v>
      </c>
      <c r="AM91" s="96"/>
      <c r="AN91" s="97">
        <f t="shared" si="25"/>
        <v>0</v>
      </c>
      <c r="AO91" s="97">
        <f t="shared" si="26"/>
        <v>0</v>
      </c>
      <c r="AP91" s="97">
        <f t="shared" si="27"/>
        <v>0</v>
      </c>
      <c r="AQ91" s="96"/>
      <c r="AR91" s="97">
        <f t="shared" si="28"/>
        <v>0</v>
      </c>
      <c r="AS91" s="97">
        <f t="shared" si="29"/>
        <v>0</v>
      </c>
      <c r="AT91" s="97">
        <f t="shared" si="30"/>
        <v>0</v>
      </c>
      <c r="AU91" s="96"/>
      <c r="AV91" s="97">
        <f t="shared" si="31"/>
        <v>0</v>
      </c>
      <c r="AW91" s="97">
        <f t="shared" si="32"/>
        <v>0</v>
      </c>
      <c r="AX91" s="97">
        <f t="shared" si="33"/>
        <v>0</v>
      </c>
      <c r="AY91" s="96"/>
      <c r="AZ91" s="65">
        <f t="shared" si="34"/>
        <v>0</v>
      </c>
      <c r="BA91" s="65">
        <f t="shared" si="35"/>
        <v>0</v>
      </c>
      <c r="BB91" s="65">
        <f t="shared" si="36"/>
        <v>0</v>
      </c>
      <c r="BC91" s="96"/>
      <c r="BD91" s="65">
        <f t="shared" si="37"/>
        <v>0</v>
      </c>
      <c r="BE91" s="65">
        <f t="shared" si="38"/>
        <v>0</v>
      </c>
      <c r="BF91" s="65">
        <f t="shared" si="39"/>
        <v>0</v>
      </c>
      <c r="BG91" s="96"/>
      <c r="BH91" s="65">
        <f t="shared" si="40"/>
        <v>0</v>
      </c>
      <c r="BI91" s="65">
        <f t="shared" si="41"/>
        <v>0</v>
      </c>
      <c r="BJ91" s="65">
        <f t="shared" si="42"/>
        <v>0</v>
      </c>
      <c r="BK91" s="96"/>
      <c r="BL91" s="97">
        <f t="shared" si="43"/>
        <v>0</v>
      </c>
      <c r="BM91" s="97">
        <f t="shared" si="44"/>
        <v>0</v>
      </c>
      <c r="BN91" s="97">
        <f t="shared" si="45"/>
        <v>0</v>
      </c>
      <c r="BO91" s="96"/>
      <c r="BP91" s="97">
        <f t="shared" si="46"/>
        <v>0</v>
      </c>
      <c r="BQ91" s="97">
        <f t="shared" si="47"/>
        <v>0</v>
      </c>
      <c r="BR91" s="97">
        <f t="shared" si="48"/>
        <v>0</v>
      </c>
      <c r="BS91" s="96"/>
      <c r="BT91" s="97">
        <f t="shared" si="49"/>
        <v>0</v>
      </c>
      <c r="BU91" s="97">
        <f t="shared" si="50"/>
        <v>0</v>
      </c>
      <c r="BV91" s="97">
        <f t="shared" si="51"/>
        <v>0</v>
      </c>
      <c r="BW91" s="96"/>
      <c r="BX91" s="97">
        <f t="shared" si="52"/>
        <v>0</v>
      </c>
      <c r="BY91" s="97">
        <f t="shared" si="53"/>
        <v>0</v>
      </c>
      <c r="BZ91" s="97">
        <f t="shared" si="54"/>
        <v>0</v>
      </c>
      <c r="CA91" s="96"/>
      <c r="CB91" s="97">
        <f t="shared" si="55"/>
        <v>0</v>
      </c>
      <c r="CC91" s="97">
        <f t="shared" si="56"/>
        <v>0</v>
      </c>
      <c r="CD91" s="97">
        <f t="shared" si="57"/>
        <v>0</v>
      </c>
      <c r="CE91" s="96"/>
      <c r="CF91" s="65">
        <f t="shared" si="58"/>
        <v>0</v>
      </c>
      <c r="CG91" s="65">
        <f t="shared" si="59"/>
        <v>0</v>
      </c>
      <c r="CH91" s="65">
        <f t="shared" si="60"/>
        <v>0</v>
      </c>
      <c r="CI91" s="96"/>
      <c r="CJ91" s="65">
        <f t="shared" si="61"/>
        <v>0</v>
      </c>
      <c r="CK91" s="65">
        <f t="shared" si="62"/>
        <v>0</v>
      </c>
      <c r="CL91" s="65">
        <f t="shared" si="63"/>
        <v>0</v>
      </c>
      <c r="CM91" s="96"/>
      <c r="CN91" s="65">
        <f t="shared" si="64"/>
        <v>0</v>
      </c>
      <c r="CO91" s="65">
        <f t="shared" si="65"/>
        <v>0</v>
      </c>
      <c r="CP91" s="65">
        <f t="shared" si="66"/>
        <v>0</v>
      </c>
      <c r="CQ91" s="96"/>
      <c r="CR91" s="65">
        <f t="shared" si="67"/>
        <v>0</v>
      </c>
      <c r="CS91" s="65">
        <f t="shared" si="68"/>
        <v>0</v>
      </c>
      <c r="CT91" s="65">
        <f t="shared" si="69"/>
        <v>0</v>
      </c>
      <c r="CU91" s="96"/>
      <c r="CV91" s="65">
        <f t="shared" si="70"/>
        <v>0</v>
      </c>
      <c r="CW91" s="65">
        <f t="shared" si="71"/>
        <v>0</v>
      </c>
      <c r="CX91" s="65">
        <f t="shared" si="72"/>
        <v>0</v>
      </c>
      <c r="CY91" s="96"/>
      <c r="CZ91" s="97">
        <f t="shared" si="73"/>
        <v>0</v>
      </c>
      <c r="DA91" s="97">
        <f t="shared" si="74"/>
        <v>0</v>
      </c>
      <c r="DB91" s="97">
        <f t="shared" si="75"/>
        <v>0</v>
      </c>
      <c r="DC91" s="96"/>
      <c r="DD91" s="97">
        <f t="shared" si="76"/>
        <v>0</v>
      </c>
      <c r="DE91" s="97">
        <f t="shared" si="77"/>
        <v>0</v>
      </c>
      <c r="DF91" s="97">
        <f t="shared" si="78"/>
        <v>0</v>
      </c>
      <c r="DG91" s="96"/>
      <c r="DH91" s="97">
        <f t="shared" si="79"/>
        <v>0</v>
      </c>
      <c r="DI91" s="97">
        <f t="shared" si="80"/>
        <v>0</v>
      </c>
      <c r="DJ91" s="97">
        <f t="shared" si="81"/>
        <v>0</v>
      </c>
      <c r="DK91" s="96"/>
      <c r="DL91" s="97">
        <f t="shared" si="82"/>
        <v>0</v>
      </c>
      <c r="DM91" s="97">
        <f t="shared" si="83"/>
        <v>0</v>
      </c>
      <c r="DN91" s="97">
        <f t="shared" si="84"/>
        <v>0</v>
      </c>
      <c r="DO91" s="96"/>
      <c r="DP91" s="97">
        <f t="shared" si="85"/>
        <v>0</v>
      </c>
      <c r="DQ91" s="97">
        <f t="shared" si="86"/>
        <v>0</v>
      </c>
      <c r="DR91" s="97">
        <f t="shared" si="87"/>
        <v>0</v>
      </c>
      <c r="DS91" s="96"/>
      <c r="DT91" s="65">
        <f t="shared" si="88"/>
        <v>0</v>
      </c>
      <c r="DU91" s="65">
        <f t="shared" si="89"/>
        <v>0</v>
      </c>
      <c r="DV91" s="65">
        <f t="shared" si="90"/>
        <v>0</v>
      </c>
      <c r="DW91" s="96"/>
      <c r="DX91" s="65">
        <f t="shared" si="91"/>
        <v>0</v>
      </c>
      <c r="DY91" s="65">
        <f t="shared" si="92"/>
        <v>0</v>
      </c>
      <c r="DZ91" s="65">
        <f t="shared" si="93"/>
        <v>0</v>
      </c>
      <c r="EA91" s="96"/>
      <c r="EB91" s="65">
        <f t="shared" si="94"/>
        <v>0</v>
      </c>
      <c r="EC91" s="65">
        <f t="shared" si="95"/>
        <v>0</v>
      </c>
      <c r="ED91" s="65">
        <f t="shared" si="96"/>
        <v>0</v>
      </c>
    </row>
    <row r="92" spans="1:134" x14ac:dyDescent="0.2">
      <c r="A92" s="71"/>
      <c r="B92" s="96" t="s">
        <v>52</v>
      </c>
      <c r="C92" s="96"/>
      <c r="D92" s="97">
        <f t="shared" si="0"/>
        <v>0</v>
      </c>
      <c r="E92" s="97">
        <f t="shared" si="97"/>
        <v>0</v>
      </c>
      <c r="F92" s="97">
        <f t="shared" si="98"/>
        <v>0</v>
      </c>
      <c r="G92" s="96"/>
      <c r="H92" s="97">
        <f t="shared" si="1"/>
        <v>0</v>
      </c>
      <c r="I92" s="97">
        <f t="shared" si="2"/>
        <v>0</v>
      </c>
      <c r="J92" s="97">
        <f t="shared" si="3"/>
        <v>0</v>
      </c>
      <c r="K92" s="96"/>
      <c r="L92" s="97">
        <f t="shared" si="4"/>
        <v>0</v>
      </c>
      <c r="M92" s="97">
        <f t="shared" si="5"/>
        <v>0</v>
      </c>
      <c r="N92" s="97">
        <f t="shared" si="6"/>
        <v>0</v>
      </c>
      <c r="O92" s="96"/>
      <c r="P92" s="97">
        <f t="shared" si="7"/>
        <v>0</v>
      </c>
      <c r="Q92" s="97">
        <f t="shared" si="8"/>
        <v>0</v>
      </c>
      <c r="R92" s="97">
        <f t="shared" si="9"/>
        <v>0</v>
      </c>
      <c r="S92" s="96"/>
      <c r="T92" s="97">
        <f t="shared" si="10"/>
        <v>0</v>
      </c>
      <c r="U92" s="97">
        <f t="shared" si="11"/>
        <v>0</v>
      </c>
      <c r="V92" s="97">
        <f t="shared" si="12"/>
        <v>0</v>
      </c>
      <c r="W92" s="96"/>
      <c r="X92" s="97">
        <f t="shared" si="13"/>
        <v>0</v>
      </c>
      <c r="Y92" s="97">
        <f t="shared" si="14"/>
        <v>0</v>
      </c>
      <c r="Z92" s="97">
        <f t="shared" si="15"/>
        <v>0</v>
      </c>
      <c r="AA92" s="96"/>
      <c r="AB92" s="97">
        <f t="shared" si="16"/>
        <v>0</v>
      </c>
      <c r="AC92" s="97">
        <f t="shared" si="17"/>
        <v>0</v>
      </c>
      <c r="AD92" s="97">
        <f t="shared" si="18"/>
        <v>0</v>
      </c>
      <c r="AE92" s="96"/>
      <c r="AF92" s="97">
        <f t="shared" si="19"/>
        <v>0</v>
      </c>
      <c r="AG92" s="97">
        <f t="shared" si="20"/>
        <v>0</v>
      </c>
      <c r="AH92" s="97">
        <f t="shared" si="21"/>
        <v>0</v>
      </c>
      <c r="AI92" s="96"/>
      <c r="AJ92" s="97">
        <f t="shared" si="22"/>
        <v>0</v>
      </c>
      <c r="AK92" s="97">
        <f t="shared" si="23"/>
        <v>0</v>
      </c>
      <c r="AL92" s="97">
        <f t="shared" si="24"/>
        <v>0</v>
      </c>
      <c r="AM92" s="96"/>
      <c r="AN92" s="97">
        <f t="shared" si="25"/>
        <v>0</v>
      </c>
      <c r="AO92" s="97">
        <f t="shared" si="26"/>
        <v>0</v>
      </c>
      <c r="AP92" s="97">
        <f t="shared" si="27"/>
        <v>0</v>
      </c>
      <c r="AQ92" s="96"/>
      <c r="AR92" s="97">
        <f t="shared" si="28"/>
        <v>0</v>
      </c>
      <c r="AS92" s="97">
        <f t="shared" si="29"/>
        <v>0</v>
      </c>
      <c r="AT92" s="97">
        <f t="shared" si="30"/>
        <v>0</v>
      </c>
      <c r="AU92" s="96"/>
      <c r="AV92" s="97">
        <f t="shared" si="31"/>
        <v>0</v>
      </c>
      <c r="AW92" s="97">
        <f t="shared" si="32"/>
        <v>0</v>
      </c>
      <c r="AX92" s="97">
        <f t="shared" si="33"/>
        <v>0</v>
      </c>
      <c r="AY92" s="96"/>
      <c r="AZ92" s="65">
        <f t="shared" si="34"/>
        <v>0</v>
      </c>
      <c r="BA92" s="65">
        <f t="shared" si="35"/>
        <v>0</v>
      </c>
      <c r="BB92" s="65">
        <f t="shared" si="36"/>
        <v>0</v>
      </c>
      <c r="BC92" s="96"/>
      <c r="BD92" s="65">
        <f t="shared" si="37"/>
        <v>0</v>
      </c>
      <c r="BE92" s="65">
        <f t="shared" si="38"/>
        <v>0</v>
      </c>
      <c r="BF92" s="65">
        <f t="shared" si="39"/>
        <v>0</v>
      </c>
      <c r="BG92" s="96"/>
      <c r="BH92" s="65">
        <f t="shared" si="40"/>
        <v>0</v>
      </c>
      <c r="BI92" s="65">
        <f t="shared" si="41"/>
        <v>0</v>
      </c>
      <c r="BJ92" s="65">
        <f t="shared" si="42"/>
        <v>0</v>
      </c>
      <c r="BK92" s="96"/>
      <c r="BL92" s="97">
        <f t="shared" si="43"/>
        <v>0</v>
      </c>
      <c r="BM92" s="97">
        <f t="shared" si="44"/>
        <v>0</v>
      </c>
      <c r="BN92" s="97">
        <f t="shared" si="45"/>
        <v>0</v>
      </c>
      <c r="BO92" s="96"/>
      <c r="BP92" s="97">
        <f t="shared" si="46"/>
        <v>0</v>
      </c>
      <c r="BQ92" s="97">
        <f t="shared" si="47"/>
        <v>0</v>
      </c>
      <c r="BR92" s="97">
        <f t="shared" si="48"/>
        <v>0</v>
      </c>
      <c r="BS92" s="96"/>
      <c r="BT92" s="97">
        <f t="shared" si="49"/>
        <v>0</v>
      </c>
      <c r="BU92" s="97">
        <f t="shared" si="50"/>
        <v>0</v>
      </c>
      <c r="BV92" s="97">
        <f t="shared" si="51"/>
        <v>0</v>
      </c>
      <c r="BW92" s="96"/>
      <c r="BX92" s="97">
        <f t="shared" si="52"/>
        <v>0</v>
      </c>
      <c r="BY92" s="97">
        <f t="shared" si="53"/>
        <v>0</v>
      </c>
      <c r="BZ92" s="97">
        <f t="shared" si="54"/>
        <v>0</v>
      </c>
      <c r="CA92" s="96"/>
      <c r="CB92" s="97">
        <f t="shared" si="55"/>
        <v>0</v>
      </c>
      <c r="CC92" s="97">
        <f t="shared" si="56"/>
        <v>0</v>
      </c>
      <c r="CD92" s="97">
        <f t="shared" si="57"/>
        <v>0</v>
      </c>
      <c r="CE92" s="96"/>
      <c r="CF92" s="65">
        <f t="shared" si="58"/>
        <v>0</v>
      </c>
      <c r="CG92" s="65">
        <f t="shared" si="59"/>
        <v>0</v>
      </c>
      <c r="CH92" s="65">
        <f t="shared" si="60"/>
        <v>0</v>
      </c>
      <c r="CI92" s="96"/>
      <c r="CJ92" s="65">
        <f t="shared" si="61"/>
        <v>0</v>
      </c>
      <c r="CK92" s="65">
        <f t="shared" si="62"/>
        <v>0</v>
      </c>
      <c r="CL92" s="65">
        <f t="shared" si="63"/>
        <v>0</v>
      </c>
      <c r="CM92" s="96"/>
      <c r="CN92" s="65">
        <f t="shared" si="64"/>
        <v>0</v>
      </c>
      <c r="CO92" s="65">
        <f t="shared" si="65"/>
        <v>0</v>
      </c>
      <c r="CP92" s="65">
        <f t="shared" si="66"/>
        <v>0</v>
      </c>
      <c r="CQ92" s="96"/>
      <c r="CR92" s="65">
        <f t="shared" si="67"/>
        <v>0</v>
      </c>
      <c r="CS92" s="65">
        <f t="shared" si="68"/>
        <v>0</v>
      </c>
      <c r="CT92" s="65">
        <f t="shared" si="69"/>
        <v>0</v>
      </c>
      <c r="CU92" s="96"/>
      <c r="CV92" s="65">
        <f t="shared" si="70"/>
        <v>0</v>
      </c>
      <c r="CW92" s="65">
        <f t="shared" si="71"/>
        <v>0</v>
      </c>
      <c r="CX92" s="65">
        <f t="shared" si="72"/>
        <v>0</v>
      </c>
      <c r="CY92" s="96"/>
      <c r="CZ92" s="97">
        <f t="shared" si="73"/>
        <v>0</v>
      </c>
      <c r="DA92" s="97">
        <f t="shared" si="74"/>
        <v>0</v>
      </c>
      <c r="DB92" s="97">
        <f t="shared" si="75"/>
        <v>0</v>
      </c>
      <c r="DC92" s="96"/>
      <c r="DD92" s="97">
        <f t="shared" si="76"/>
        <v>0</v>
      </c>
      <c r="DE92" s="97">
        <f t="shared" si="77"/>
        <v>0</v>
      </c>
      <c r="DF92" s="97">
        <f t="shared" si="78"/>
        <v>0</v>
      </c>
      <c r="DG92" s="96"/>
      <c r="DH92" s="97">
        <f t="shared" si="79"/>
        <v>0</v>
      </c>
      <c r="DI92" s="97">
        <f t="shared" si="80"/>
        <v>0</v>
      </c>
      <c r="DJ92" s="97">
        <f t="shared" si="81"/>
        <v>0</v>
      </c>
      <c r="DK92" s="96"/>
      <c r="DL92" s="97">
        <f t="shared" si="82"/>
        <v>0</v>
      </c>
      <c r="DM92" s="97">
        <f t="shared" si="83"/>
        <v>0</v>
      </c>
      <c r="DN92" s="97">
        <f t="shared" si="84"/>
        <v>0</v>
      </c>
      <c r="DO92" s="96"/>
      <c r="DP92" s="97">
        <f t="shared" si="85"/>
        <v>0</v>
      </c>
      <c r="DQ92" s="97">
        <f t="shared" si="86"/>
        <v>0</v>
      </c>
      <c r="DR92" s="97">
        <f t="shared" si="87"/>
        <v>0</v>
      </c>
      <c r="DS92" s="96"/>
      <c r="DT92" s="65">
        <f t="shared" si="88"/>
        <v>0</v>
      </c>
      <c r="DU92" s="65">
        <f t="shared" si="89"/>
        <v>0</v>
      </c>
      <c r="DV92" s="65">
        <f t="shared" si="90"/>
        <v>0</v>
      </c>
      <c r="DW92" s="96"/>
      <c r="DX92" s="65">
        <f t="shared" si="91"/>
        <v>0</v>
      </c>
      <c r="DY92" s="65">
        <f t="shared" si="92"/>
        <v>0</v>
      </c>
      <c r="DZ92" s="65">
        <f t="shared" si="93"/>
        <v>0</v>
      </c>
      <c r="EA92" s="96"/>
      <c r="EB92" s="65">
        <f t="shared" si="94"/>
        <v>0</v>
      </c>
      <c r="EC92" s="65">
        <f t="shared" si="95"/>
        <v>0</v>
      </c>
      <c r="ED92" s="65">
        <f t="shared" si="96"/>
        <v>0</v>
      </c>
    </row>
    <row r="93" spans="1:134" x14ac:dyDescent="0.2">
      <c r="A93" s="71"/>
      <c r="B93" s="96" t="s">
        <v>52</v>
      </c>
      <c r="C93" s="96"/>
      <c r="D93" s="97">
        <f t="shared" si="0"/>
        <v>0</v>
      </c>
      <c r="E93" s="97">
        <f t="shared" si="97"/>
        <v>0</v>
      </c>
      <c r="F93" s="97">
        <f t="shared" si="98"/>
        <v>0</v>
      </c>
      <c r="G93" s="96"/>
      <c r="H93" s="97">
        <f t="shared" si="1"/>
        <v>0</v>
      </c>
      <c r="I93" s="97">
        <f t="shared" si="2"/>
        <v>0</v>
      </c>
      <c r="J93" s="97">
        <f t="shared" si="3"/>
        <v>0</v>
      </c>
      <c r="K93" s="96"/>
      <c r="L93" s="97">
        <f t="shared" si="4"/>
        <v>0</v>
      </c>
      <c r="M93" s="97">
        <f t="shared" si="5"/>
        <v>0</v>
      </c>
      <c r="N93" s="97">
        <f t="shared" si="6"/>
        <v>0</v>
      </c>
      <c r="O93" s="96"/>
      <c r="P93" s="97">
        <f t="shared" si="7"/>
        <v>0</v>
      </c>
      <c r="Q93" s="97">
        <f t="shared" si="8"/>
        <v>0</v>
      </c>
      <c r="R93" s="97">
        <f t="shared" si="9"/>
        <v>0</v>
      </c>
      <c r="S93" s="96"/>
      <c r="T93" s="97">
        <f t="shared" si="10"/>
        <v>0</v>
      </c>
      <c r="U93" s="97">
        <f t="shared" si="11"/>
        <v>0</v>
      </c>
      <c r="V93" s="97">
        <f t="shared" si="12"/>
        <v>0</v>
      </c>
      <c r="W93" s="96"/>
      <c r="X93" s="97">
        <f t="shared" si="13"/>
        <v>0</v>
      </c>
      <c r="Y93" s="97">
        <f t="shared" si="14"/>
        <v>0</v>
      </c>
      <c r="Z93" s="97">
        <f t="shared" si="15"/>
        <v>0</v>
      </c>
      <c r="AA93" s="96"/>
      <c r="AB93" s="97">
        <f t="shared" si="16"/>
        <v>0</v>
      </c>
      <c r="AC93" s="97">
        <f t="shared" si="17"/>
        <v>0</v>
      </c>
      <c r="AD93" s="97">
        <f t="shared" si="18"/>
        <v>0</v>
      </c>
      <c r="AE93" s="96"/>
      <c r="AF93" s="97">
        <f t="shared" si="19"/>
        <v>0</v>
      </c>
      <c r="AG93" s="97">
        <f t="shared" si="20"/>
        <v>0</v>
      </c>
      <c r="AH93" s="97">
        <f t="shared" si="21"/>
        <v>0</v>
      </c>
      <c r="AI93" s="96"/>
      <c r="AJ93" s="97">
        <f t="shared" si="22"/>
        <v>0</v>
      </c>
      <c r="AK93" s="97">
        <f t="shared" si="23"/>
        <v>0</v>
      </c>
      <c r="AL93" s="97">
        <f t="shared" si="24"/>
        <v>0</v>
      </c>
      <c r="AM93" s="96"/>
      <c r="AN93" s="97">
        <f t="shared" si="25"/>
        <v>0</v>
      </c>
      <c r="AO93" s="97">
        <f t="shared" si="26"/>
        <v>0</v>
      </c>
      <c r="AP93" s="97">
        <f t="shared" si="27"/>
        <v>0</v>
      </c>
      <c r="AQ93" s="96"/>
      <c r="AR93" s="97">
        <f t="shared" si="28"/>
        <v>0</v>
      </c>
      <c r="AS93" s="97">
        <f t="shared" si="29"/>
        <v>0</v>
      </c>
      <c r="AT93" s="97">
        <f t="shared" si="30"/>
        <v>0</v>
      </c>
      <c r="AU93" s="96"/>
      <c r="AV93" s="97">
        <f t="shared" si="31"/>
        <v>0</v>
      </c>
      <c r="AW93" s="97">
        <f t="shared" si="32"/>
        <v>0</v>
      </c>
      <c r="AX93" s="97">
        <f t="shared" si="33"/>
        <v>0</v>
      </c>
      <c r="AY93" s="96"/>
      <c r="AZ93" s="65">
        <f t="shared" si="34"/>
        <v>0</v>
      </c>
      <c r="BA93" s="65">
        <f t="shared" si="35"/>
        <v>0</v>
      </c>
      <c r="BB93" s="65">
        <f t="shared" si="36"/>
        <v>0</v>
      </c>
      <c r="BC93" s="96"/>
      <c r="BD93" s="65">
        <f t="shared" si="37"/>
        <v>0</v>
      </c>
      <c r="BE93" s="65">
        <f t="shared" si="38"/>
        <v>0</v>
      </c>
      <c r="BF93" s="65">
        <f t="shared" si="39"/>
        <v>0</v>
      </c>
      <c r="BG93" s="96"/>
      <c r="BH93" s="65">
        <f t="shared" si="40"/>
        <v>0</v>
      </c>
      <c r="BI93" s="65">
        <f t="shared" si="41"/>
        <v>0</v>
      </c>
      <c r="BJ93" s="65">
        <f t="shared" si="42"/>
        <v>0</v>
      </c>
      <c r="BK93" s="96"/>
      <c r="BL93" s="97">
        <f t="shared" si="43"/>
        <v>0</v>
      </c>
      <c r="BM93" s="97">
        <f t="shared" si="44"/>
        <v>0</v>
      </c>
      <c r="BN93" s="97">
        <f t="shared" si="45"/>
        <v>0</v>
      </c>
      <c r="BO93" s="96"/>
      <c r="BP93" s="97">
        <f t="shared" si="46"/>
        <v>0</v>
      </c>
      <c r="BQ93" s="97">
        <f t="shared" si="47"/>
        <v>0</v>
      </c>
      <c r="BR93" s="97">
        <f t="shared" si="48"/>
        <v>0</v>
      </c>
      <c r="BS93" s="96"/>
      <c r="BT93" s="97">
        <f t="shared" si="49"/>
        <v>0</v>
      </c>
      <c r="BU93" s="97">
        <f t="shared" si="50"/>
        <v>0</v>
      </c>
      <c r="BV93" s="97">
        <f t="shared" si="51"/>
        <v>0</v>
      </c>
      <c r="BW93" s="96"/>
      <c r="BX93" s="97">
        <f t="shared" si="52"/>
        <v>0</v>
      </c>
      <c r="BY93" s="97">
        <f t="shared" si="53"/>
        <v>0</v>
      </c>
      <c r="BZ93" s="97">
        <f t="shared" si="54"/>
        <v>0</v>
      </c>
      <c r="CA93" s="96"/>
      <c r="CB93" s="97">
        <f t="shared" si="55"/>
        <v>0</v>
      </c>
      <c r="CC93" s="97">
        <f t="shared" si="56"/>
        <v>0</v>
      </c>
      <c r="CD93" s="97">
        <f t="shared" si="57"/>
        <v>0</v>
      </c>
      <c r="CE93" s="96"/>
      <c r="CF93" s="65">
        <f t="shared" si="58"/>
        <v>0</v>
      </c>
      <c r="CG93" s="65">
        <f t="shared" si="59"/>
        <v>0</v>
      </c>
      <c r="CH93" s="65">
        <f t="shared" si="60"/>
        <v>0</v>
      </c>
      <c r="CI93" s="96"/>
      <c r="CJ93" s="65">
        <f t="shared" si="61"/>
        <v>0</v>
      </c>
      <c r="CK93" s="65">
        <f t="shared" si="62"/>
        <v>0</v>
      </c>
      <c r="CL93" s="65">
        <f t="shared" si="63"/>
        <v>0</v>
      </c>
      <c r="CM93" s="96"/>
      <c r="CN93" s="65">
        <f t="shared" si="64"/>
        <v>0</v>
      </c>
      <c r="CO93" s="65">
        <f t="shared" si="65"/>
        <v>0</v>
      </c>
      <c r="CP93" s="65">
        <f t="shared" si="66"/>
        <v>0</v>
      </c>
      <c r="CQ93" s="96"/>
      <c r="CR93" s="65">
        <f t="shared" si="67"/>
        <v>0</v>
      </c>
      <c r="CS93" s="65">
        <f t="shared" si="68"/>
        <v>0</v>
      </c>
      <c r="CT93" s="65">
        <f t="shared" si="69"/>
        <v>0</v>
      </c>
      <c r="CU93" s="96"/>
      <c r="CV93" s="65">
        <f t="shared" si="70"/>
        <v>0</v>
      </c>
      <c r="CW93" s="65">
        <f t="shared" si="71"/>
        <v>0</v>
      </c>
      <c r="CX93" s="65">
        <f t="shared" si="72"/>
        <v>0</v>
      </c>
      <c r="CY93" s="96"/>
      <c r="CZ93" s="97">
        <f t="shared" si="73"/>
        <v>0</v>
      </c>
      <c r="DA93" s="97">
        <f t="shared" si="74"/>
        <v>0</v>
      </c>
      <c r="DB93" s="97">
        <f t="shared" si="75"/>
        <v>0</v>
      </c>
      <c r="DC93" s="96"/>
      <c r="DD93" s="97">
        <f t="shared" si="76"/>
        <v>0</v>
      </c>
      <c r="DE93" s="97">
        <f t="shared" si="77"/>
        <v>0</v>
      </c>
      <c r="DF93" s="97">
        <f t="shared" si="78"/>
        <v>0</v>
      </c>
      <c r="DG93" s="96"/>
      <c r="DH93" s="97">
        <f t="shared" si="79"/>
        <v>0</v>
      </c>
      <c r="DI93" s="97">
        <f t="shared" si="80"/>
        <v>0</v>
      </c>
      <c r="DJ93" s="97">
        <f t="shared" si="81"/>
        <v>0</v>
      </c>
      <c r="DK93" s="96"/>
      <c r="DL93" s="97">
        <f t="shared" si="82"/>
        <v>0</v>
      </c>
      <c r="DM93" s="97">
        <f t="shared" si="83"/>
        <v>0</v>
      </c>
      <c r="DN93" s="97">
        <f t="shared" si="84"/>
        <v>0</v>
      </c>
      <c r="DO93" s="96"/>
      <c r="DP93" s="97">
        <f t="shared" si="85"/>
        <v>0</v>
      </c>
      <c r="DQ93" s="97">
        <f t="shared" si="86"/>
        <v>0</v>
      </c>
      <c r="DR93" s="97">
        <f t="shared" si="87"/>
        <v>0</v>
      </c>
      <c r="DS93" s="96"/>
      <c r="DT93" s="65">
        <f t="shared" si="88"/>
        <v>0</v>
      </c>
      <c r="DU93" s="65">
        <f t="shared" si="89"/>
        <v>0</v>
      </c>
      <c r="DV93" s="65">
        <f t="shared" si="90"/>
        <v>0</v>
      </c>
      <c r="DW93" s="96"/>
      <c r="DX93" s="65">
        <f t="shared" si="91"/>
        <v>0</v>
      </c>
      <c r="DY93" s="65">
        <f t="shared" si="92"/>
        <v>0</v>
      </c>
      <c r="DZ93" s="65">
        <f t="shared" si="93"/>
        <v>0</v>
      </c>
      <c r="EA93" s="96"/>
      <c r="EB93" s="65">
        <f t="shared" si="94"/>
        <v>0</v>
      </c>
      <c r="EC93" s="65">
        <f t="shared" si="95"/>
        <v>0</v>
      </c>
      <c r="ED93" s="65">
        <f t="shared" si="96"/>
        <v>0</v>
      </c>
    </row>
    <row r="94" spans="1:134" x14ac:dyDescent="0.2">
      <c r="A94" s="71"/>
      <c r="B94" s="96" t="s">
        <v>52</v>
      </c>
      <c r="C94" s="96"/>
      <c r="D94" s="97">
        <f t="shared" si="0"/>
        <v>0</v>
      </c>
      <c r="E94" s="97">
        <f t="shared" si="97"/>
        <v>0</v>
      </c>
      <c r="F94" s="97">
        <f t="shared" si="98"/>
        <v>0</v>
      </c>
      <c r="G94" s="96"/>
      <c r="H94" s="97">
        <f t="shared" si="1"/>
        <v>0</v>
      </c>
      <c r="I94" s="97">
        <f t="shared" si="2"/>
        <v>0</v>
      </c>
      <c r="J94" s="97">
        <f t="shared" si="3"/>
        <v>0</v>
      </c>
      <c r="K94" s="96"/>
      <c r="L94" s="97">
        <f t="shared" si="4"/>
        <v>0</v>
      </c>
      <c r="M94" s="97">
        <f t="shared" si="5"/>
        <v>0</v>
      </c>
      <c r="N94" s="97">
        <f t="shared" si="6"/>
        <v>0</v>
      </c>
      <c r="O94" s="96"/>
      <c r="P94" s="97">
        <f t="shared" si="7"/>
        <v>0</v>
      </c>
      <c r="Q94" s="97">
        <f t="shared" si="8"/>
        <v>0</v>
      </c>
      <c r="R94" s="97">
        <f t="shared" si="9"/>
        <v>0</v>
      </c>
      <c r="S94" s="96"/>
      <c r="T94" s="97">
        <f t="shared" si="10"/>
        <v>0</v>
      </c>
      <c r="U94" s="97">
        <f t="shared" si="11"/>
        <v>0</v>
      </c>
      <c r="V94" s="97">
        <f t="shared" si="12"/>
        <v>0</v>
      </c>
      <c r="W94" s="96"/>
      <c r="X94" s="97">
        <f t="shared" si="13"/>
        <v>0</v>
      </c>
      <c r="Y94" s="97">
        <f t="shared" si="14"/>
        <v>0</v>
      </c>
      <c r="Z94" s="97">
        <f t="shared" si="15"/>
        <v>0</v>
      </c>
      <c r="AA94" s="96"/>
      <c r="AB94" s="97">
        <f t="shared" si="16"/>
        <v>0</v>
      </c>
      <c r="AC94" s="97">
        <f t="shared" si="17"/>
        <v>0</v>
      </c>
      <c r="AD94" s="97">
        <f t="shared" si="18"/>
        <v>0</v>
      </c>
      <c r="AE94" s="96"/>
      <c r="AF94" s="97">
        <f t="shared" si="19"/>
        <v>0</v>
      </c>
      <c r="AG94" s="97">
        <f t="shared" si="20"/>
        <v>0</v>
      </c>
      <c r="AH94" s="97">
        <f t="shared" si="21"/>
        <v>0</v>
      </c>
      <c r="AI94" s="96"/>
      <c r="AJ94" s="97">
        <f t="shared" si="22"/>
        <v>0</v>
      </c>
      <c r="AK94" s="97">
        <f t="shared" si="23"/>
        <v>0</v>
      </c>
      <c r="AL94" s="97">
        <f t="shared" si="24"/>
        <v>0</v>
      </c>
      <c r="AM94" s="96"/>
      <c r="AN94" s="97">
        <f t="shared" si="25"/>
        <v>0</v>
      </c>
      <c r="AO94" s="97">
        <f t="shared" si="26"/>
        <v>0</v>
      </c>
      <c r="AP94" s="97">
        <f t="shared" si="27"/>
        <v>0</v>
      </c>
      <c r="AQ94" s="96"/>
      <c r="AR94" s="97">
        <f t="shared" si="28"/>
        <v>0</v>
      </c>
      <c r="AS94" s="97">
        <f t="shared" si="29"/>
        <v>0</v>
      </c>
      <c r="AT94" s="97">
        <f t="shared" si="30"/>
        <v>0</v>
      </c>
      <c r="AU94" s="96"/>
      <c r="AV94" s="97">
        <f t="shared" si="31"/>
        <v>0</v>
      </c>
      <c r="AW94" s="97">
        <f t="shared" si="32"/>
        <v>0</v>
      </c>
      <c r="AX94" s="97">
        <f t="shared" si="33"/>
        <v>0</v>
      </c>
      <c r="AY94" s="96"/>
      <c r="AZ94" s="65">
        <f t="shared" si="34"/>
        <v>0</v>
      </c>
      <c r="BA94" s="65">
        <f t="shared" si="35"/>
        <v>0</v>
      </c>
      <c r="BB94" s="65">
        <f t="shared" si="36"/>
        <v>0</v>
      </c>
      <c r="BC94" s="96"/>
      <c r="BD94" s="65">
        <f t="shared" si="37"/>
        <v>0</v>
      </c>
      <c r="BE94" s="65">
        <f t="shared" si="38"/>
        <v>0</v>
      </c>
      <c r="BF94" s="65">
        <f t="shared" si="39"/>
        <v>0</v>
      </c>
      <c r="BG94" s="96"/>
      <c r="BH94" s="65">
        <f t="shared" si="40"/>
        <v>0</v>
      </c>
      <c r="BI94" s="65">
        <f t="shared" si="41"/>
        <v>0</v>
      </c>
      <c r="BJ94" s="65">
        <f t="shared" si="42"/>
        <v>0</v>
      </c>
      <c r="BK94" s="96"/>
      <c r="BL94" s="97">
        <f t="shared" si="43"/>
        <v>0</v>
      </c>
      <c r="BM94" s="97">
        <f t="shared" si="44"/>
        <v>0</v>
      </c>
      <c r="BN94" s="97">
        <f t="shared" si="45"/>
        <v>0</v>
      </c>
      <c r="BO94" s="96"/>
      <c r="BP94" s="97">
        <f t="shared" si="46"/>
        <v>0</v>
      </c>
      <c r="BQ94" s="97">
        <f t="shared" si="47"/>
        <v>0</v>
      </c>
      <c r="BR94" s="97">
        <f t="shared" si="48"/>
        <v>0</v>
      </c>
      <c r="BS94" s="96"/>
      <c r="BT94" s="97">
        <f t="shared" si="49"/>
        <v>0</v>
      </c>
      <c r="BU94" s="97">
        <f t="shared" si="50"/>
        <v>0</v>
      </c>
      <c r="BV94" s="97">
        <f t="shared" si="51"/>
        <v>0</v>
      </c>
      <c r="BW94" s="96"/>
      <c r="BX94" s="97">
        <f t="shared" si="52"/>
        <v>0</v>
      </c>
      <c r="BY94" s="97">
        <f t="shared" si="53"/>
        <v>0</v>
      </c>
      <c r="BZ94" s="97">
        <f t="shared" si="54"/>
        <v>0</v>
      </c>
      <c r="CA94" s="96"/>
      <c r="CB94" s="97">
        <f t="shared" si="55"/>
        <v>0</v>
      </c>
      <c r="CC94" s="97">
        <f t="shared" si="56"/>
        <v>0</v>
      </c>
      <c r="CD94" s="97">
        <f t="shared" si="57"/>
        <v>0</v>
      </c>
      <c r="CE94" s="96"/>
      <c r="CF94" s="65">
        <f t="shared" si="58"/>
        <v>0</v>
      </c>
      <c r="CG94" s="65">
        <f t="shared" si="59"/>
        <v>0</v>
      </c>
      <c r="CH94" s="65">
        <f t="shared" si="60"/>
        <v>0</v>
      </c>
      <c r="CI94" s="96"/>
      <c r="CJ94" s="65">
        <f t="shared" si="61"/>
        <v>0</v>
      </c>
      <c r="CK94" s="65">
        <f t="shared" si="62"/>
        <v>0</v>
      </c>
      <c r="CL94" s="65">
        <f t="shared" si="63"/>
        <v>0</v>
      </c>
      <c r="CM94" s="96"/>
      <c r="CN94" s="65">
        <f t="shared" si="64"/>
        <v>0</v>
      </c>
      <c r="CO94" s="65">
        <f t="shared" si="65"/>
        <v>0</v>
      </c>
      <c r="CP94" s="65">
        <f t="shared" si="66"/>
        <v>0</v>
      </c>
      <c r="CQ94" s="96"/>
      <c r="CR94" s="65">
        <f t="shared" si="67"/>
        <v>0</v>
      </c>
      <c r="CS94" s="65">
        <f t="shared" si="68"/>
        <v>0</v>
      </c>
      <c r="CT94" s="65">
        <f t="shared" si="69"/>
        <v>0</v>
      </c>
      <c r="CU94" s="96"/>
      <c r="CV94" s="65">
        <f t="shared" si="70"/>
        <v>0</v>
      </c>
      <c r="CW94" s="65">
        <f t="shared" si="71"/>
        <v>0</v>
      </c>
      <c r="CX94" s="65">
        <f t="shared" si="72"/>
        <v>0</v>
      </c>
      <c r="CY94" s="96"/>
      <c r="CZ94" s="97">
        <f t="shared" si="73"/>
        <v>0</v>
      </c>
      <c r="DA94" s="97">
        <f t="shared" si="74"/>
        <v>0</v>
      </c>
      <c r="DB94" s="97">
        <f t="shared" si="75"/>
        <v>0</v>
      </c>
      <c r="DC94" s="96"/>
      <c r="DD94" s="97">
        <f t="shared" si="76"/>
        <v>0</v>
      </c>
      <c r="DE94" s="97">
        <f t="shared" si="77"/>
        <v>0</v>
      </c>
      <c r="DF94" s="97">
        <f t="shared" si="78"/>
        <v>0</v>
      </c>
      <c r="DG94" s="96"/>
      <c r="DH94" s="97">
        <f t="shared" si="79"/>
        <v>0</v>
      </c>
      <c r="DI94" s="97">
        <f t="shared" si="80"/>
        <v>0</v>
      </c>
      <c r="DJ94" s="97">
        <f t="shared" si="81"/>
        <v>0</v>
      </c>
      <c r="DK94" s="96"/>
      <c r="DL94" s="97">
        <f t="shared" si="82"/>
        <v>0</v>
      </c>
      <c r="DM94" s="97">
        <f t="shared" si="83"/>
        <v>0</v>
      </c>
      <c r="DN94" s="97">
        <f t="shared" si="84"/>
        <v>0</v>
      </c>
      <c r="DO94" s="96"/>
      <c r="DP94" s="97">
        <f t="shared" si="85"/>
        <v>0</v>
      </c>
      <c r="DQ94" s="97">
        <f t="shared" si="86"/>
        <v>0</v>
      </c>
      <c r="DR94" s="97">
        <f t="shared" si="87"/>
        <v>0</v>
      </c>
      <c r="DS94" s="96"/>
      <c r="DT94" s="65">
        <f t="shared" si="88"/>
        <v>0</v>
      </c>
      <c r="DU94" s="65">
        <f t="shared" si="89"/>
        <v>0</v>
      </c>
      <c r="DV94" s="65">
        <f t="shared" si="90"/>
        <v>0</v>
      </c>
      <c r="DW94" s="96"/>
      <c r="DX94" s="65">
        <f t="shared" si="91"/>
        <v>0</v>
      </c>
      <c r="DY94" s="65">
        <f t="shared" si="92"/>
        <v>0</v>
      </c>
      <c r="DZ94" s="65">
        <f t="shared" si="93"/>
        <v>0</v>
      </c>
      <c r="EA94" s="96"/>
      <c r="EB94" s="65">
        <f t="shared" si="94"/>
        <v>0</v>
      </c>
      <c r="EC94" s="65">
        <f t="shared" si="95"/>
        <v>0</v>
      </c>
      <c r="ED94" s="65">
        <f t="shared" si="96"/>
        <v>0</v>
      </c>
    </row>
    <row r="95" spans="1:134" x14ac:dyDescent="0.2">
      <c r="A95" s="71"/>
      <c r="B95" s="96" t="s">
        <v>52</v>
      </c>
      <c r="C95" s="96"/>
      <c r="D95" s="97">
        <f t="shared" si="0"/>
        <v>0</v>
      </c>
      <c r="E95" s="97">
        <f t="shared" si="97"/>
        <v>0</v>
      </c>
      <c r="F95" s="97">
        <f t="shared" si="98"/>
        <v>0</v>
      </c>
      <c r="G95" s="96"/>
      <c r="H95" s="97">
        <f t="shared" si="1"/>
        <v>0</v>
      </c>
      <c r="I95" s="97">
        <f t="shared" si="2"/>
        <v>0</v>
      </c>
      <c r="J95" s="97">
        <f t="shared" si="3"/>
        <v>0</v>
      </c>
      <c r="K95" s="96"/>
      <c r="L95" s="97">
        <f t="shared" si="4"/>
        <v>0</v>
      </c>
      <c r="M95" s="97">
        <f t="shared" si="5"/>
        <v>0</v>
      </c>
      <c r="N95" s="97">
        <f t="shared" si="6"/>
        <v>0</v>
      </c>
      <c r="O95" s="96"/>
      <c r="P95" s="97">
        <f t="shared" si="7"/>
        <v>0</v>
      </c>
      <c r="Q95" s="97">
        <f t="shared" si="8"/>
        <v>0</v>
      </c>
      <c r="R95" s="97">
        <f t="shared" si="9"/>
        <v>0</v>
      </c>
      <c r="S95" s="96"/>
      <c r="T95" s="97">
        <f t="shared" si="10"/>
        <v>0</v>
      </c>
      <c r="U95" s="97">
        <f t="shared" si="11"/>
        <v>0</v>
      </c>
      <c r="V95" s="97">
        <f t="shared" si="12"/>
        <v>0</v>
      </c>
      <c r="W95" s="96"/>
      <c r="X95" s="97">
        <f t="shared" si="13"/>
        <v>0</v>
      </c>
      <c r="Y95" s="97">
        <f t="shared" si="14"/>
        <v>0</v>
      </c>
      <c r="Z95" s="97">
        <f t="shared" si="15"/>
        <v>0</v>
      </c>
      <c r="AA95" s="96"/>
      <c r="AB95" s="97">
        <f t="shared" si="16"/>
        <v>0</v>
      </c>
      <c r="AC95" s="97">
        <f t="shared" si="17"/>
        <v>0</v>
      </c>
      <c r="AD95" s="97">
        <f t="shared" si="18"/>
        <v>0</v>
      </c>
      <c r="AE95" s="96"/>
      <c r="AF95" s="97">
        <f t="shared" si="19"/>
        <v>0</v>
      </c>
      <c r="AG95" s="97">
        <f t="shared" si="20"/>
        <v>0</v>
      </c>
      <c r="AH95" s="97">
        <f t="shared" si="21"/>
        <v>0</v>
      </c>
      <c r="AI95" s="96"/>
      <c r="AJ95" s="97">
        <f t="shared" si="22"/>
        <v>0</v>
      </c>
      <c r="AK95" s="97">
        <f t="shared" si="23"/>
        <v>0</v>
      </c>
      <c r="AL95" s="97">
        <f t="shared" si="24"/>
        <v>0</v>
      </c>
      <c r="AM95" s="96"/>
      <c r="AN95" s="97">
        <f t="shared" si="25"/>
        <v>0</v>
      </c>
      <c r="AO95" s="97">
        <f t="shared" si="26"/>
        <v>0</v>
      </c>
      <c r="AP95" s="97">
        <f t="shared" si="27"/>
        <v>0</v>
      </c>
      <c r="AQ95" s="96"/>
      <c r="AR95" s="97">
        <f t="shared" si="28"/>
        <v>0</v>
      </c>
      <c r="AS95" s="97">
        <f t="shared" si="29"/>
        <v>0</v>
      </c>
      <c r="AT95" s="97">
        <f t="shared" si="30"/>
        <v>0</v>
      </c>
      <c r="AU95" s="96"/>
      <c r="AV95" s="97">
        <f t="shared" si="31"/>
        <v>0</v>
      </c>
      <c r="AW95" s="97">
        <f t="shared" si="32"/>
        <v>0</v>
      </c>
      <c r="AX95" s="97">
        <f t="shared" si="33"/>
        <v>0</v>
      </c>
      <c r="AY95" s="96"/>
      <c r="AZ95" s="65">
        <f t="shared" si="34"/>
        <v>0</v>
      </c>
      <c r="BA95" s="65">
        <f t="shared" si="35"/>
        <v>0</v>
      </c>
      <c r="BB95" s="65">
        <f t="shared" si="36"/>
        <v>0</v>
      </c>
      <c r="BC95" s="96"/>
      <c r="BD95" s="65">
        <f t="shared" si="37"/>
        <v>0</v>
      </c>
      <c r="BE95" s="65">
        <f t="shared" si="38"/>
        <v>0</v>
      </c>
      <c r="BF95" s="65">
        <f t="shared" si="39"/>
        <v>0</v>
      </c>
      <c r="BG95" s="96"/>
      <c r="BH95" s="65">
        <f t="shared" si="40"/>
        <v>0</v>
      </c>
      <c r="BI95" s="65">
        <f t="shared" si="41"/>
        <v>0</v>
      </c>
      <c r="BJ95" s="65">
        <f t="shared" si="42"/>
        <v>0</v>
      </c>
      <c r="BK95" s="96"/>
      <c r="BL95" s="97">
        <f t="shared" si="43"/>
        <v>0</v>
      </c>
      <c r="BM95" s="97">
        <f t="shared" si="44"/>
        <v>0</v>
      </c>
      <c r="BN95" s="97">
        <f t="shared" si="45"/>
        <v>0</v>
      </c>
      <c r="BO95" s="96"/>
      <c r="BP95" s="97">
        <f t="shared" si="46"/>
        <v>0</v>
      </c>
      <c r="BQ95" s="97">
        <f t="shared" si="47"/>
        <v>0</v>
      </c>
      <c r="BR95" s="97">
        <f t="shared" si="48"/>
        <v>0</v>
      </c>
      <c r="BS95" s="96"/>
      <c r="BT95" s="97">
        <f t="shared" si="49"/>
        <v>0</v>
      </c>
      <c r="BU95" s="97">
        <f t="shared" si="50"/>
        <v>0</v>
      </c>
      <c r="BV95" s="97">
        <f t="shared" si="51"/>
        <v>0</v>
      </c>
      <c r="BW95" s="96"/>
      <c r="BX95" s="97">
        <f t="shared" si="52"/>
        <v>0</v>
      </c>
      <c r="BY95" s="97">
        <f t="shared" si="53"/>
        <v>0</v>
      </c>
      <c r="BZ95" s="97">
        <f t="shared" si="54"/>
        <v>0</v>
      </c>
      <c r="CA95" s="96"/>
      <c r="CB95" s="97">
        <f t="shared" si="55"/>
        <v>0</v>
      </c>
      <c r="CC95" s="97">
        <f t="shared" si="56"/>
        <v>0</v>
      </c>
      <c r="CD95" s="97">
        <f t="shared" si="57"/>
        <v>0</v>
      </c>
      <c r="CE95" s="96"/>
      <c r="CF95" s="65">
        <f t="shared" si="58"/>
        <v>0</v>
      </c>
      <c r="CG95" s="65">
        <f t="shared" si="59"/>
        <v>0</v>
      </c>
      <c r="CH95" s="65">
        <f t="shared" si="60"/>
        <v>0</v>
      </c>
      <c r="CI95" s="96"/>
      <c r="CJ95" s="65">
        <f t="shared" si="61"/>
        <v>0</v>
      </c>
      <c r="CK95" s="65">
        <f t="shared" si="62"/>
        <v>0</v>
      </c>
      <c r="CL95" s="65">
        <f t="shared" si="63"/>
        <v>0</v>
      </c>
      <c r="CM95" s="96"/>
      <c r="CN95" s="65">
        <f t="shared" si="64"/>
        <v>0</v>
      </c>
      <c r="CO95" s="65">
        <f t="shared" si="65"/>
        <v>0</v>
      </c>
      <c r="CP95" s="65">
        <f t="shared" si="66"/>
        <v>0</v>
      </c>
      <c r="CQ95" s="96"/>
      <c r="CR95" s="65">
        <f t="shared" si="67"/>
        <v>0</v>
      </c>
      <c r="CS95" s="65">
        <f t="shared" si="68"/>
        <v>0</v>
      </c>
      <c r="CT95" s="65">
        <f t="shared" si="69"/>
        <v>0</v>
      </c>
      <c r="CU95" s="96"/>
      <c r="CV95" s="65">
        <f t="shared" si="70"/>
        <v>0</v>
      </c>
      <c r="CW95" s="65">
        <f t="shared" si="71"/>
        <v>0</v>
      </c>
      <c r="CX95" s="65">
        <f t="shared" si="72"/>
        <v>0</v>
      </c>
      <c r="CY95" s="96"/>
      <c r="CZ95" s="97">
        <f t="shared" si="73"/>
        <v>0</v>
      </c>
      <c r="DA95" s="97">
        <f t="shared" si="74"/>
        <v>0</v>
      </c>
      <c r="DB95" s="97">
        <f t="shared" si="75"/>
        <v>0</v>
      </c>
      <c r="DC95" s="96"/>
      <c r="DD95" s="97">
        <f t="shared" si="76"/>
        <v>0</v>
      </c>
      <c r="DE95" s="97">
        <f t="shared" si="77"/>
        <v>0</v>
      </c>
      <c r="DF95" s="97">
        <f t="shared" si="78"/>
        <v>0</v>
      </c>
      <c r="DG95" s="96"/>
      <c r="DH95" s="97">
        <f t="shared" si="79"/>
        <v>0</v>
      </c>
      <c r="DI95" s="97">
        <f t="shared" si="80"/>
        <v>0</v>
      </c>
      <c r="DJ95" s="97">
        <f t="shared" si="81"/>
        <v>0</v>
      </c>
      <c r="DK95" s="96"/>
      <c r="DL95" s="97">
        <f t="shared" si="82"/>
        <v>0</v>
      </c>
      <c r="DM95" s="97">
        <f t="shared" si="83"/>
        <v>0</v>
      </c>
      <c r="DN95" s="97">
        <f t="shared" si="84"/>
        <v>0</v>
      </c>
      <c r="DO95" s="96"/>
      <c r="DP95" s="97">
        <f t="shared" si="85"/>
        <v>0</v>
      </c>
      <c r="DQ95" s="97">
        <f t="shared" si="86"/>
        <v>0</v>
      </c>
      <c r="DR95" s="97">
        <f t="shared" si="87"/>
        <v>0</v>
      </c>
      <c r="DS95" s="96"/>
      <c r="DT95" s="65">
        <f t="shared" si="88"/>
        <v>0</v>
      </c>
      <c r="DU95" s="65">
        <f t="shared" si="89"/>
        <v>0</v>
      </c>
      <c r="DV95" s="65">
        <f t="shared" si="90"/>
        <v>0</v>
      </c>
      <c r="DW95" s="96"/>
      <c r="DX95" s="65">
        <f t="shared" si="91"/>
        <v>0</v>
      </c>
      <c r="DY95" s="65">
        <f t="shared" si="92"/>
        <v>0</v>
      </c>
      <c r="DZ95" s="65">
        <f t="shared" si="93"/>
        <v>0</v>
      </c>
      <c r="EA95" s="96"/>
      <c r="EB95" s="65">
        <f t="shared" si="94"/>
        <v>0</v>
      </c>
      <c r="EC95" s="65">
        <f t="shared" si="95"/>
        <v>0</v>
      </c>
      <c r="ED95" s="65">
        <f t="shared" si="96"/>
        <v>0</v>
      </c>
    </row>
    <row r="96" spans="1:134" x14ac:dyDescent="0.2">
      <c r="A96" s="71"/>
      <c r="B96" s="96" t="s">
        <v>52</v>
      </c>
      <c r="C96" s="96"/>
      <c r="D96" s="97">
        <f t="shared" si="0"/>
        <v>0</v>
      </c>
      <c r="E96" s="97">
        <f t="shared" si="97"/>
        <v>0</v>
      </c>
      <c r="F96" s="97">
        <f t="shared" si="98"/>
        <v>0</v>
      </c>
      <c r="G96" s="96"/>
      <c r="H96" s="97">
        <f t="shared" si="1"/>
        <v>0</v>
      </c>
      <c r="I96" s="97">
        <f t="shared" si="2"/>
        <v>0</v>
      </c>
      <c r="J96" s="97">
        <f t="shared" si="3"/>
        <v>0</v>
      </c>
      <c r="K96" s="96"/>
      <c r="L96" s="97">
        <f t="shared" si="4"/>
        <v>0</v>
      </c>
      <c r="M96" s="97">
        <f t="shared" si="5"/>
        <v>0</v>
      </c>
      <c r="N96" s="97">
        <f t="shared" si="6"/>
        <v>0</v>
      </c>
      <c r="O96" s="96"/>
      <c r="P96" s="97">
        <f t="shared" si="7"/>
        <v>0</v>
      </c>
      <c r="Q96" s="97">
        <f t="shared" si="8"/>
        <v>0</v>
      </c>
      <c r="R96" s="97">
        <f t="shared" si="9"/>
        <v>0</v>
      </c>
      <c r="S96" s="96"/>
      <c r="T96" s="97">
        <f t="shared" si="10"/>
        <v>0</v>
      </c>
      <c r="U96" s="97">
        <f t="shared" si="11"/>
        <v>0</v>
      </c>
      <c r="V96" s="97">
        <f t="shared" si="12"/>
        <v>0</v>
      </c>
      <c r="W96" s="96"/>
      <c r="X96" s="97">
        <f t="shared" si="13"/>
        <v>0</v>
      </c>
      <c r="Y96" s="97">
        <f t="shared" si="14"/>
        <v>0</v>
      </c>
      <c r="Z96" s="97">
        <f t="shared" si="15"/>
        <v>0</v>
      </c>
      <c r="AA96" s="96"/>
      <c r="AB96" s="97">
        <f t="shared" si="16"/>
        <v>0</v>
      </c>
      <c r="AC96" s="97">
        <f t="shared" si="17"/>
        <v>0</v>
      </c>
      <c r="AD96" s="97">
        <f t="shared" si="18"/>
        <v>0</v>
      </c>
      <c r="AE96" s="96"/>
      <c r="AF96" s="97">
        <f t="shared" si="19"/>
        <v>0</v>
      </c>
      <c r="AG96" s="97">
        <f t="shared" si="20"/>
        <v>0</v>
      </c>
      <c r="AH96" s="97">
        <f t="shared" si="21"/>
        <v>0</v>
      </c>
      <c r="AI96" s="96"/>
      <c r="AJ96" s="97">
        <f t="shared" si="22"/>
        <v>0</v>
      </c>
      <c r="AK96" s="97">
        <f t="shared" si="23"/>
        <v>0</v>
      </c>
      <c r="AL96" s="97">
        <f t="shared" si="24"/>
        <v>0</v>
      </c>
      <c r="AM96" s="96"/>
      <c r="AN96" s="97">
        <f t="shared" si="25"/>
        <v>0</v>
      </c>
      <c r="AO96" s="97">
        <f t="shared" si="26"/>
        <v>0</v>
      </c>
      <c r="AP96" s="97">
        <f t="shared" si="27"/>
        <v>0</v>
      </c>
      <c r="AQ96" s="96"/>
      <c r="AR96" s="97">
        <f t="shared" si="28"/>
        <v>0</v>
      </c>
      <c r="AS96" s="97">
        <f t="shared" si="29"/>
        <v>0</v>
      </c>
      <c r="AT96" s="97">
        <f t="shared" si="30"/>
        <v>0</v>
      </c>
      <c r="AU96" s="96"/>
      <c r="AV96" s="97">
        <f t="shared" si="31"/>
        <v>0</v>
      </c>
      <c r="AW96" s="97">
        <f t="shared" si="32"/>
        <v>0</v>
      </c>
      <c r="AX96" s="97">
        <f t="shared" si="33"/>
        <v>0</v>
      </c>
      <c r="AY96" s="96"/>
      <c r="AZ96" s="65">
        <f t="shared" si="34"/>
        <v>0</v>
      </c>
      <c r="BA96" s="65">
        <f t="shared" si="35"/>
        <v>0</v>
      </c>
      <c r="BB96" s="65">
        <f t="shared" si="36"/>
        <v>0</v>
      </c>
      <c r="BC96" s="96"/>
      <c r="BD96" s="65">
        <f t="shared" si="37"/>
        <v>0</v>
      </c>
      <c r="BE96" s="65">
        <f t="shared" si="38"/>
        <v>0</v>
      </c>
      <c r="BF96" s="65">
        <f t="shared" si="39"/>
        <v>0</v>
      </c>
      <c r="BG96" s="96"/>
      <c r="BH96" s="65">
        <f t="shared" si="40"/>
        <v>0</v>
      </c>
      <c r="BI96" s="65">
        <f t="shared" si="41"/>
        <v>0</v>
      </c>
      <c r="BJ96" s="65">
        <f t="shared" si="42"/>
        <v>0</v>
      </c>
      <c r="BK96" s="96"/>
      <c r="BL96" s="97">
        <f t="shared" si="43"/>
        <v>0</v>
      </c>
      <c r="BM96" s="97">
        <f t="shared" si="44"/>
        <v>0</v>
      </c>
      <c r="BN96" s="97">
        <f t="shared" si="45"/>
        <v>0</v>
      </c>
      <c r="BO96" s="96"/>
      <c r="BP96" s="97">
        <f t="shared" si="46"/>
        <v>0</v>
      </c>
      <c r="BQ96" s="97">
        <f t="shared" si="47"/>
        <v>0</v>
      </c>
      <c r="BR96" s="97">
        <f t="shared" si="48"/>
        <v>0</v>
      </c>
      <c r="BS96" s="96"/>
      <c r="BT96" s="97">
        <f t="shared" si="49"/>
        <v>0</v>
      </c>
      <c r="BU96" s="97">
        <f t="shared" si="50"/>
        <v>0</v>
      </c>
      <c r="BV96" s="97">
        <f t="shared" si="51"/>
        <v>0</v>
      </c>
      <c r="BW96" s="96"/>
      <c r="BX96" s="97">
        <f t="shared" si="52"/>
        <v>0</v>
      </c>
      <c r="BY96" s="97">
        <f t="shared" si="53"/>
        <v>0</v>
      </c>
      <c r="BZ96" s="97">
        <f t="shared" si="54"/>
        <v>0</v>
      </c>
      <c r="CA96" s="96"/>
      <c r="CB96" s="97">
        <f t="shared" si="55"/>
        <v>0</v>
      </c>
      <c r="CC96" s="97">
        <f t="shared" si="56"/>
        <v>0</v>
      </c>
      <c r="CD96" s="97">
        <f t="shared" si="57"/>
        <v>0</v>
      </c>
      <c r="CE96" s="96"/>
      <c r="CF96" s="65">
        <f t="shared" si="58"/>
        <v>0</v>
      </c>
      <c r="CG96" s="65">
        <f t="shared" si="59"/>
        <v>0</v>
      </c>
      <c r="CH96" s="65">
        <f t="shared" si="60"/>
        <v>0</v>
      </c>
      <c r="CI96" s="96"/>
      <c r="CJ96" s="65">
        <f t="shared" si="61"/>
        <v>0</v>
      </c>
      <c r="CK96" s="65">
        <f t="shared" si="62"/>
        <v>0</v>
      </c>
      <c r="CL96" s="65">
        <f t="shared" si="63"/>
        <v>0</v>
      </c>
      <c r="CM96" s="96"/>
      <c r="CN96" s="65">
        <f t="shared" si="64"/>
        <v>0</v>
      </c>
      <c r="CO96" s="65">
        <f t="shared" si="65"/>
        <v>0</v>
      </c>
      <c r="CP96" s="65">
        <f t="shared" si="66"/>
        <v>0</v>
      </c>
      <c r="CQ96" s="96"/>
      <c r="CR96" s="65">
        <f t="shared" si="67"/>
        <v>0</v>
      </c>
      <c r="CS96" s="65">
        <f t="shared" si="68"/>
        <v>0</v>
      </c>
      <c r="CT96" s="65">
        <f t="shared" si="69"/>
        <v>0</v>
      </c>
      <c r="CU96" s="96"/>
      <c r="CV96" s="65">
        <f t="shared" si="70"/>
        <v>0</v>
      </c>
      <c r="CW96" s="65">
        <f t="shared" si="71"/>
        <v>0</v>
      </c>
      <c r="CX96" s="65">
        <f t="shared" si="72"/>
        <v>0</v>
      </c>
      <c r="CY96" s="96"/>
      <c r="CZ96" s="97">
        <f t="shared" si="73"/>
        <v>0</v>
      </c>
      <c r="DA96" s="97">
        <f t="shared" si="74"/>
        <v>0</v>
      </c>
      <c r="DB96" s="97">
        <f t="shared" si="75"/>
        <v>0</v>
      </c>
      <c r="DC96" s="96"/>
      <c r="DD96" s="97">
        <f t="shared" si="76"/>
        <v>0</v>
      </c>
      <c r="DE96" s="97">
        <f t="shared" si="77"/>
        <v>0</v>
      </c>
      <c r="DF96" s="97">
        <f t="shared" si="78"/>
        <v>0</v>
      </c>
      <c r="DG96" s="96"/>
      <c r="DH96" s="97">
        <f t="shared" si="79"/>
        <v>0</v>
      </c>
      <c r="DI96" s="97">
        <f t="shared" si="80"/>
        <v>0</v>
      </c>
      <c r="DJ96" s="97">
        <f t="shared" si="81"/>
        <v>0</v>
      </c>
      <c r="DK96" s="96"/>
      <c r="DL96" s="97">
        <f t="shared" si="82"/>
        <v>0</v>
      </c>
      <c r="DM96" s="97">
        <f t="shared" si="83"/>
        <v>0</v>
      </c>
      <c r="DN96" s="97">
        <f t="shared" si="84"/>
        <v>0</v>
      </c>
      <c r="DO96" s="96"/>
      <c r="DP96" s="97">
        <f t="shared" si="85"/>
        <v>0</v>
      </c>
      <c r="DQ96" s="97">
        <f t="shared" si="86"/>
        <v>0</v>
      </c>
      <c r="DR96" s="97">
        <f t="shared" si="87"/>
        <v>0</v>
      </c>
      <c r="DS96" s="96"/>
      <c r="DT96" s="65">
        <f t="shared" si="88"/>
        <v>0</v>
      </c>
      <c r="DU96" s="65">
        <f t="shared" si="89"/>
        <v>0</v>
      </c>
      <c r="DV96" s="65">
        <f t="shared" si="90"/>
        <v>0</v>
      </c>
      <c r="DW96" s="96"/>
      <c r="DX96" s="65">
        <f t="shared" si="91"/>
        <v>0</v>
      </c>
      <c r="DY96" s="65">
        <f t="shared" si="92"/>
        <v>0</v>
      </c>
      <c r="DZ96" s="65">
        <f t="shared" si="93"/>
        <v>0</v>
      </c>
      <c r="EA96" s="96"/>
      <c r="EB96" s="65">
        <f t="shared" si="94"/>
        <v>0</v>
      </c>
      <c r="EC96" s="65">
        <f t="shared" si="95"/>
        <v>0</v>
      </c>
      <c r="ED96" s="65">
        <f t="shared" si="96"/>
        <v>0</v>
      </c>
    </row>
    <row r="97" spans="2:131" x14ac:dyDescent="0.2">
      <c r="B97" s="75"/>
      <c r="C97" s="75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BC97" s="75"/>
      <c r="BG97" s="75"/>
      <c r="BK97" s="75"/>
      <c r="BL97" s="75"/>
      <c r="BM97" s="75"/>
      <c r="BN97" s="75"/>
      <c r="BO97" s="75"/>
      <c r="BP97" s="75"/>
      <c r="BQ97" s="75"/>
      <c r="BR97" s="75"/>
      <c r="BS97" s="75"/>
      <c r="BT97" s="75"/>
      <c r="BU97" s="75"/>
      <c r="BV97" s="75"/>
      <c r="BW97" s="75"/>
      <c r="BX97" s="75"/>
      <c r="BY97" s="75"/>
      <c r="BZ97" s="75"/>
      <c r="CA97" s="75"/>
      <c r="CB97" s="75"/>
      <c r="CC97" s="75"/>
      <c r="CD97" s="75"/>
      <c r="CE97" s="75"/>
      <c r="CI97" s="75"/>
      <c r="CM97" s="75"/>
      <c r="CQ97" s="75"/>
      <c r="CU97" s="75"/>
      <c r="CY97" s="75"/>
      <c r="CZ97" s="75"/>
      <c r="DA97" s="75"/>
      <c r="DB97" s="75"/>
      <c r="DC97" s="75"/>
      <c r="DD97" s="75"/>
      <c r="DE97" s="75"/>
      <c r="DF97" s="75"/>
      <c r="DG97" s="75"/>
      <c r="DH97" s="75"/>
      <c r="DI97" s="75"/>
      <c r="DJ97" s="75"/>
      <c r="DK97" s="75"/>
      <c r="DL97" s="75"/>
      <c r="DM97" s="75"/>
      <c r="DN97" s="75"/>
      <c r="DO97" s="75"/>
      <c r="DP97" s="75"/>
      <c r="DQ97" s="75"/>
      <c r="DR97" s="75"/>
      <c r="DS97" s="75"/>
      <c r="DW97" s="75"/>
      <c r="EA97" s="75"/>
    </row>
    <row r="98" spans="2:131" x14ac:dyDescent="0.2">
      <c r="B98" s="75"/>
      <c r="C98" s="75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BC98" s="75"/>
      <c r="BG98" s="75"/>
      <c r="BK98" s="75"/>
      <c r="BL98" s="75"/>
      <c r="BM98" s="75"/>
      <c r="BN98" s="75"/>
      <c r="BO98" s="75"/>
      <c r="BP98" s="75"/>
      <c r="BQ98" s="75"/>
      <c r="BR98" s="75"/>
      <c r="BS98" s="75"/>
      <c r="BT98" s="75"/>
      <c r="BU98" s="75"/>
      <c r="BV98" s="75"/>
      <c r="BW98" s="75"/>
      <c r="BX98" s="75"/>
      <c r="BY98" s="75"/>
      <c r="BZ98" s="75"/>
      <c r="CA98" s="75"/>
      <c r="CB98" s="75"/>
      <c r="CC98" s="75"/>
      <c r="CD98" s="75"/>
      <c r="CE98" s="75"/>
      <c r="CI98" s="75"/>
      <c r="CM98" s="75"/>
      <c r="CQ98" s="75"/>
      <c r="CU98" s="75"/>
      <c r="CY98" s="75"/>
      <c r="CZ98" s="75"/>
      <c r="DA98" s="75"/>
      <c r="DB98" s="75"/>
      <c r="DC98" s="75"/>
      <c r="DD98" s="75"/>
      <c r="DE98" s="75"/>
      <c r="DF98" s="75"/>
      <c r="DG98" s="75"/>
      <c r="DH98" s="75"/>
      <c r="DI98" s="75"/>
      <c r="DJ98" s="75"/>
      <c r="DK98" s="75"/>
      <c r="DL98" s="75"/>
      <c r="DM98" s="75"/>
      <c r="DN98" s="75"/>
      <c r="DO98" s="75"/>
      <c r="DP98" s="75"/>
      <c r="DQ98" s="75"/>
      <c r="DR98" s="75"/>
      <c r="DS98" s="75"/>
      <c r="DW98" s="75"/>
      <c r="EA98" s="75"/>
    </row>
    <row r="99" spans="2:131" x14ac:dyDescent="0.2">
      <c r="B99" s="75"/>
      <c r="C99" s="75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BC99" s="75"/>
      <c r="BG99" s="75"/>
      <c r="BK99" s="75"/>
      <c r="BL99" s="75"/>
      <c r="BM99" s="75"/>
      <c r="BN99" s="75"/>
      <c r="BO99" s="75"/>
      <c r="BP99" s="75"/>
      <c r="BQ99" s="75"/>
      <c r="BR99" s="75"/>
      <c r="BS99" s="75"/>
      <c r="BT99" s="75"/>
      <c r="BU99" s="75"/>
      <c r="BV99" s="75"/>
      <c r="BW99" s="75"/>
      <c r="BX99" s="75"/>
      <c r="BY99" s="75"/>
      <c r="BZ99" s="75"/>
      <c r="CA99" s="75"/>
      <c r="CB99" s="75"/>
      <c r="CC99" s="75"/>
      <c r="CD99" s="75"/>
      <c r="CE99" s="75"/>
      <c r="CI99" s="75"/>
      <c r="CM99" s="75"/>
      <c r="CQ99" s="75"/>
      <c r="CU99" s="75"/>
      <c r="CY99" s="75"/>
      <c r="CZ99" s="75"/>
      <c r="DA99" s="75"/>
      <c r="DB99" s="75"/>
      <c r="DC99" s="75"/>
      <c r="DD99" s="75"/>
      <c r="DE99" s="75"/>
      <c r="DF99" s="75"/>
      <c r="DG99" s="75"/>
      <c r="DH99" s="75"/>
      <c r="DI99" s="75"/>
      <c r="DJ99" s="75"/>
      <c r="DK99" s="75"/>
      <c r="DL99" s="75"/>
      <c r="DM99" s="75"/>
      <c r="DN99" s="75"/>
      <c r="DO99" s="75"/>
      <c r="DP99" s="75"/>
      <c r="DQ99" s="75"/>
      <c r="DR99" s="75"/>
      <c r="DS99" s="75"/>
      <c r="DW99" s="75"/>
      <c r="EA99" s="75"/>
    </row>
    <row r="100" spans="2:131" x14ac:dyDescent="0.2">
      <c r="B100" s="75"/>
      <c r="C100" s="75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BC100" s="75"/>
      <c r="BG100" s="75"/>
      <c r="BK100" s="75"/>
      <c r="BL100" s="75"/>
      <c r="BM100" s="75"/>
      <c r="BN100" s="75"/>
      <c r="BO100" s="75"/>
      <c r="BP100" s="75"/>
      <c r="BQ100" s="75"/>
      <c r="BR100" s="75"/>
      <c r="BS100" s="75"/>
      <c r="BT100" s="75"/>
      <c r="BU100" s="75"/>
      <c r="BV100" s="75"/>
      <c r="BW100" s="75"/>
      <c r="BX100" s="75"/>
      <c r="BY100" s="75"/>
      <c r="BZ100" s="75"/>
      <c r="CA100" s="75"/>
      <c r="CB100" s="75"/>
      <c r="CC100" s="75"/>
      <c r="CD100" s="75"/>
      <c r="CE100" s="75"/>
      <c r="CI100" s="75"/>
      <c r="CM100" s="75"/>
      <c r="CQ100" s="75"/>
      <c r="CU100" s="75"/>
      <c r="CY100" s="75"/>
      <c r="CZ100" s="75"/>
      <c r="DA100" s="75"/>
      <c r="DB100" s="75"/>
      <c r="DC100" s="75"/>
      <c r="DD100" s="75"/>
      <c r="DE100" s="75"/>
      <c r="DF100" s="75"/>
      <c r="DG100" s="75"/>
      <c r="DH100" s="75"/>
      <c r="DI100" s="75"/>
      <c r="DJ100" s="75"/>
      <c r="DK100" s="75"/>
      <c r="DL100" s="75"/>
      <c r="DM100" s="75"/>
      <c r="DN100" s="75"/>
      <c r="DO100" s="75"/>
      <c r="DP100" s="75"/>
      <c r="DQ100" s="75"/>
      <c r="DR100" s="75"/>
      <c r="DS100" s="75"/>
      <c r="DW100" s="75"/>
      <c r="EA100" s="75"/>
    </row>
    <row r="101" spans="2:131" x14ac:dyDescent="0.2">
      <c r="B101" s="75"/>
      <c r="C101" s="75"/>
      <c r="D101" s="75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BC101" s="75"/>
      <c r="BG101" s="75"/>
      <c r="BK101" s="75"/>
      <c r="BL101" s="75"/>
      <c r="BM101" s="75"/>
      <c r="BN101" s="75"/>
      <c r="BO101" s="75"/>
      <c r="BP101" s="75"/>
      <c r="BQ101" s="75"/>
      <c r="BR101" s="75"/>
      <c r="BS101" s="75"/>
      <c r="BT101" s="75"/>
      <c r="BU101" s="75"/>
      <c r="BV101" s="75"/>
      <c r="BW101" s="75"/>
      <c r="BX101" s="75"/>
      <c r="BY101" s="75"/>
      <c r="BZ101" s="75"/>
      <c r="CA101" s="75"/>
      <c r="CB101" s="75"/>
      <c r="CC101" s="75"/>
      <c r="CD101" s="75"/>
      <c r="CE101" s="75"/>
      <c r="CI101" s="75"/>
      <c r="CM101" s="75"/>
      <c r="CQ101" s="75"/>
      <c r="CU101" s="75"/>
      <c r="CY101" s="75"/>
      <c r="CZ101" s="75"/>
      <c r="DA101" s="75"/>
      <c r="DB101" s="75"/>
      <c r="DC101" s="75"/>
      <c r="DD101" s="75"/>
      <c r="DE101" s="75"/>
      <c r="DF101" s="75"/>
      <c r="DG101" s="75"/>
      <c r="DH101" s="75"/>
      <c r="DI101" s="75"/>
      <c r="DJ101" s="75"/>
      <c r="DK101" s="75"/>
      <c r="DL101" s="75"/>
      <c r="DM101" s="75"/>
      <c r="DN101" s="75"/>
      <c r="DO101" s="75"/>
      <c r="DP101" s="75"/>
      <c r="DQ101" s="75"/>
      <c r="DR101" s="75"/>
      <c r="DS101" s="75"/>
      <c r="DW101" s="75"/>
      <c r="EA101" s="75"/>
    </row>
    <row r="102" spans="2:131" x14ac:dyDescent="0.2">
      <c r="B102" s="75"/>
      <c r="C102" s="75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BC102" s="75"/>
      <c r="BG102" s="75"/>
      <c r="BK102" s="75"/>
      <c r="BL102" s="75"/>
      <c r="BM102" s="75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5"/>
      <c r="BY102" s="75"/>
      <c r="BZ102" s="75"/>
      <c r="CA102" s="75"/>
      <c r="CB102" s="75"/>
      <c r="CC102" s="75"/>
      <c r="CD102" s="75"/>
      <c r="CE102" s="75"/>
      <c r="CI102" s="75"/>
      <c r="CM102" s="75"/>
      <c r="CQ102" s="75"/>
      <c r="CU102" s="75"/>
      <c r="CY102" s="75"/>
      <c r="CZ102" s="75"/>
      <c r="DA102" s="75"/>
      <c r="DB102" s="75"/>
      <c r="DC102" s="75"/>
      <c r="DD102" s="75"/>
      <c r="DE102" s="75"/>
      <c r="DF102" s="75"/>
      <c r="DG102" s="75"/>
      <c r="DH102" s="75"/>
      <c r="DI102" s="75"/>
      <c r="DJ102" s="75"/>
      <c r="DK102" s="75"/>
      <c r="DL102" s="75"/>
      <c r="DM102" s="75"/>
      <c r="DN102" s="75"/>
      <c r="DO102" s="75"/>
      <c r="DP102" s="75"/>
      <c r="DQ102" s="75"/>
      <c r="DR102" s="75"/>
      <c r="DS102" s="75"/>
      <c r="DW102" s="75"/>
      <c r="EA102" s="75"/>
    </row>
  </sheetData>
  <sheetProtection password="D974" sheet="1" objects="1" scenarios="1"/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Complexidade!$A$1:$A$3</xm:f>
          </x14:formula1>
          <xm:sqref>B38:B96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 enableFormatConditionsCalculation="0"/>
  <dimension ref="A1:AD82"/>
  <sheetViews>
    <sheetView topLeftCell="A2" zoomScale="70" zoomScaleNormal="70" zoomScalePageLayoutView="70" workbookViewId="0">
      <pane ySplit="1" topLeftCell="A66" activePane="bottomLeft" state="frozen"/>
      <selection activeCell="A2" sqref="A2"/>
      <selection pane="bottomLeft" activeCell="Y75" sqref="Y75"/>
    </sheetView>
  </sheetViews>
  <sheetFormatPr baseColWidth="10" defaultColWidth="8.83203125" defaultRowHeight="15" x14ac:dyDescent="0.2"/>
  <cols>
    <col min="1" max="6" width="3.6640625" bestFit="1" customWidth="1"/>
    <col min="7" max="10" width="3.6640625" style="107" bestFit="1" customWidth="1"/>
    <col min="11" max="18" width="3.6640625" bestFit="1" customWidth="1"/>
    <col min="19" max="23" width="4.5" bestFit="1" customWidth="1"/>
    <col min="24" max="24" width="17.6640625" bestFit="1" customWidth="1"/>
    <col min="25" max="25" width="64.5" customWidth="1"/>
    <col min="26" max="26" width="21" bestFit="1" customWidth="1"/>
    <col min="27" max="27" width="7.5" customWidth="1"/>
    <col min="28" max="28" width="7.6640625" customWidth="1"/>
    <col min="29" max="29" width="7.33203125" customWidth="1"/>
    <col min="30" max="30" width="11.5" customWidth="1"/>
  </cols>
  <sheetData>
    <row r="1" spans="1:30" hidden="1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 s="107">
        <v>7</v>
      </c>
      <c r="H1" s="107">
        <v>8</v>
      </c>
      <c r="I1" s="107">
        <v>9</v>
      </c>
      <c r="J1" s="107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</row>
    <row r="2" spans="1:30" ht="409" x14ac:dyDescent="0.2">
      <c r="A2" s="15" t="s">
        <v>33</v>
      </c>
      <c r="B2" s="15" t="s">
        <v>34</v>
      </c>
      <c r="C2" s="15" t="s">
        <v>35</v>
      </c>
      <c r="D2" s="15" t="s">
        <v>36</v>
      </c>
      <c r="E2" s="15" t="s">
        <v>37</v>
      </c>
      <c r="F2" s="15" t="s">
        <v>38</v>
      </c>
      <c r="G2" s="108" t="s">
        <v>47</v>
      </c>
      <c r="H2" s="108" t="s">
        <v>48</v>
      </c>
      <c r="I2" s="108" t="s">
        <v>49</v>
      </c>
      <c r="J2" s="108" t="s">
        <v>50</v>
      </c>
      <c r="K2" s="15" t="s">
        <v>39</v>
      </c>
      <c r="L2" s="15" t="s">
        <v>40</v>
      </c>
      <c r="M2" s="15" t="s">
        <v>41</v>
      </c>
      <c r="N2" s="15" t="s">
        <v>42</v>
      </c>
      <c r="O2" s="15" t="s">
        <v>43</v>
      </c>
      <c r="P2" s="15" t="s">
        <v>44</v>
      </c>
      <c r="Q2" s="15" t="s">
        <v>45</v>
      </c>
      <c r="R2" s="15" t="s">
        <v>46</v>
      </c>
      <c r="S2" s="15" t="s">
        <v>140</v>
      </c>
      <c r="T2" s="15" t="s">
        <v>141</v>
      </c>
      <c r="U2" s="15" t="s">
        <v>137</v>
      </c>
      <c r="V2" s="15" t="s">
        <v>138</v>
      </c>
      <c r="W2" s="15" t="s">
        <v>147</v>
      </c>
      <c r="X2" t="s">
        <v>30</v>
      </c>
      <c r="Y2" t="s">
        <v>0</v>
      </c>
      <c r="Z2" t="s">
        <v>31</v>
      </c>
      <c r="AA2" t="s">
        <v>1</v>
      </c>
      <c r="AB2" t="s">
        <v>2</v>
      </c>
      <c r="AC2" t="s">
        <v>3</v>
      </c>
      <c r="AD2" t="s">
        <v>58</v>
      </c>
    </row>
    <row r="3" spans="1:30" x14ac:dyDescent="0.2">
      <c r="A3">
        <f t="shared" ref="A3:T3" si="0">A$1</f>
        <v>1</v>
      </c>
      <c r="B3">
        <f t="shared" si="0"/>
        <v>2</v>
      </c>
      <c r="C3">
        <f t="shared" si="0"/>
        <v>3</v>
      </c>
      <c r="D3">
        <f t="shared" si="0"/>
        <v>4</v>
      </c>
      <c r="E3">
        <f t="shared" si="0"/>
        <v>5</v>
      </c>
      <c r="F3">
        <f t="shared" si="0"/>
        <v>6</v>
      </c>
      <c r="G3" s="107">
        <f t="shared" si="0"/>
        <v>7</v>
      </c>
      <c r="H3" s="107">
        <f t="shared" si="0"/>
        <v>8</v>
      </c>
      <c r="I3" s="107">
        <f t="shared" si="0"/>
        <v>9</v>
      </c>
      <c r="J3" s="107">
        <f t="shared" si="0"/>
        <v>10</v>
      </c>
      <c r="K3">
        <f t="shared" si="0"/>
        <v>11</v>
      </c>
      <c r="L3">
        <f t="shared" si="0"/>
        <v>12</v>
      </c>
      <c r="M3">
        <f t="shared" si="0"/>
        <v>13</v>
      </c>
      <c r="N3">
        <f t="shared" si="0"/>
        <v>14</v>
      </c>
      <c r="O3">
        <f t="shared" si="0"/>
        <v>15</v>
      </c>
      <c r="P3">
        <f t="shared" si="0"/>
        <v>16</v>
      </c>
      <c r="Q3">
        <f t="shared" si="0"/>
        <v>17</v>
      </c>
      <c r="R3">
        <f t="shared" si="0"/>
        <v>18</v>
      </c>
      <c r="S3" s="107">
        <f t="shared" si="0"/>
        <v>19</v>
      </c>
      <c r="T3" s="107">
        <f t="shared" si="0"/>
        <v>20</v>
      </c>
      <c r="U3" s="107"/>
      <c r="V3" s="107">
        <f t="shared" ref="V3:W51" si="1">V$1</f>
        <v>22</v>
      </c>
      <c r="W3" s="107">
        <f t="shared" si="1"/>
        <v>23</v>
      </c>
      <c r="X3" t="str">
        <f>'Catalogo de Item de Serviço'!B4</f>
        <v>Capacitação</v>
      </c>
      <c r="Y3" t="str">
        <f>'Catalogo de Item de Serviço'!C4</f>
        <v>Treinamento Funcional Fluig Plataforma</v>
      </c>
      <c r="Z3" t="str">
        <f>'Catalogo de Item de Serviço'!D4</f>
        <v>Por turna</v>
      </c>
      <c r="AA3">
        <f>'Catalogo de Item de Serviço'!F4</f>
        <v>48</v>
      </c>
      <c r="AB3">
        <f>'Catalogo de Item de Serviço'!G4</f>
        <v>48</v>
      </c>
      <c r="AC3">
        <f>'Catalogo de Item de Serviço'!H4</f>
        <v>48</v>
      </c>
      <c r="AD3">
        <f>'Catalogo de Item de Serviço'!I4</f>
        <v>137</v>
      </c>
    </row>
    <row r="4" spans="1:30" x14ac:dyDescent="0.2">
      <c r="E4">
        <f t="shared" ref="E4:U7" si="2">E$1</f>
        <v>5</v>
      </c>
      <c r="F4">
        <f t="shared" si="2"/>
        <v>6</v>
      </c>
      <c r="G4" s="107">
        <f t="shared" si="2"/>
        <v>7</v>
      </c>
      <c r="H4" s="107">
        <f t="shared" si="2"/>
        <v>8</v>
      </c>
      <c r="I4" s="107">
        <f t="shared" si="2"/>
        <v>9</v>
      </c>
      <c r="J4" s="107">
        <f t="shared" si="2"/>
        <v>10</v>
      </c>
      <c r="K4">
        <f t="shared" si="2"/>
        <v>11</v>
      </c>
      <c r="L4">
        <f t="shared" si="2"/>
        <v>12</v>
      </c>
      <c r="M4">
        <f t="shared" si="2"/>
        <v>13</v>
      </c>
      <c r="N4">
        <f t="shared" si="2"/>
        <v>14</v>
      </c>
      <c r="O4">
        <f t="shared" si="2"/>
        <v>15</v>
      </c>
      <c r="P4">
        <f t="shared" si="2"/>
        <v>16</v>
      </c>
      <c r="Q4">
        <f t="shared" si="2"/>
        <v>17</v>
      </c>
      <c r="R4">
        <f t="shared" si="2"/>
        <v>18</v>
      </c>
      <c r="S4" s="107">
        <f t="shared" si="2"/>
        <v>19</v>
      </c>
      <c r="T4" s="107">
        <f t="shared" si="2"/>
        <v>20</v>
      </c>
      <c r="U4" s="107"/>
      <c r="V4" s="107">
        <f t="shared" si="1"/>
        <v>22</v>
      </c>
      <c r="W4" s="107">
        <f t="shared" si="1"/>
        <v>23</v>
      </c>
      <c r="X4" t="str">
        <f>'Catalogo de Item de Serviço'!B5</f>
        <v>Capacitação</v>
      </c>
      <c r="Y4" t="str">
        <f>'Catalogo de Item de Serviço'!C5</f>
        <v>Treinamento Desenvolvimento Fluig Plataforma</v>
      </c>
      <c r="Z4" t="str">
        <f>'Catalogo de Item de Serviço'!D5</f>
        <v>Por turna</v>
      </c>
      <c r="AA4">
        <f>'Catalogo de Item de Serviço'!F5</f>
        <v>80</v>
      </c>
      <c r="AB4">
        <f>'Catalogo de Item de Serviço'!G5</f>
        <v>80</v>
      </c>
      <c r="AC4">
        <f>'Catalogo de Item de Serviço'!H5</f>
        <v>80</v>
      </c>
      <c r="AD4">
        <f>'Catalogo de Item de Serviço'!I5</f>
        <v>137</v>
      </c>
    </row>
    <row r="5" spans="1:30" x14ac:dyDescent="0.2">
      <c r="I5" s="107">
        <f t="shared" ref="I5:L7" si="3">I$1</f>
        <v>9</v>
      </c>
      <c r="J5" s="107">
        <f t="shared" si="3"/>
        <v>10</v>
      </c>
      <c r="K5">
        <f t="shared" si="3"/>
        <v>11</v>
      </c>
      <c r="L5">
        <f t="shared" si="3"/>
        <v>12</v>
      </c>
      <c r="Q5">
        <f>Q$1</f>
        <v>17</v>
      </c>
      <c r="R5">
        <f>R$1</f>
        <v>18</v>
      </c>
      <c r="S5" s="107">
        <f t="shared" si="2"/>
        <v>19</v>
      </c>
      <c r="T5" s="107">
        <f t="shared" si="2"/>
        <v>20</v>
      </c>
      <c r="U5" s="107"/>
      <c r="V5" s="107">
        <f t="shared" si="1"/>
        <v>22</v>
      </c>
      <c r="W5" s="107">
        <f t="shared" si="1"/>
        <v>23</v>
      </c>
      <c r="X5" t="str">
        <f>'Catalogo de Item de Serviço'!B6</f>
        <v>Capacitação</v>
      </c>
      <c r="Y5" t="str">
        <f>'Catalogo de Item de Serviço'!C6</f>
        <v>Treinamento Funcional Fluig Identity</v>
      </c>
      <c r="Z5" t="str">
        <f>'Catalogo de Item de Serviço'!D6</f>
        <v>Por turna</v>
      </c>
      <c r="AA5">
        <f>'Catalogo de Item de Serviço'!F6</f>
        <v>24</v>
      </c>
      <c r="AB5">
        <f>'Catalogo de Item de Serviço'!G6</f>
        <v>24</v>
      </c>
      <c r="AC5">
        <f>'Catalogo de Item de Serviço'!H6</f>
        <v>24</v>
      </c>
      <c r="AD5">
        <f>'Catalogo de Item de Serviço'!I6</f>
        <v>137</v>
      </c>
    </row>
    <row r="6" spans="1:30" x14ac:dyDescent="0.2">
      <c r="I6" s="107">
        <f t="shared" si="3"/>
        <v>9</v>
      </c>
      <c r="J6" s="107">
        <f t="shared" si="3"/>
        <v>10</v>
      </c>
      <c r="K6">
        <f t="shared" si="3"/>
        <v>11</v>
      </c>
      <c r="L6">
        <f t="shared" si="3"/>
        <v>12</v>
      </c>
      <c r="Q6">
        <f>Q$1</f>
        <v>17</v>
      </c>
      <c r="R6">
        <f>R$1</f>
        <v>18</v>
      </c>
      <c r="S6" s="107">
        <f t="shared" si="2"/>
        <v>19</v>
      </c>
      <c r="T6" s="107">
        <f t="shared" si="2"/>
        <v>20</v>
      </c>
      <c r="U6" s="107"/>
      <c r="V6" s="107">
        <f t="shared" si="1"/>
        <v>22</v>
      </c>
      <c r="W6" s="107">
        <f t="shared" si="1"/>
        <v>23</v>
      </c>
      <c r="X6" t="str">
        <f>'Catalogo de Item de Serviço'!B7</f>
        <v>Capacitação</v>
      </c>
      <c r="Y6" t="str">
        <f>'Catalogo de Item de Serviço'!C7</f>
        <v>Treinamento Desenvolvimento Fluig Identity</v>
      </c>
      <c r="Z6" t="str">
        <f>'Catalogo de Item de Serviço'!D7</f>
        <v>Por turna</v>
      </c>
      <c r="AA6">
        <f>'Catalogo de Item de Serviço'!F7</f>
        <v>16</v>
      </c>
      <c r="AB6">
        <f>'Catalogo de Item de Serviço'!G7</f>
        <v>16</v>
      </c>
      <c r="AC6">
        <f>'Catalogo de Item de Serviço'!H7</f>
        <v>16</v>
      </c>
      <c r="AD6">
        <f>'Catalogo de Item de Serviço'!I7</f>
        <v>137</v>
      </c>
    </row>
    <row r="7" spans="1:30" x14ac:dyDescent="0.2">
      <c r="I7" s="107">
        <f t="shared" si="3"/>
        <v>9</v>
      </c>
      <c r="J7" s="107">
        <f t="shared" si="3"/>
        <v>10</v>
      </c>
      <c r="K7">
        <f t="shared" si="3"/>
        <v>11</v>
      </c>
      <c r="L7">
        <f t="shared" si="3"/>
        <v>12</v>
      </c>
      <c r="S7" s="107">
        <f t="shared" si="2"/>
        <v>19</v>
      </c>
      <c r="T7" s="107">
        <f t="shared" si="2"/>
        <v>20</v>
      </c>
      <c r="U7" s="107">
        <f t="shared" si="2"/>
        <v>21</v>
      </c>
      <c r="V7" s="107">
        <f t="shared" si="1"/>
        <v>22</v>
      </c>
      <c r="W7" s="107">
        <f t="shared" si="1"/>
        <v>23</v>
      </c>
      <c r="X7" t="str">
        <f>'Catalogo de Item de Serviço'!B8</f>
        <v>Capacitação</v>
      </c>
      <c r="Y7" t="str">
        <f>'Catalogo de Item de Serviço'!C8</f>
        <v>Treinamento Desenvolvimento Fluig ESB</v>
      </c>
      <c r="Z7" t="str">
        <f>'Catalogo de Item de Serviço'!D8</f>
        <v>Por turna</v>
      </c>
      <c r="AA7">
        <f>'Catalogo de Item de Serviço'!F8</f>
        <v>24</v>
      </c>
      <c r="AB7">
        <f>'Catalogo de Item de Serviço'!G8</f>
        <v>24</v>
      </c>
      <c r="AC7">
        <f>'Catalogo de Item de Serviço'!H8</f>
        <v>24</v>
      </c>
      <c r="AD7">
        <f>'Catalogo de Item de Serviço'!I8</f>
        <v>137</v>
      </c>
    </row>
    <row r="8" spans="1:30" x14ac:dyDescent="0.2">
      <c r="A8">
        <f>A$1</f>
        <v>1</v>
      </c>
      <c r="C8">
        <f>C$1</f>
        <v>3</v>
      </c>
      <c r="E8">
        <f>E$1</f>
        <v>5</v>
      </c>
      <c r="G8" s="107">
        <f>G$1</f>
        <v>7</v>
      </c>
      <c r="I8" s="107">
        <f>I$1</f>
        <v>9</v>
      </c>
      <c r="K8">
        <f>K$1</f>
        <v>11</v>
      </c>
      <c r="M8">
        <f>M$1</f>
        <v>13</v>
      </c>
      <c r="O8">
        <f>O$1</f>
        <v>15</v>
      </c>
      <c r="Q8">
        <f>Q$1</f>
        <v>17</v>
      </c>
      <c r="S8" s="107">
        <f>S$1</f>
        <v>19</v>
      </c>
      <c r="T8" s="107"/>
      <c r="U8" s="107"/>
      <c r="V8" s="107">
        <f t="shared" si="1"/>
        <v>22</v>
      </c>
      <c r="W8" s="107">
        <f t="shared" si="1"/>
        <v>23</v>
      </c>
      <c r="X8" t="str">
        <f>'Catalogo de Item de Serviço'!B9</f>
        <v>Consultoria</v>
      </c>
      <c r="Y8" t="str">
        <f>'Catalogo de Item de Serviço'!C9</f>
        <v>Instalação Fluig Plataforma (On-Premisses)</v>
      </c>
      <c r="Z8" t="str">
        <f>'Catalogo de Item de Serviço'!D9</f>
        <v>Por Instalação</v>
      </c>
      <c r="AA8">
        <f>'Catalogo de Item de Serviço'!F9</f>
        <v>16</v>
      </c>
      <c r="AB8">
        <f>'Catalogo de Item de Serviço'!G9</f>
        <v>40</v>
      </c>
      <c r="AC8">
        <f>'Catalogo de Item de Serviço'!H9</f>
        <v>80</v>
      </c>
      <c r="AD8">
        <f>'Catalogo de Item de Serviço'!I9</f>
        <v>187</v>
      </c>
    </row>
    <row r="9" spans="1:30" x14ac:dyDescent="0.2">
      <c r="I9" s="107">
        <f>I$1</f>
        <v>9</v>
      </c>
      <c r="J9" s="107">
        <f>J$1</f>
        <v>10</v>
      </c>
      <c r="K9">
        <f>K$1</f>
        <v>11</v>
      </c>
      <c r="L9">
        <f>L$1</f>
        <v>12</v>
      </c>
      <c r="Q9">
        <f>Q$1</f>
        <v>17</v>
      </c>
      <c r="R9">
        <f>R$1</f>
        <v>18</v>
      </c>
      <c r="S9" s="107">
        <f>S$1</f>
        <v>19</v>
      </c>
      <c r="T9" s="107">
        <f>T$1</f>
        <v>20</v>
      </c>
      <c r="U9" s="107">
        <f>U$1</f>
        <v>21</v>
      </c>
      <c r="V9" s="107">
        <f t="shared" si="1"/>
        <v>22</v>
      </c>
      <c r="W9" s="107">
        <f t="shared" si="1"/>
        <v>23</v>
      </c>
      <c r="X9" t="str">
        <f>'Catalogo de Item de Serviço'!B10</f>
        <v>Consultoria</v>
      </c>
      <c r="Y9" t="str">
        <f>'Catalogo de Item de Serviço'!C10</f>
        <v>Instalação  Fluig ESB (On-Premisses)</v>
      </c>
      <c r="Z9" t="str">
        <f>'Catalogo de Item de Serviço'!D10</f>
        <v>Por Instalação</v>
      </c>
      <c r="AA9">
        <f>'Catalogo de Item de Serviço'!F10</f>
        <v>8</v>
      </c>
      <c r="AB9">
        <f>'Catalogo de Item de Serviço'!G10</f>
        <v>16</v>
      </c>
      <c r="AC9">
        <f>'Catalogo de Item de Serviço'!H10</f>
        <v>80</v>
      </c>
      <c r="AD9">
        <f>'Catalogo de Item de Serviço'!I10</f>
        <v>137</v>
      </c>
    </row>
    <row r="10" spans="1:30" x14ac:dyDescent="0.2">
      <c r="A10">
        <f t="shared" ref="A10:H10" si="4">A$1</f>
        <v>1</v>
      </c>
      <c r="B10">
        <f t="shared" si="4"/>
        <v>2</v>
      </c>
      <c r="C10">
        <f t="shared" si="4"/>
        <v>3</v>
      </c>
      <c r="D10">
        <f t="shared" si="4"/>
        <v>4</v>
      </c>
      <c r="E10">
        <f t="shared" si="4"/>
        <v>5</v>
      </c>
      <c r="F10">
        <f t="shared" si="4"/>
        <v>6</v>
      </c>
      <c r="G10" s="107">
        <f t="shared" si="4"/>
        <v>7</v>
      </c>
      <c r="H10" s="107">
        <f t="shared" si="4"/>
        <v>8</v>
      </c>
      <c r="I10" s="107">
        <f>I$1</f>
        <v>9</v>
      </c>
      <c r="J10" s="107">
        <f>J$1</f>
        <v>10</v>
      </c>
      <c r="K10">
        <f>K$1</f>
        <v>11</v>
      </c>
      <c r="L10">
        <f>L$1</f>
        <v>12</v>
      </c>
      <c r="M10">
        <f>M$1</f>
        <v>13</v>
      </c>
      <c r="N10">
        <f>N$1</f>
        <v>14</v>
      </c>
      <c r="O10">
        <f>O$1</f>
        <v>15</v>
      </c>
      <c r="P10">
        <f>P$1</f>
        <v>16</v>
      </c>
      <c r="Q10">
        <f>Q$1</f>
        <v>17</v>
      </c>
      <c r="R10">
        <f>R$1</f>
        <v>18</v>
      </c>
      <c r="S10" s="107">
        <f>S$1</f>
        <v>19</v>
      </c>
      <c r="T10" s="107">
        <f>T$1</f>
        <v>20</v>
      </c>
      <c r="U10" s="107"/>
      <c r="V10" s="107">
        <f t="shared" si="1"/>
        <v>22</v>
      </c>
      <c r="W10" s="107">
        <f t="shared" si="1"/>
        <v>23</v>
      </c>
      <c r="X10" t="str">
        <f>'Catalogo de Item de Serviço'!B11</f>
        <v>Consultoria</v>
      </c>
      <c r="Y10" t="str">
        <f>'Catalogo de Item de Serviço'!C11</f>
        <v>Consultoria de Implantação Fluig Plataforma</v>
      </c>
      <c r="Z10" t="str">
        <f>'Catalogo de Item de Serviço'!D11</f>
        <v>Por Instalação</v>
      </c>
      <c r="AA10">
        <f>'Catalogo de Item de Serviço'!F11</f>
        <v>24</v>
      </c>
      <c r="AB10">
        <f>'Catalogo de Item de Serviço'!G11</f>
        <v>40</v>
      </c>
      <c r="AC10">
        <f>'Catalogo de Item de Serviço'!H11</f>
        <v>80</v>
      </c>
      <c r="AD10">
        <f>'Catalogo de Item de Serviço'!I11</f>
        <v>137</v>
      </c>
    </row>
    <row r="11" spans="1:30" x14ac:dyDescent="0.2">
      <c r="I11" s="107">
        <f>I$1</f>
        <v>9</v>
      </c>
      <c r="J11" s="107">
        <f>J$1</f>
        <v>10</v>
      </c>
      <c r="K11">
        <f>K$1</f>
        <v>11</v>
      </c>
      <c r="L11">
        <f>L$1</f>
        <v>12</v>
      </c>
      <c r="Q11">
        <f>Q$1</f>
        <v>17</v>
      </c>
      <c r="R11">
        <f>R$1</f>
        <v>18</v>
      </c>
      <c r="S11" s="107">
        <f>S$1</f>
        <v>19</v>
      </c>
      <c r="T11" s="107">
        <f>T$1</f>
        <v>20</v>
      </c>
      <c r="U11" s="107"/>
      <c r="V11" s="107">
        <f t="shared" si="1"/>
        <v>22</v>
      </c>
      <c r="W11" s="107">
        <f t="shared" si="1"/>
        <v>23</v>
      </c>
      <c r="X11" t="str">
        <f>'Catalogo de Item de Serviço'!B12</f>
        <v>Consultoria</v>
      </c>
      <c r="Y11" t="str">
        <f>'Catalogo de Item de Serviço'!C12</f>
        <v>Consultoria Implantação Fluig Identity</v>
      </c>
      <c r="Z11" t="str">
        <f>'Catalogo de Item de Serviço'!D12</f>
        <v>Por Instalação</v>
      </c>
      <c r="AA11">
        <f>'Catalogo de Item de Serviço'!F12</f>
        <v>24</v>
      </c>
      <c r="AB11">
        <f>'Catalogo de Item de Serviço'!G12</f>
        <v>24</v>
      </c>
      <c r="AC11">
        <f>'Catalogo de Item de Serviço'!H12</f>
        <v>24</v>
      </c>
      <c r="AD11">
        <f>'Catalogo de Item de Serviço'!I12</f>
        <v>137</v>
      </c>
    </row>
    <row r="12" spans="1:30" x14ac:dyDescent="0.2">
      <c r="M12">
        <f>M$1</f>
        <v>13</v>
      </c>
      <c r="N12">
        <f>N$1</f>
        <v>14</v>
      </c>
      <c r="S12" s="107"/>
      <c r="T12" s="107"/>
      <c r="U12" s="107"/>
      <c r="V12" s="107"/>
      <c r="W12" s="107">
        <f t="shared" si="1"/>
        <v>23</v>
      </c>
      <c r="X12" t="str">
        <f>'Catalogo de Item de Serviço'!B13</f>
        <v>Consultoria</v>
      </c>
      <c r="Y12" t="str">
        <f>'Catalogo de Item de Serviço'!C13</f>
        <v xml:space="preserve">Migração TOTVS ECM 3.0  para FLUIG (Instalação e Documentos) </v>
      </c>
      <c r="Z12" t="str">
        <f>'Catalogo de Item de Serviço'!D13</f>
        <v>Por Instalação</v>
      </c>
      <c r="AA12">
        <f>'Catalogo de Item de Serviço'!F13</f>
        <v>40</v>
      </c>
      <c r="AB12">
        <f>'Catalogo de Item de Serviço'!G13</f>
        <v>40</v>
      </c>
      <c r="AC12">
        <f>'Catalogo de Item de Serviço'!H13</f>
        <v>80</v>
      </c>
      <c r="AD12">
        <f>'Catalogo de Item de Serviço'!I13</f>
        <v>137</v>
      </c>
    </row>
    <row r="13" spans="1:30" x14ac:dyDescent="0.2">
      <c r="M13">
        <f>M$1</f>
        <v>13</v>
      </c>
      <c r="N13">
        <f>N$1</f>
        <v>14</v>
      </c>
      <c r="S13" s="107"/>
      <c r="T13" s="107"/>
      <c r="U13" s="107"/>
      <c r="V13" s="107"/>
      <c r="W13" s="107">
        <f t="shared" si="1"/>
        <v>23</v>
      </c>
      <c r="X13" t="str">
        <f>'Catalogo de Item de Serviço'!B14</f>
        <v>Consultoria</v>
      </c>
      <c r="Y13" t="str">
        <f>'Catalogo de Item de Serviço'!C14</f>
        <v xml:space="preserve">Migração TOTVS ECM 3.0  para FLUIG (Processos) </v>
      </c>
      <c r="Z13" t="str">
        <f>'Catalogo de Item de Serviço'!D14</f>
        <v>Número Processos</v>
      </c>
      <c r="AA13">
        <f>'Catalogo de Item de Serviço'!F14</f>
        <v>8</v>
      </c>
      <c r="AB13">
        <f>'Catalogo de Item de Serviço'!G14</f>
        <v>24</v>
      </c>
      <c r="AC13">
        <f>'Catalogo de Item de Serviço'!H14</f>
        <v>40</v>
      </c>
      <c r="AD13">
        <f>'Catalogo de Item de Serviço'!I14</f>
        <v>137</v>
      </c>
    </row>
    <row r="14" spans="1:30" x14ac:dyDescent="0.2">
      <c r="C14">
        <f>C$1</f>
        <v>3</v>
      </c>
      <c r="D14">
        <f>D$1</f>
        <v>4</v>
      </c>
      <c r="G14" s="107">
        <f>G$1</f>
        <v>7</v>
      </c>
      <c r="H14" s="107">
        <f>H$1</f>
        <v>8</v>
      </c>
      <c r="I14" s="107">
        <f>I$1</f>
        <v>9</v>
      </c>
      <c r="J14" s="107">
        <f>J$1</f>
        <v>10</v>
      </c>
      <c r="S14" s="107">
        <f>S$1</f>
        <v>19</v>
      </c>
      <c r="T14" s="107">
        <f>T$1</f>
        <v>20</v>
      </c>
      <c r="U14" s="107"/>
      <c r="V14" s="107"/>
      <c r="W14" s="107">
        <f t="shared" si="1"/>
        <v>23</v>
      </c>
      <c r="X14" t="str">
        <f>'Catalogo de Item de Serviço'!B15</f>
        <v>Consultoria</v>
      </c>
      <c r="Y14" t="str">
        <f>'Catalogo de Item de Serviço'!C15</f>
        <v>WCM-Consultoria de Portais/Intranets/Redes Sociais</v>
      </c>
      <c r="Z14" t="str">
        <f>'Catalogo de Item de Serviço'!D15</f>
        <v>Por Portal</v>
      </c>
      <c r="AA14">
        <f>'Catalogo de Item de Serviço'!F15</f>
        <v>210</v>
      </c>
      <c r="AB14">
        <f>'Catalogo de Item de Serviço'!G15</f>
        <v>210</v>
      </c>
      <c r="AC14">
        <f>'Catalogo de Item de Serviço'!H15</f>
        <v>210</v>
      </c>
      <c r="AD14">
        <f>'Catalogo de Item de Serviço'!I15</f>
        <v>137</v>
      </c>
    </row>
    <row r="15" spans="1:30" x14ac:dyDescent="0.2">
      <c r="M15">
        <f t="shared" ref="M15:R28" si="5">M$1</f>
        <v>13</v>
      </c>
      <c r="N15">
        <f t="shared" si="5"/>
        <v>14</v>
      </c>
      <c r="O15">
        <f t="shared" si="5"/>
        <v>15</v>
      </c>
      <c r="P15">
        <f t="shared" si="5"/>
        <v>16</v>
      </c>
      <c r="Q15">
        <f t="shared" si="5"/>
        <v>17</v>
      </c>
      <c r="R15">
        <f t="shared" si="5"/>
        <v>18</v>
      </c>
      <c r="S15" s="107">
        <f t="shared" ref="S15:T28" si="6">S$1</f>
        <v>19</v>
      </c>
      <c r="T15" s="107">
        <f t="shared" si="6"/>
        <v>20</v>
      </c>
      <c r="U15" s="107"/>
      <c r="V15" s="107">
        <f t="shared" ref="V15:V28" si="7">V$1</f>
        <v>22</v>
      </c>
      <c r="W15" s="107">
        <f t="shared" si="1"/>
        <v>23</v>
      </c>
      <c r="X15" t="str">
        <f>'Catalogo de Item de Serviço'!B16</f>
        <v>Desenvolvimento</v>
      </c>
      <c r="Y15" t="str">
        <f>'Catalogo de Item de Serviço'!C16</f>
        <v>BPM-Formulario HTML</v>
      </c>
      <c r="Z15" t="str">
        <f>'Catalogo de Item de Serviço'!D16</f>
        <v>Número Campos</v>
      </c>
      <c r="AA15">
        <f>'Catalogo de Item de Serviço'!F16</f>
        <v>0.35</v>
      </c>
      <c r="AB15">
        <f>'Catalogo de Item de Serviço'!G16</f>
        <v>0.7</v>
      </c>
      <c r="AC15">
        <f>'Catalogo de Item de Serviço'!H16</f>
        <v>1.05</v>
      </c>
      <c r="AD15">
        <f>'Catalogo de Item de Serviço'!I16</f>
        <v>137</v>
      </c>
    </row>
    <row r="16" spans="1:30" x14ac:dyDescent="0.2">
      <c r="M16">
        <f t="shared" si="5"/>
        <v>13</v>
      </c>
      <c r="N16">
        <f t="shared" si="5"/>
        <v>14</v>
      </c>
      <c r="O16">
        <f t="shared" si="5"/>
        <v>15</v>
      </c>
      <c r="P16">
        <f t="shared" si="5"/>
        <v>16</v>
      </c>
      <c r="Q16">
        <f t="shared" si="5"/>
        <v>17</v>
      </c>
      <c r="R16">
        <f t="shared" si="5"/>
        <v>18</v>
      </c>
      <c r="S16" s="107">
        <f t="shared" si="6"/>
        <v>19</v>
      </c>
      <c r="T16" s="107">
        <f t="shared" si="6"/>
        <v>20</v>
      </c>
      <c r="U16" s="107"/>
      <c r="V16" s="107">
        <f t="shared" si="7"/>
        <v>22</v>
      </c>
      <c r="W16" s="107">
        <f t="shared" si="1"/>
        <v>23</v>
      </c>
      <c r="X16" t="str">
        <f>'Catalogo de Item de Serviço'!B17</f>
        <v>Desenvolvimento</v>
      </c>
      <c r="Y16" t="str">
        <f>'Catalogo de Item de Serviço'!C17</f>
        <v>BPM-Formulario Mobile</v>
      </c>
      <c r="Z16" t="str">
        <f>'Catalogo de Item de Serviço'!D17</f>
        <v>Número Campos</v>
      </c>
      <c r="AA16">
        <f>'Catalogo de Item de Serviço'!F17</f>
        <v>0.1</v>
      </c>
      <c r="AB16">
        <f>'Catalogo de Item de Serviço'!G17</f>
        <v>0.35</v>
      </c>
      <c r="AC16">
        <f>'Catalogo de Item de Serviço'!H17</f>
        <v>0.52500000000000002</v>
      </c>
      <c r="AD16">
        <f>'Catalogo de Item de Serviço'!I17</f>
        <v>137</v>
      </c>
    </row>
    <row r="17" spans="7:30" x14ac:dyDescent="0.2">
      <c r="M17">
        <f t="shared" si="5"/>
        <v>13</v>
      </c>
      <c r="N17">
        <f t="shared" si="5"/>
        <v>14</v>
      </c>
      <c r="O17">
        <f t="shared" si="5"/>
        <v>15</v>
      </c>
      <c r="P17">
        <f t="shared" si="5"/>
        <v>16</v>
      </c>
      <c r="Q17">
        <f t="shared" si="5"/>
        <v>17</v>
      </c>
      <c r="R17">
        <f t="shared" si="5"/>
        <v>18</v>
      </c>
      <c r="S17" s="107">
        <f t="shared" si="6"/>
        <v>19</v>
      </c>
      <c r="T17" s="107">
        <f t="shared" si="6"/>
        <v>20</v>
      </c>
      <c r="U17" s="107"/>
      <c r="V17" s="107">
        <f t="shared" si="7"/>
        <v>22</v>
      </c>
      <c r="W17" s="107">
        <f t="shared" si="1"/>
        <v>23</v>
      </c>
      <c r="X17" t="str">
        <f>'Catalogo de Item de Serviço'!B18</f>
        <v>Desenvolvimento</v>
      </c>
      <c r="Y17" t="str">
        <f>'Catalogo de Item de Serviço'!C18</f>
        <v>BPM-Validações Java Script  no Formulario</v>
      </c>
      <c r="Z17" t="str">
        <f>'Catalogo de Item de Serviço'!D18</f>
        <v>Número Validações</v>
      </c>
      <c r="AA17">
        <f>'Catalogo de Item de Serviço'!F18</f>
        <v>1</v>
      </c>
      <c r="AB17">
        <f>'Catalogo de Item de Serviço'!G18</f>
        <v>2</v>
      </c>
      <c r="AC17">
        <f>'Catalogo de Item de Serviço'!H18</f>
        <v>3</v>
      </c>
      <c r="AD17">
        <f>'Catalogo de Item de Serviço'!I18</f>
        <v>137</v>
      </c>
    </row>
    <row r="18" spans="7:30" x14ac:dyDescent="0.2">
      <c r="M18">
        <f t="shared" si="5"/>
        <v>13</v>
      </c>
      <c r="N18">
        <f t="shared" si="5"/>
        <v>14</v>
      </c>
      <c r="O18">
        <f t="shared" si="5"/>
        <v>15</v>
      </c>
      <c r="P18">
        <f t="shared" si="5"/>
        <v>16</v>
      </c>
      <c r="Q18">
        <f t="shared" si="5"/>
        <v>17</v>
      </c>
      <c r="R18">
        <f t="shared" si="5"/>
        <v>18</v>
      </c>
      <c r="S18" s="107">
        <f t="shared" si="6"/>
        <v>19</v>
      </c>
      <c r="T18" s="107">
        <f t="shared" si="6"/>
        <v>20</v>
      </c>
      <c r="U18" s="107"/>
      <c r="V18" s="107">
        <f t="shared" si="7"/>
        <v>22</v>
      </c>
      <c r="W18" s="107">
        <f t="shared" si="1"/>
        <v>23</v>
      </c>
      <c r="X18" t="str">
        <f>'Catalogo de Item de Serviço'!B19</f>
        <v>Desenvolvimento</v>
      </c>
      <c r="Y18" t="str">
        <f>'Catalogo de Item de Serviço'!C19</f>
        <v>BPM-Validações Java Script no Mobile</v>
      </c>
      <c r="Z18" t="str">
        <f>'Catalogo de Item de Serviço'!D19</f>
        <v>Número Validações</v>
      </c>
      <c r="AA18">
        <f>'Catalogo de Item de Serviço'!F19</f>
        <v>0.5</v>
      </c>
      <c r="AB18">
        <f>'Catalogo de Item de Serviço'!G19</f>
        <v>1</v>
      </c>
      <c r="AC18">
        <f>'Catalogo de Item de Serviço'!H19</f>
        <v>2</v>
      </c>
      <c r="AD18">
        <f>'Catalogo de Item de Serviço'!I19</f>
        <v>137</v>
      </c>
    </row>
    <row r="19" spans="7:30" x14ac:dyDescent="0.2">
      <c r="M19">
        <f t="shared" si="5"/>
        <v>13</v>
      </c>
      <c r="N19">
        <f t="shared" si="5"/>
        <v>14</v>
      </c>
      <c r="O19">
        <f t="shared" si="5"/>
        <v>15</v>
      </c>
      <c r="P19">
        <f t="shared" si="5"/>
        <v>16</v>
      </c>
      <c r="Q19">
        <f t="shared" si="5"/>
        <v>17</v>
      </c>
      <c r="R19">
        <f t="shared" si="5"/>
        <v>18</v>
      </c>
      <c r="S19" s="107">
        <f t="shared" si="6"/>
        <v>19</v>
      </c>
      <c r="T19" s="107">
        <f t="shared" si="6"/>
        <v>20</v>
      </c>
      <c r="U19" s="107"/>
      <c r="V19" s="107">
        <f t="shared" si="7"/>
        <v>22</v>
      </c>
      <c r="W19" s="107">
        <f t="shared" si="1"/>
        <v>23</v>
      </c>
      <c r="X19" t="str">
        <f>'Catalogo de Item de Serviço'!B20</f>
        <v>Desenvolvimento</v>
      </c>
      <c r="Y19" t="str">
        <f>'Catalogo de Item de Serviço'!C20</f>
        <v>BPM-Pesquisa (Zoom)</v>
      </c>
      <c r="Z19" t="str">
        <f>'Catalogo de Item de Serviço'!D20</f>
        <v>Número Pesquisa</v>
      </c>
      <c r="AA19">
        <f>'Catalogo de Item de Serviço'!F20</f>
        <v>1</v>
      </c>
      <c r="AB19">
        <f>'Catalogo de Item de Serviço'!G20</f>
        <v>4</v>
      </c>
      <c r="AC19">
        <f>'Catalogo de Item de Serviço'!H20</f>
        <v>8</v>
      </c>
      <c r="AD19">
        <f>'Catalogo de Item de Serviço'!I20</f>
        <v>137</v>
      </c>
    </row>
    <row r="20" spans="7:30" x14ac:dyDescent="0.2">
      <c r="M20">
        <f t="shared" si="5"/>
        <v>13</v>
      </c>
      <c r="N20">
        <f t="shared" si="5"/>
        <v>14</v>
      </c>
      <c r="O20">
        <f t="shared" si="5"/>
        <v>15</v>
      </c>
      <c r="P20">
        <f t="shared" si="5"/>
        <v>16</v>
      </c>
      <c r="Q20">
        <f t="shared" si="5"/>
        <v>17</v>
      </c>
      <c r="R20">
        <f t="shared" si="5"/>
        <v>18</v>
      </c>
      <c r="S20" s="107">
        <f t="shared" si="6"/>
        <v>19</v>
      </c>
      <c r="T20" s="107">
        <f t="shared" si="6"/>
        <v>20</v>
      </c>
      <c r="U20" s="107"/>
      <c r="V20" s="107">
        <f t="shared" si="7"/>
        <v>22</v>
      </c>
      <c r="W20" s="107">
        <f t="shared" si="1"/>
        <v>23</v>
      </c>
      <c r="X20" t="str">
        <f>'Catalogo de Item de Serviço'!B21</f>
        <v>Desenvolvimento</v>
      </c>
      <c r="Y20" t="str">
        <f>'Catalogo de Item de Serviço'!C21</f>
        <v>BPM-Eventos de formulário</v>
      </c>
      <c r="Z20" t="str">
        <f>'Catalogo de Item de Serviço'!D21</f>
        <v>Número Atividades</v>
      </c>
      <c r="AA20">
        <f>'Catalogo de Item de Serviço'!F21</f>
        <v>1</v>
      </c>
      <c r="AB20">
        <f>'Catalogo de Item de Serviço'!G21</f>
        <v>1.25</v>
      </c>
      <c r="AC20">
        <f>'Catalogo de Item de Serviço'!H21</f>
        <v>1.5</v>
      </c>
      <c r="AD20">
        <f>'Catalogo de Item de Serviço'!I21</f>
        <v>137</v>
      </c>
    </row>
    <row r="21" spans="7:30" x14ac:dyDescent="0.2">
      <c r="M21">
        <f t="shared" si="5"/>
        <v>13</v>
      </c>
      <c r="N21">
        <f t="shared" si="5"/>
        <v>14</v>
      </c>
      <c r="O21">
        <f t="shared" si="5"/>
        <v>15</v>
      </c>
      <c r="P21">
        <f t="shared" si="5"/>
        <v>16</v>
      </c>
      <c r="Q21">
        <f t="shared" si="5"/>
        <v>17</v>
      </c>
      <c r="R21">
        <f t="shared" si="5"/>
        <v>18</v>
      </c>
      <c r="S21" s="107">
        <f t="shared" si="6"/>
        <v>19</v>
      </c>
      <c r="T21" s="107">
        <f t="shared" si="6"/>
        <v>20</v>
      </c>
      <c r="U21" s="107"/>
      <c r="V21" s="107">
        <f t="shared" si="7"/>
        <v>22</v>
      </c>
      <c r="W21" s="107">
        <f t="shared" si="1"/>
        <v>23</v>
      </c>
      <c r="X21" t="str">
        <f>'Catalogo de Item de Serviço'!B22</f>
        <v>Desenvolvimento</v>
      </c>
      <c r="Y21" t="str">
        <f>'Catalogo de Item de Serviço'!C22</f>
        <v>BPM-Eventos do processo</v>
      </c>
      <c r="Z21" t="str">
        <f>'Catalogo de Item de Serviço'!D22</f>
        <v>Número Eventos</v>
      </c>
      <c r="AA21">
        <f>'Catalogo de Item de Serviço'!F22</f>
        <v>8</v>
      </c>
      <c r="AB21">
        <f>'Catalogo de Item de Serviço'!G22</f>
        <v>12</v>
      </c>
      <c r="AC21">
        <f>'Catalogo de Item de Serviço'!H22</f>
        <v>16</v>
      </c>
      <c r="AD21">
        <f>'Catalogo de Item de Serviço'!I22</f>
        <v>137</v>
      </c>
    </row>
    <row r="22" spans="7:30" x14ac:dyDescent="0.2">
      <c r="M22">
        <f t="shared" si="5"/>
        <v>13</v>
      </c>
      <c r="N22">
        <f t="shared" si="5"/>
        <v>14</v>
      </c>
      <c r="O22">
        <f t="shared" si="5"/>
        <v>15</v>
      </c>
      <c r="P22">
        <f t="shared" si="5"/>
        <v>16</v>
      </c>
      <c r="Q22">
        <f t="shared" si="5"/>
        <v>17</v>
      </c>
      <c r="R22">
        <f t="shared" si="5"/>
        <v>18</v>
      </c>
      <c r="S22" s="107">
        <f t="shared" si="6"/>
        <v>19</v>
      </c>
      <c r="T22" s="107">
        <f t="shared" si="6"/>
        <v>20</v>
      </c>
      <c r="U22" s="107"/>
      <c r="V22" s="107">
        <f t="shared" si="7"/>
        <v>22</v>
      </c>
      <c r="W22" s="107">
        <f t="shared" si="1"/>
        <v>23</v>
      </c>
      <c r="X22" t="str">
        <f>'Catalogo de Item de Serviço'!B23</f>
        <v>Desenvolvimento</v>
      </c>
      <c r="Y22" t="str">
        <f>'Catalogo de Item de Serviço'!C23</f>
        <v>BPM-Atividades Processo</v>
      </c>
      <c r="Z22" t="str">
        <f>'Catalogo de Item de Serviço'!D23</f>
        <v>Número Atividades</v>
      </c>
      <c r="AA22">
        <f>'Catalogo de Item de Serviço'!F23</f>
        <v>0.5</v>
      </c>
      <c r="AB22">
        <f>'Catalogo de Item de Serviço'!G23</f>
        <v>1.5</v>
      </c>
      <c r="AC22">
        <f>'Catalogo de Item de Serviço'!H23</f>
        <v>2</v>
      </c>
      <c r="AD22">
        <f>'Catalogo de Item de Serviço'!I23</f>
        <v>137</v>
      </c>
    </row>
    <row r="23" spans="7:30" x14ac:dyDescent="0.2">
      <c r="M23">
        <f t="shared" si="5"/>
        <v>13</v>
      </c>
      <c r="N23">
        <f t="shared" si="5"/>
        <v>14</v>
      </c>
      <c r="O23">
        <f t="shared" si="5"/>
        <v>15</v>
      </c>
      <c r="P23">
        <f t="shared" si="5"/>
        <v>16</v>
      </c>
      <c r="Q23">
        <f t="shared" si="5"/>
        <v>17</v>
      </c>
      <c r="R23">
        <f t="shared" si="5"/>
        <v>18</v>
      </c>
      <c r="S23" s="107">
        <f t="shared" si="6"/>
        <v>19</v>
      </c>
      <c r="T23" s="107">
        <f t="shared" si="6"/>
        <v>20</v>
      </c>
      <c r="U23" s="107"/>
      <c r="V23" s="107">
        <f t="shared" si="7"/>
        <v>22</v>
      </c>
      <c r="W23" s="107">
        <f t="shared" si="1"/>
        <v>23</v>
      </c>
      <c r="X23" t="str">
        <f>'Catalogo de Item de Serviço'!B24</f>
        <v>Desenvolvimento</v>
      </c>
      <c r="Y23" t="str">
        <f>'Catalogo de Item de Serviço'!C24</f>
        <v>BPM-Atividades Automaticas</v>
      </c>
      <c r="Z23" t="str">
        <f>'Catalogo de Item de Serviço'!D24</f>
        <v>Número Atividades</v>
      </c>
      <c r="AA23">
        <f>'Catalogo de Item de Serviço'!F24</f>
        <v>1</v>
      </c>
      <c r="AB23">
        <f>'Catalogo de Item de Serviço'!G24</f>
        <v>2</v>
      </c>
      <c r="AC23">
        <f>'Catalogo de Item de Serviço'!H24</f>
        <v>4</v>
      </c>
      <c r="AD23">
        <f>'Catalogo de Item de Serviço'!I24</f>
        <v>137</v>
      </c>
    </row>
    <row r="24" spans="7:30" x14ac:dyDescent="0.2">
      <c r="M24">
        <f t="shared" si="5"/>
        <v>13</v>
      </c>
      <c r="N24">
        <f t="shared" si="5"/>
        <v>14</v>
      </c>
      <c r="O24">
        <f t="shared" si="5"/>
        <v>15</v>
      </c>
      <c r="P24">
        <f t="shared" si="5"/>
        <v>16</v>
      </c>
      <c r="Q24">
        <f t="shared" si="5"/>
        <v>17</v>
      </c>
      <c r="R24">
        <f t="shared" si="5"/>
        <v>18</v>
      </c>
      <c r="S24" s="107">
        <f t="shared" si="6"/>
        <v>19</v>
      </c>
      <c r="T24" s="107">
        <f t="shared" si="6"/>
        <v>20</v>
      </c>
      <c r="U24" s="107"/>
      <c r="V24" s="107">
        <f t="shared" si="7"/>
        <v>22</v>
      </c>
      <c r="W24" s="107">
        <f t="shared" si="1"/>
        <v>23</v>
      </c>
      <c r="X24" t="str">
        <f>'Catalogo de Item de Serviço'!B25</f>
        <v>Desenvolvimento</v>
      </c>
      <c r="Y24" t="str">
        <f>'Catalogo de Item de Serviço'!C25</f>
        <v>BPM-Dataset Interno</v>
      </c>
      <c r="Z24" t="str">
        <f>'Catalogo de Item de Serviço'!D25</f>
        <v>Número Datasets</v>
      </c>
      <c r="AA24">
        <f>'Catalogo de Item de Serviço'!F25</f>
        <v>2</v>
      </c>
      <c r="AB24">
        <f>'Catalogo de Item de Serviço'!G25</f>
        <v>4</v>
      </c>
      <c r="AC24">
        <f>'Catalogo de Item de Serviço'!H25</f>
        <v>8</v>
      </c>
      <c r="AD24">
        <f>'Catalogo de Item de Serviço'!I25</f>
        <v>137</v>
      </c>
    </row>
    <row r="25" spans="7:30" x14ac:dyDescent="0.2">
      <c r="M25">
        <f t="shared" si="5"/>
        <v>13</v>
      </c>
      <c r="N25">
        <f t="shared" si="5"/>
        <v>14</v>
      </c>
      <c r="O25">
        <f t="shared" si="5"/>
        <v>15</v>
      </c>
      <c r="P25">
        <f t="shared" si="5"/>
        <v>16</v>
      </c>
      <c r="Q25">
        <f t="shared" si="5"/>
        <v>17</v>
      </c>
      <c r="R25">
        <f t="shared" si="5"/>
        <v>18</v>
      </c>
      <c r="S25" s="107">
        <f t="shared" si="6"/>
        <v>19</v>
      </c>
      <c r="T25" s="107">
        <f t="shared" si="6"/>
        <v>20</v>
      </c>
      <c r="U25" s="107"/>
      <c r="V25" s="107">
        <f t="shared" si="7"/>
        <v>22</v>
      </c>
      <c r="W25" s="107">
        <f t="shared" si="1"/>
        <v>23</v>
      </c>
      <c r="X25" t="str">
        <f>'Catalogo de Item de Serviço'!B26</f>
        <v>Desenvolvimento</v>
      </c>
      <c r="Y25" t="str">
        <f>'Catalogo de Item de Serviço'!C26</f>
        <v>BPM-Dataset para integração</v>
      </c>
      <c r="Z25" t="str">
        <f>'Catalogo de Item de Serviço'!D26</f>
        <v>Número Datasets</v>
      </c>
      <c r="AA25">
        <f>'Catalogo de Item de Serviço'!F26</f>
        <v>8</v>
      </c>
      <c r="AB25">
        <f>'Catalogo de Item de Serviço'!G26</f>
        <v>16</v>
      </c>
      <c r="AC25">
        <f>'Catalogo de Item de Serviço'!H26</f>
        <v>32</v>
      </c>
      <c r="AD25">
        <f>'Catalogo de Item de Serviço'!I26</f>
        <v>137</v>
      </c>
    </row>
    <row r="26" spans="7:30" x14ac:dyDescent="0.2">
      <c r="M26">
        <f t="shared" si="5"/>
        <v>13</v>
      </c>
      <c r="N26">
        <f t="shared" si="5"/>
        <v>14</v>
      </c>
      <c r="O26">
        <f t="shared" si="5"/>
        <v>15</v>
      </c>
      <c r="P26">
        <f t="shared" si="5"/>
        <v>16</v>
      </c>
      <c r="Q26">
        <f t="shared" si="5"/>
        <v>17</v>
      </c>
      <c r="R26">
        <f t="shared" si="5"/>
        <v>18</v>
      </c>
      <c r="S26" s="107">
        <f t="shared" si="6"/>
        <v>19</v>
      </c>
      <c r="T26" s="107">
        <f t="shared" si="6"/>
        <v>20</v>
      </c>
      <c r="U26" s="107"/>
      <c r="V26" s="107">
        <f t="shared" si="7"/>
        <v>22</v>
      </c>
      <c r="W26" s="107">
        <f t="shared" si="1"/>
        <v>23</v>
      </c>
      <c r="X26" t="str">
        <f>'Catalogo de Item de Serviço'!B27</f>
        <v>Desenvolvimento</v>
      </c>
      <c r="Y26" t="str">
        <f>'Catalogo de Item de Serviço'!C27</f>
        <v>Não utilizar</v>
      </c>
      <c r="Z26" t="str">
        <f>'Catalogo de Item de Serviço'!D27</f>
        <v>Não utilizar</v>
      </c>
      <c r="AA26">
        <f>'Catalogo de Item de Serviço'!F27</f>
        <v>0</v>
      </c>
      <c r="AB26">
        <f>'Catalogo de Item de Serviço'!G27</f>
        <v>0</v>
      </c>
      <c r="AC26">
        <f>'Catalogo de Item de Serviço'!H27</f>
        <v>0</v>
      </c>
      <c r="AD26">
        <f>'Catalogo de Item de Serviço'!I27</f>
        <v>137</v>
      </c>
    </row>
    <row r="27" spans="7:30" x14ac:dyDescent="0.2">
      <c r="M27">
        <f t="shared" si="5"/>
        <v>13</v>
      </c>
      <c r="N27">
        <f t="shared" si="5"/>
        <v>14</v>
      </c>
      <c r="O27">
        <f t="shared" si="5"/>
        <v>15</v>
      </c>
      <c r="P27">
        <f t="shared" si="5"/>
        <v>16</v>
      </c>
      <c r="Q27">
        <f t="shared" si="5"/>
        <v>17</v>
      </c>
      <c r="R27">
        <f t="shared" si="5"/>
        <v>18</v>
      </c>
      <c r="S27" s="107">
        <f t="shared" si="6"/>
        <v>19</v>
      </c>
      <c r="T27" s="107">
        <f t="shared" si="6"/>
        <v>20</v>
      </c>
      <c r="U27" s="107"/>
      <c r="V27" s="107">
        <f t="shared" si="7"/>
        <v>22</v>
      </c>
      <c r="W27" s="107">
        <f t="shared" si="1"/>
        <v>23</v>
      </c>
      <c r="X27" t="str">
        <f>'Catalogo de Item de Serviço'!B28</f>
        <v>Desenvolvimento</v>
      </c>
      <c r="Y27" t="str">
        <f>'Catalogo de Item de Serviço'!C28</f>
        <v>BPM-Web Services Externo para integração</v>
      </c>
      <c r="Z27" t="str">
        <f>'Catalogo de Item de Serviço'!D28</f>
        <v>Número Web Services</v>
      </c>
      <c r="AA27">
        <f>'Catalogo de Item de Serviço'!F28</f>
        <v>8</v>
      </c>
      <c r="AB27">
        <f>'Catalogo de Item de Serviço'!G28</f>
        <v>16</v>
      </c>
      <c r="AC27">
        <f>'Catalogo de Item de Serviço'!H28</f>
        <v>24</v>
      </c>
      <c r="AD27">
        <f>'Catalogo de Item de Serviço'!I28</f>
        <v>137</v>
      </c>
    </row>
    <row r="28" spans="7:30" x14ac:dyDescent="0.2">
      <c r="M28">
        <f t="shared" si="5"/>
        <v>13</v>
      </c>
      <c r="N28">
        <f t="shared" si="5"/>
        <v>14</v>
      </c>
      <c r="O28">
        <f t="shared" si="5"/>
        <v>15</v>
      </c>
      <c r="P28">
        <f t="shared" si="5"/>
        <v>16</v>
      </c>
      <c r="Q28">
        <f t="shared" si="5"/>
        <v>17</v>
      </c>
      <c r="R28">
        <f t="shared" si="5"/>
        <v>18</v>
      </c>
      <c r="S28" s="107">
        <f t="shared" si="6"/>
        <v>19</v>
      </c>
      <c r="T28" s="107">
        <f t="shared" si="6"/>
        <v>20</v>
      </c>
      <c r="U28" s="107"/>
      <c r="V28" s="107">
        <f t="shared" si="7"/>
        <v>22</v>
      </c>
      <c r="W28" s="107">
        <f t="shared" si="1"/>
        <v>23</v>
      </c>
      <c r="X28" t="str">
        <f>'Catalogo de Item de Serviço'!B29</f>
        <v>Desenvolvimento</v>
      </c>
      <c r="Y28" t="str">
        <f>'Catalogo de Item de Serviço'!C29</f>
        <v>BPM-Desenvolvimento Relatório Analytics</v>
      </c>
      <c r="Z28" t="str">
        <f>'Catalogo de Item de Serviço'!D29</f>
        <v>Número Relatórios</v>
      </c>
      <c r="AA28">
        <f>'Catalogo de Item de Serviço'!F29</f>
        <v>16</v>
      </c>
      <c r="AB28">
        <f>'Catalogo de Item de Serviço'!G29</f>
        <v>24</v>
      </c>
      <c r="AC28">
        <f>'Catalogo de Item de Serviço'!H29</f>
        <v>40</v>
      </c>
      <c r="AD28">
        <f>'Catalogo de Item de Serviço'!I29</f>
        <v>137</v>
      </c>
    </row>
    <row r="29" spans="7:30" x14ac:dyDescent="0.2">
      <c r="M29">
        <f t="shared" ref="M29:T30" si="8">M$1</f>
        <v>13</v>
      </c>
      <c r="N29">
        <f t="shared" si="8"/>
        <v>14</v>
      </c>
      <c r="O29">
        <f t="shared" si="8"/>
        <v>15</v>
      </c>
      <c r="P29">
        <f t="shared" si="8"/>
        <v>16</v>
      </c>
      <c r="Q29">
        <f t="shared" si="8"/>
        <v>17</v>
      </c>
      <c r="R29">
        <f t="shared" si="8"/>
        <v>18</v>
      </c>
      <c r="S29" s="107">
        <f t="shared" si="8"/>
        <v>19</v>
      </c>
      <c r="T29" s="107">
        <f t="shared" si="8"/>
        <v>20</v>
      </c>
      <c r="U29" s="107"/>
      <c r="V29" s="107"/>
      <c r="W29" s="107">
        <f t="shared" si="1"/>
        <v>23</v>
      </c>
      <c r="X29" t="str">
        <f>'Catalogo de Item de Serviço'!B30</f>
        <v>Desenvolvimento</v>
      </c>
      <c r="Y29" t="str">
        <f>'Catalogo de Item de Serviço'!C30</f>
        <v>BPM-Relatorio BIRT</v>
      </c>
      <c r="Z29" t="str">
        <f>'Catalogo de Item de Serviço'!D30</f>
        <v>Número Relatórios</v>
      </c>
      <c r="AA29">
        <f>'Catalogo de Item de Serviço'!F30</f>
        <v>24</v>
      </c>
      <c r="AB29">
        <f>'Catalogo de Item de Serviço'!G30</f>
        <v>40</v>
      </c>
      <c r="AC29">
        <f>'Catalogo de Item de Serviço'!H30</f>
        <v>80</v>
      </c>
      <c r="AD29">
        <f>'Catalogo de Item de Serviço'!I30</f>
        <v>137</v>
      </c>
    </row>
    <row r="30" spans="7:30" x14ac:dyDescent="0.2">
      <c r="M30">
        <f t="shared" si="8"/>
        <v>13</v>
      </c>
      <c r="N30">
        <f t="shared" si="8"/>
        <v>14</v>
      </c>
      <c r="O30">
        <f t="shared" si="8"/>
        <v>15</v>
      </c>
      <c r="P30">
        <f t="shared" si="8"/>
        <v>16</v>
      </c>
      <c r="Q30">
        <f t="shared" si="8"/>
        <v>17</v>
      </c>
      <c r="R30">
        <f t="shared" si="8"/>
        <v>18</v>
      </c>
      <c r="S30" s="107">
        <f t="shared" ref="S30:T32" si="9">S$1</f>
        <v>19</v>
      </c>
      <c r="T30" s="107">
        <f t="shared" si="9"/>
        <v>20</v>
      </c>
      <c r="U30" s="107"/>
      <c r="V30" s="107"/>
      <c r="W30" s="107">
        <f t="shared" si="1"/>
        <v>23</v>
      </c>
      <c r="X30" t="str">
        <f>'Catalogo de Item de Serviço'!B31</f>
        <v>Desenvolvimento</v>
      </c>
      <c r="Y30" t="str">
        <f>'Catalogo de Item de Serviço'!C31</f>
        <v>ECM-Evento da Gestão de Documentos</v>
      </c>
      <c r="Z30" t="str">
        <f>'Catalogo de Item de Serviço'!D31</f>
        <v>Número Eventos</v>
      </c>
      <c r="AA30">
        <f>'Catalogo de Item de Serviço'!F31</f>
        <v>24</v>
      </c>
      <c r="AB30">
        <f>'Catalogo de Item de Serviço'!G31</f>
        <v>40</v>
      </c>
      <c r="AC30">
        <f>'Catalogo de Item de Serviço'!H31</f>
        <v>80</v>
      </c>
      <c r="AD30">
        <f>'Catalogo de Item de Serviço'!I31</f>
        <v>137</v>
      </c>
    </row>
    <row r="31" spans="7:30" x14ac:dyDescent="0.2">
      <c r="G31" s="107">
        <f t="shared" ref="G31:J32" si="10">G$1</f>
        <v>7</v>
      </c>
      <c r="H31" s="107">
        <f t="shared" si="10"/>
        <v>8</v>
      </c>
      <c r="I31" s="107">
        <f t="shared" si="10"/>
        <v>9</v>
      </c>
      <c r="J31" s="107">
        <f t="shared" si="10"/>
        <v>10</v>
      </c>
      <c r="S31" s="107">
        <f t="shared" si="9"/>
        <v>19</v>
      </c>
      <c r="T31" s="107">
        <f t="shared" si="9"/>
        <v>20</v>
      </c>
      <c r="U31" s="107"/>
      <c r="V31" s="107"/>
      <c r="W31" s="107">
        <f t="shared" si="1"/>
        <v>23</v>
      </c>
      <c r="X31" t="str">
        <f>'Catalogo de Item de Serviço'!B32</f>
        <v>Desenvolvimento</v>
      </c>
      <c r="Y31" t="str">
        <f>'Catalogo de Item de Serviço'!C32</f>
        <v>WCM-Desenvolvimento Widget</v>
      </c>
      <c r="Z31" t="str">
        <f>'Catalogo de Item de Serviço'!D32</f>
        <v>Número Widgets</v>
      </c>
      <c r="AA31">
        <f>'Catalogo de Item de Serviço'!F32</f>
        <v>16</v>
      </c>
      <c r="AB31">
        <f>'Catalogo de Item de Serviço'!G32</f>
        <v>24</v>
      </c>
      <c r="AC31">
        <f>'Catalogo de Item de Serviço'!H32</f>
        <v>40</v>
      </c>
      <c r="AD31">
        <f>'Catalogo de Item de Serviço'!I32</f>
        <v>137</v>
      </c>
    </row>
    <row r="32" spans="7:30" x14ac:dyDescent="0.2">
      <c r="G32" s="107">
        <f t="shared" si="10"/>
        <v>7</v>
      </c>
      <c r="H32" s="107">
        <f t="shared" si="10"/>
        <v>8</v>
      </c>
      <c r="I32" s="107">
        <f t="shared" si="10"/>
        <v>9</v>
      </c>
      <c r="J32" s="107">
        <f t="shared" si="10"/>
        <v>10</v>
      </c>
      <c r="S32" s="107">
        <f t="shared" si="9"/>
        <v>19</v>
      </c>
      <c r="T32" s="107">
        <f t="shared" si="9"/>
        <v>20</v>
      </c>
      <c r="U32" s="107"/>
      <c r="V32" s="107"/>
      <c r="W32" s="107">
        <f t="shared" si="1"/>
        <v>23</v>
      </c>
      <c r="X32" t="str">
        <f>'Catalogo de Item de Serviço'!B33</f>
        <v>Desenvolvimento</v>
      </c>
      <c r="Y32" t="str">
        <f>'Catalogo de Item de Serviço'!C33</f>
        <v>WCM-Desenvolvimento Página</v>
      </c>
      <c r="Z32" t="str">
        <f>'Catalogo de Item de Serviço'!D33</f>
        <v>Número Layouts</v>
      </c>
      <c r="AA32">
        <f>'Catalogo de Item de Serviço'!F33</f>
        <v>16</v>
      </c>
      <c r="AB32">
        <f>'Catalogo de Item de Serviço'!G33</f>
        <v>24</v>
      </c>
      <c r="AC32">
        <f>'Catalogo de Item de Serviço'!H33</f>
        <v>40</v>
      </c>
      <c r="AD32">
        <f>'Catalogo de Item de Serviço'!I33</f>
        <v>137</v>
      </c>
    </row>
    <row r="33" spans="7:30" x14ac:dyDescent="0.2">
      <c r="G33" s="107">
        <f t="shared" ref="G33:J37" si="11">G$1</f>
        <v>7</v>
      </c>
      <c r="H33" s="107">
        <f t="shared" si="11"/>
        <v>8</v>
      </c>
      <c r="I33" s="107">
        <f t="shared" si="11"/>
        <v>9</v>
      </c>
      <c r="J33" s="107">
        <f t="shared" si="11"/>
        <v>10</v>
      </c>
      <c r="S33" s="107">
        <f t="shared" ref="S33:V48" si="12">S$1</f>
        <v>19</v>
      </c>
      <c r="T33" s="107">
        <f t="shared" si="12"/>
        <v>20</v>
      </c>
      <c r="U33" s="107"/>
      <c r="V33" s="107"/>
      <c r="W33" s="107">
        <f t="shared" si="1"/>
        <v>23</v>
      </c>
      <c r="X33" t="str">
        <f>'Catalogo de Item de Serviço'!B34</f>
        <v>Desenvolvimento</v>
      </c>
      <c r="Y33" t="str">
        <f>'Catalogo de Item de Serviço'!C34</f>
        <v>WCM-Validações Java Scrip no Widget</v>
      </c>
      <c r="Z33" t="str">
        <f>'Catalogo de Item de Serviço'!D34</f>
        <v>Número Validações</v>
      </c>
      <c r="AA33">
        <f>'Catalogo de Item de Serviço'!F34</f>
        <v>2</v>
      </c>
      <c r="AB33">
        <f>'Catalogo de Item de Serviço'!G34</f>
        <v>4</v>
      </c>
      <c r="AC33">
        <f>'Catalogo de Item de Serviço'!H34</f>
        <v>8</v>
      </c>
      <c r="AD33">
        <f>'Catalogo de Item de Serviço'!I34</f>
        <v>137</v>
      </c>
    </row>
    <row r="34" spans="7:30" x14ac:dyDescent="0.2">
      <c r="G34" s="107">
        <f t="shared" si="11"/>
        <v>7</v>
      </c>
      <c r="H34" s="107">
        <f t="shared" si="11"/>
        <v>8</v>
      </c>
      <c r="I34" s="107">
        <f t="shared" si="11"/>
        <v>9</v>
      </c>
      <c r="J34" s="107">
        <f t="shared" si="11"/>
        <v>10</v>
      </c>
      <c r="S34" s="107">
        <f t="shared" si="12"/>
        <v>19</v>
      </c>
      <c r="T34" s="107">
        <f t="shared" si="12"/>
        <v>20</v>
      </c>
      <c r="U34" s="107"/>
      <c r="V34" s="107"/>
      <c r="W34" s="107">
        <f t="shared" si="1"/>
        <v>23</v>
      </c>
      <c r="X34" t="str">
        <f>'Catalogo de Item de Serviço'!B35</f>
        <v>Desenvolvimento</v>
      </c>
      <c r="Y34" t="str">
        <f>'Catalogo de Item de Serviço'!C35</f>
        <v>Não utilizar</v>
      </c>
      <c r="Z34" t="str">
        <f>'Catalogo de Item de Serviço'!D35</f>
        <v>Não utilizar</v>
      </c>
      <c r="AA34">
        <f>'Catalogo de Item de Serviço'!F35</f>
        <v>0</v>
      </c>
      <c r="AB34">
        <f>'Catalogo de Item de Serviço'!G35</f>
        <v>0</v>
      </c>
      <c r="AC34">
        <f>'Catalogo de Item de Serviço'!H35</f>
        <v>0</v>
      </c>
      <c r="AD34">
        <f>'Catalogo de Item de Serviço'!I35</f>
        <v>137</v>
      </c>
    </row>
    <row r="35" spans="7:30" x14ac:dyDescent="0.2">
      <c r="G35" s="107">
        <f t="shared" si="11"/>
        <v>7</v>
      </c>
      <c r="H35" s="107">
        <f t="shared" si="11"/>
        <v>8</v>
      </c>
      <c r="I35" s="107">
        <f t="shared" si="11"/>
        <v>9</v>
      </c>
      <c r="J35" s="107">
        <f t="shared" si="11"/>
        <v>10</v>
      </c>
      <c r="S35" s="107">
        <f t="shared" si="12"/>
        <v>19</v>
      </c>
      <c r="T35" s="107">
        <f t="shared" si="12"/>
        <v>20</v>
      </c>
      <c r="U35" s="107"/>
      <c r="V35" s="107"/>
      <c r="W35" s="107">
        <f t="shared" si="1"/>
        <v>23</v>
      </c>
      <c r="X35" t="str">
        <f>'Catalogo de Item de Serviço'!B36</f>
        <v>Desenvolvimento</v>
      </c>
      <c r="Y35" t="str">
        <f>'Catalogo de Item de Serviço'!C36</f>
        <v>WCM-Dataset para integração</v>
      </c>
      <c r="Z35" t="str">
        <f>'Catalogo de Item de Serviço'!D36</f>
        <v>Número Datasets</v>
      </c>
      <c r="AA35">
        <f>'Catalogo de Item de Serviço'!F36</f>
        <v>4</v>
      </c>
      <c r="AB35">
        <f>'Catalogo de Item de Serviço'!G36</f>
        <v>8</v>
      </c>
      <c r="AC35">
        <f>'Catalogo de Item de Serviço'!H36</f>
        <v>16</v>
      </c>
      <c r="AD35">
        <f>'Catalogo de Item de Serviço'!I36</f>
        <v>137</v>
      </c>
    </row>
    <row r="36" spans="7:30" x14ac:dyDescent="0.2">
      <c r="G36" s="107">
        <f t="shared" si="11"/>
        <v>7</v>
      </c>
      <c r="H36" s="107">
        <f t="shared" si="11"/>
        <v>8</v>
      </c>
      <c r="I36" s="107">
        <f t="shared" si="11"/>
        <v>9</v>
      </c>
      <c r="J36" s="107">
        <f t="shared" si="11"/>
        <v>10</v>
      </c>
      <c r="S36" s="107">
        <f t="shared" si="12"/>
        <v>19</v>
      </c>
      <c r="T36" s="107">
        <f t="shared" si="12"/>
        <v>20</v>
      </c>
      <c r="U36" s="107"/>
      <c r="V36" s="107"/>
      <c r="W36" s="107">
        <f t="shared" si="1"/>
        <v>23</v>
      </c>
      <c r="X36" t="str">
        <f>'Catalogo de Item de Serviço'!B37</f>
        <v>Desenvolvimento</v>
      </c>
      <c r="Y36" t="str">
        <f>'Catalogo de Item de Serviço'!C37</f>
        <v>Não utilizar</v>
      </c>
      <c r="Z36" t="str">
        <f>'Catalogo de Item de Serviço'!D37</f>
        <v>Não utilizar</v>
      </c>
      <c r="AA36">
        <f>'Catalogo de Item de Serviço'!F37</f>
        <v>0</v>
      </c>
      <c r="AB36">
        <f>'Catalogo de Item de Serviço'!G37</f>
        <v>0</v>
      </c>
      <c r="AC36">
        <f>'Catalogo de Item de Serviço'!H37</f>
        <v>0</v>
      </c>
      <c r="AD36">
        <f>'Catalogo de Item de Serviço'!I37</f>
        <v>137</v>
      </c>
    </row>
    <row r="37" spans="7:30" x14ac:dyDescent="0.2">
      <c r="G37" s="107">
        <f t="shared" si="11"/>
        <v>7</v>
      </c>
      <c r="H37" s="107">
        <f t="shared" si="11"/>
        <v>8</v>
      </c>
      <c r="I37" s="107">
        <f t="shared" si="11"/>
        <v>9</v>
      </c>
      <c r="J37" s="107">
        <f t="shared" si="11"/>
        <v>10</v>
      </c>
      <c r="S37" s="107">
        <f t="shared" si="12"/>
        <v>19</v>
      </c>
      <c r="T37" s="107">
        <f t="shared" si="12"/>
        <v>20</v>
      </c>
      <c r="U37" s="107"/>
      <c r="V37" s="107"/>
      <c r="W37" s="107">
        <f t="shared" si="1"/>
        <v>23</v>
      </c>
      <c r="X37" t="str">
        <f>'Catalogo de Item de Serviço'!B38</f>
        <v>Desenvolvimento</v>
      </c>
      <c r="Y37" t="str">
        <f>'Catalogo de Item de Serviço'!C38</f>
        <v>WCM-Web Services Externo para integração</v>
      </c>
      <c r="Z37" t="str">
        <f>'Catalogo de Item de Serviço'!D38</f>
        <v>Número Web Services</v>
      </c>
      <c r="AA37">
        <f>'Catalogo de Item de Serviço'!F38</f>
        <v>8</v>
      </c>
      <c r="AB37">
        <f>'Catalogo de Item de Serviço'!G38</f>
        <v>16</v>
      </c>
      <c r="AC37">
        <f>'Catalogo de Item de Serviço'!H38</f>
        <v>24</v>
      </c>
      <c r="AD37">
        <f>'Catalogo de Item de Serviço'!I38</f>
        <v>137</v>
      </c>
    </row>
    <row r="38" spans="7:30" x14ac:dyDescent="0.2">
      <c r="S38" s="107"/>
      <c r="T38" s="107"/>
      <c r="U38" s="107">
        <f t="shared" si="12"/>
        <v>21</v>
      </c>
      <c r="V38" s="107"/>
      <c r="W38" s="107">
        <f t="shared" si="1"/>
        <v>23</v>
      </c>
      <c r="X38" t="str">
        <f>'Catalogo de Item de Serviço'!B39</f>
        <v>Desenvolvimento</v>
      </c>
      <c r="Y38" t="str">
        <f>'Catalogo de Item de Serviço'!C39</f>
        <v>ESB-Transformação XML</v>
      </c>
      <c r="Z38" t="str">
        <f>'Catalogo de Item de Serviço'!D39</f>
        <v>Número Campos</v>
      </c>
      <c r="AA38">
        <f>'Catalogo de Item de Serviço'!F39</f>
        <v>16</v>
      </c>
      <c r="AB38">
        <f>'Catalogo de Item de Serviço'!G39</f>
        <v>40</v>
      </c>
      <c r="AC38">
        <f>'Catalogo de Item de Serviço'!H39</f>
        <v>80</v>
      </c>
      <c r="AD38">
        <f>'Catalogo de Item de Serviço'!I39</f>
        <v>137</v>
      </c>
    </row>
    <row r="39" spans="7:30" x14ac:dyDescent="0.2">
      <c r="S39" s="107"/>
      <c r="T39" s="107"/>
      <c r="U39" s="107">
        <f t="shared" si="12"/>
        <v>21</v>
      </c>
      <c r="V39" s="107"/>
      <c r="W39" s="107">
        <f t="shared" si="1"/>
        <v>23</v>
      </c>
      <c r="X39" t="str">
        <f>'Catalogo de Item de Serviço'!B40</f>
        <v>Desenvolvimento</v>
      </c>
      <c r="Y39" t="str">
        <f>'Catalogo de Item de Serviço'!C40</f>
        <v>ESB-Transformação Arquivo</v>
      </c>
      <c r="Z39" t="str">
        <f>'Catalogo de Item de Serviço'!D40</f>
        <v>Número Campos</v>
      </c>
      <c r="AA39">
        <f>'Catalogo de Item de Serviço'!F40</f>
        <v>16</v>
      </c>
      <c r="AB39">
        <f>'Catalogo de Item de Serviço'!G40</f>
        <v>40</v>
      </c>
      <c r="AC39">
        <f>'Catalogo de Item de Serviço'!H40</f>
        <v>80</v>
      </c>
      <c r="AD39">
        <f>'Catalogo de Item de Serviço'!I40</f>
        <v>137</v>
      </c>
    </row>
    <row r="40" spans="7:30" x14ac:dyDescent="0.2">
      <c r="S40" s="107"/>
      <c r="T40" s="107"/>
      <c r="U40" s="107">
        <f t="shared" si="12"/>
        <v>21</v>
      </c>
      <c r="V40" s="107"/>
      <c r="W40" s="107">
        <f t="shared" si="1"/>
        <v>23</v>
      </c>
      <c r="X40" t="str">
        <f>'Catalogo de Item de Serviço'!B41</f>
        <v>Desenvolvimento</v>
      </c>
      <c r="Y40" t="str">
        <f>'Catalogo de Item de Serviço'!C41</f>
        <v>ESB-Transformação Customizada Java</v>
      </c>
      <c r="Z40" t="str">
        <f>'Catalogo de Item de Serviço'!D41</f>
        <v>Número de Conectores</v>
      </c>
      <c r="AA40">
        <f>'Catalogo de Item de Serviço'!F41</f>
        <v>16</v>
      </c>
      <c r="AB40">
        <f>'Catalogo de Item de Serviço'!G41</f>
        <v>80</v>
      </c>
      <c r="AC40">
        <f>'Catalogo de Item de Serviço'!H41</f>
        <v>160</v>
      </c>
      <c r="AD40">
        <f>'Catalogo de Item de Serviço'!I41</f>
        <v>137</v>
      </c>
    </row>
    <row r="41" spans="7:30" x14ac:dyDescent="0.2">
      <c r="S41" s="107"/>
      <c r="T41" s="107"/>
      <c r="U41" s="107">
        <f t="shared" si="12"/>
        <v>21</v>
      </c>
      <c r="V41" s="107"/>
      <c r="W41" s="107">
        <f t="shared" si="1"/>
        <v>23</v>
      </c>
      <c r="X41" t="str">
        <f>'Catalogo de Item de Serviço'!B42</f>
        <v>Desenvolvimento</v>
      </c>
      <c r="Y41" t="str">
        <f>'Catalogo de Item de Serviço'!C42</f>
        <v>ESB-Conectares Padrões</v>
      </c>
      <c r="Z41" t="str">
        <f>'Catalogo de Item de Serviço'!D42</f>
        <v>Número de Conectores</v>
      </c>
      <c r="AA41">
        <f>'Catalogo de Item de Serviço'!F42</f>
        <v>8</v>
      </c>
      <c r="AB41">
        <f>'Catalogo de Item de Serviço'!G42</f>
        <v>16</v>
      </c>
      <c r="AC41">
        <f>'Catalogo de Item de Serviço'!H42</f>
        <v>24</v>
      </c>
      <c r="AD41">
        <f>'Catalogo de Item de Serviço'!I42</f>
        <v>137</v>
      </c>
    </row>
    <row r="42" spans="7:30" x14ac:dyDescent="0.2">
      <c r="S42" s="107"/>
      <c r="T42" s="107"/>
      <c r="U42" s="107">
        <f t="shared" si="12"/>
        <v>21</v>
      </c>
      <c r="V42" s="107"/>
      <c r="W42" s="107">
        <f t="shared" si="1"/>
        <v>23</v>
      </c>
      <c r="X42" t="str">
        <f>'Catalogo de Item de Serviço'!B43</f>
        <v>Desenvolvimento</v>
      </c>
      <c r="Y42" t="str">
        <f>'Catalogo de Item de Serviço'!C43</f>
        <v>ESB-Conectores Customizados</v>
      </c>
      <c r="Z42" t="str">
        <f>'Catalogo de Item de Serviço'!D43</f>
        <v>Número de Conectores</v>
      </c>
      <c r="AA42">
        <f>'Catalogo de Item de Serviço'!F43</f>
        <v>16</v>
      </c>
      <c r="AB42">
        <f>'Catalogo de Item de Serviço'!G43</f>
        <v>80</v>
      </c>
      <c r="AC42">
        <f>'Catalogo de Item de Serviço'!H43</f>
        <v>160</v>
      </c>
      <c r="AD42">
        <f>'Catalogo de Item de Serviço'!I43</f>
        <v>137</v>
      </c>
    </row>
    <row r="43" spans="7:30" x14ac:dyDescent="0.2">
      <c r="S43" s="107"/>
      <c r="T43" s="107"/>
      <c r="U43" s="107">
        <f t="shared" si="12"/>
        <v>21</v>
      </c>
      <c r="V43" s="107"/>
      <c r="W43" s="107">
        <f t="shared" si="1"/>
        <v>23</v>
      </c>
      <c r="X43" t="str">
        <f>'Catalogo de Item de Serviço'!B44</f>
        <v>Desenvolvimento</v>
      </c>
      <c r="Y43" t="str">
        <f>'Catalogo de Item de Serviço'!C44</f>
        <v>ESB-E-mail Customizado de Alerta</v>
      </c>
      <c r="Z43" t="str">
        <f>'Catalogo de Item de Serviço'!D44</f>
        <v>Número de Tipos Mensagens</v>
      </c>
      <c r="AA43">
        <f>'Catalogo de Item de Serviço'!F44</f>
        <v>4</v>
      </c>
      <c r="AB43">
        <f>'Catalogo de Item de Serviço'!G44</f>
        <v>8</v>
      </c>
      <c r="AC43">
        <f>'Catalogo de Item de Serviço'!H44</f>
        <v>16</v>
      </c>
      <c r="AD43">
        <f>'Catalogo de Item de Serviço'!I44</f>
        <v>137</v>
      </c>
    </row>
    <row r="44" spans="7:30" x14ac:dyDescent="0.2">
      <c r="S44" s="107"/>
      <c r="T44" s="107"/>
      <c r="U44" s="107"/>
      <c r="V44" s="107">
        <f t="shared" si="12"/>
        <v>22</v>
      </c>
      <c r="W44" s="107">
        <f t="shared" si="1"/>
        <v>23</v>
      </c>
      <c r="X44" t="str">
        <f>'Catalogo de Item de Serviço'!B45</f>
        <v>Desenvolvimento</v>
      </c>
      <c r="Y44" t="str">
        <f>'Catalogo de Item de Serviço'!C45</f>
        <v>IDM-Integração Identity SSO</v>
      </c>
      <c r="Z44" t="str">
        <f>'Catalogo de Item de Serviço'!D45</f>
        <v>Número de Sistemas</v>
      </c>
      <c r="AA44">
        <f>'Catalogo de Item de Serviço'!F45</f>
        <v>24</v>
      </c>
      <c r="AB44">
        <f>'Catalogo de Item de Serviço'!G45</f>
        <v>80</v>
      </c>
      <c r="AC44">
        <f>'Catalogo de Item de Serviço'!H45</f>
        <v>160</v>
      </c>
      <c r="AD44">
        <f>'Catalogo de Item de Serviço'!I45</f>
        <v>137</v>
      </c>
    </row>
    <row r="45" spans="7:30" x14ac:dyDescent="0.2">
      <c r="S45" s="107"/>
      <c r="T45" s="107"/>
      <c r="U45" s="107"/>
      <c r="V45" s="107">
        <f t="shared" si="12"/>
        <v>22</v>
      </c>
      <c r="W45" s="107">
        <f t="shared" si="1"/>
        <v>23</v>
      </c>
      <c r="X45" t="str">
        <f>'Catalogo de Item de Serviço'!B46</f>
        <v>Desenvolvimento</v>
      </c>
      <c r="Y45" t="str">
        <f>'Catalogo de Item de Serviço'!C46</f>
        <v>IDM-Integração Identity Provisionamento / Desprovisionamento</v>
      </c>
      <c r="Z45" t="str">
        <f>'Catalogo de Item de Serviço'!D46</f>
        <v>Número de Sistemas</v>
      </c>
      <c r="AA45">
        <f>'Catalogo de Item de Serviço'!F46</f>
        <v>24</v>
      </c>
      <c r="AB45">
        <f>'Catalogo de Item de Serviço'!G46</f>
        <v>80</v>
      </c>
      <c r="AC45">
        <f>'Catalogo de Item de Serviço'!H46</f>
        <v>160</v>
      </c>
      <c r="AD45">
        <f>'Catalogo de Item de Serviço'!I46</f>
        <v>137</v>
      </c>
    </row>
    <row r="46" spans="7:30" x14ac:dyDescent="0.2">
      <c r="S46" s="107"/>
      <c r="T46" s="107"/>
      <c r="U46" s="107"/>
      <c r="V46" s="107">
        <f t="shared" si="12"/>
        <v>22</v>
      </c>
      <c r="W46" s="107">
        <f t="shared" si="1"/>
        <v>23</v>
      </c>
      <c r="X46" t="str">
        <f>'Catalogo de Item de Serviço'!B47</f>
        <v>Desenvolvimento</v>
      </c>
      <c r="Y46" t="str">
        <f>'Catalogo de Item de Serviço'!C47</f>
        <v>IDM-Integração Identity Menus e Segurança (RAC)</v>
      </c>
      <c r="Z46" t="str">
        <f>'Catalogo de Item de Serviço'!D47</f>
        <v>Número de Sistemas</v>
      </c>
      <c r="AA46">
        <f>'Catalogo de Item de Serviço'!F47</f>
        <v>24</v>
      </c>
      <c r="AB46">
        <f>'Catalogo de Item de Serviço'!G47</f>
        <v>80</v>
      </c>
      <c r="AC46">
        <f>'Catalogo de Item de Serviço'!H47</f>
        <v>160</v>
      </c>
      <c r="AD46">
        <f>'Catalogo de Item de Serviço'!I47</f>
        <v>137</v>
      </c>
    </row>
    <row r="47" spans="7:30" x14ac:dyDescent="0.2">
      <c r="S47" s="107"/>
      <c r="T47" s="107"/>
      <c r="U47" s="107"/>
      <c r="V47" s="107">
        <f t="shared" si="12"/>
        <v>22</v>
      </c>
      <c r="W47" s="107">
        <f t="shared" si="1"/>
        <v>23</v>
      </c>
      <c r="X47" t="str">
        <f>'Catalogo de Item de Serviço'!B48</f>
        <v>Desenvolvimento</v>
      </c>
      <c r="Y47" t="str">
        <f>'Catalogo de Item de Serviço'!C48</f>
        <v>IDM-Integração Pluging Browser</v>
      </c>
      <c r="Z47" t="str">
        <f>'Catalogo de Item de Serviço'!D48</f>
        <v>Número de Sistemas</v>
      </c>
      <c r="AA47">
        <f>'Catalogo de Item de Serviço'!F48</f>
        <v>16</v>
      </c>
      <c r="AB47">
        <f>'Catalogo de Item de Serviço'!G48</f>
        <v>24</v>
      </c>
      <c r="AC47">
        <f>'Catalogo de Item de Serviço'!H48</f>
        <v>40</v>
      </c>
      <c r="AD47">
        <f>'Catalogo de Item de Serviço'!I48</f>
        <v>137</v>
      </c>
    </row>
    <row r="48" spans="7:30" x14ac:dyDescent="0.2">
      <c r="S48" s="107"/>
      <c r="T48" s="107"/>
      <c r="U48" s="107"/>
      <c r="V48" s="107">
        <f t="shared" si="12"/>
        <v>22</v>
      </c>
      <c r="W48" s="107">
        <f t="shared" si="1"/>
        <v>23</v>
      </c>
      <c r="X48" t="str">
        <f>'Catalogo de Item de Serviço'!B49</f>
        <v>Desenvolvimento</v>
      </c>
      <c r="Y48" t="str">
        <f>'Catalogo de Item de Serviço'!C49</f>
        <v>IDM-Integração Desktop Launcher</v>
      </c>
      <c r="Z48" t="str">
        <f>'Catalogo de Item de Serviço'!D49</f>
        <v>Número de Sistemas</v>
      </c>
      <c r="AA48">
        <f>'Catalogo de Item de Serviço'!F49</f>
        <v>16</v>
      </c>
      <c r="AB48">
        <f>'Catalogo de Item de Serviço'!G49</f>
        <v>24</v>
      </c>
      <c r="AC48">
        <f>'Catalogo de Item de Serviço'!H49</f>
        <v>40</v>
      </c>
      <c r="AD48">
        <f>'Catalogo de Item de Serviço'!I49</f>
        <v>137</v>
      </c>
    </row>
    <row r="49" spans="19:30" x14ac:dyDescent="0.2">
      <c r="S49" s="107"/>
      <c r="T49" s="107"/>
      <c r="U49" s="107"/>
      <c r="V49" s="107"/>
      <c r="W49" s="107">
        <f t="shared" si="1"/>
        <v>23</v>
      </c>
      <c r="X49" t="str">
        <f>'Catalogo de Item de Serviço'!B50</f>
        <v>Desenvolvimento</v>
      </c>
      <c r="Y49" t="str">
        <f>'Catalogo de Item de Serviço'!C50</f>
        <v>IDM-Relatórios Identity de Auditoria</v>
      </c>
      <c r="Z49" t="str">
        <f>'Catalogo de Item de Serviço'!D50</f>
        <v>Número de Sistemas</v>
      </c>
      <c r="AA49">
        <f>'Catalogo de Item de Serviço'!F50</f>
        <v>16</v>
      </c>
      <c r="AB49">
        <f>'Catalogo de Item de Serviço'!G50</f>
        <v>80</v>
      </c>
      <c r="AC49">
        <f>'Catalogo de Item de Serviço'!H50</f>
        <v>160</v>
      </c>
      <c r="AD49">
        <f>'Catalogo de Item de Serviço'!I50</f>
        <v>137</v>
      </c>
    </row>
    <row r="50" spans="19:30" x14ac:dyDescent="0.2">
      <c r="S50" s="107"/>
      <c r="T50" s="107"/>
      <c r="U50" s="107"/>
      <c r="V50" s="107"/>
      <c r="W50" s="107">
        <f t="shared" si="1"/>
        <v>23</v>
      </c>
      <c r="X50" t="str">
        <f>'Catalogo de Item de Serviço'!B51</f>
        <v>Consultoria</v>
      </c>
      <c r="Y50" t="str">
        <f>'Catalogo de Item de Serviço'!C51</f>
        <v>Parametrização Inicial</v>
      </c>
      <c r="Z50" t="str">
        <f>'Catalogo de Item de Serviço'!D51</f>
        <v>Por projeto</v>
      </c>
      <c r="AA50">
        <f>'Catalogo de Item de Serviço'!F51</f>
        <v>32</v>
      </c>
      <c r="AB50">
        <f>'Catalogo de Item de Serviço'!G51</f>
        <v>32</v>
      </c>
      <c r="AC50">
        <f>'Catalogo de Item de Serviço'!H51</f>
        <v>32</v>
      </c>
      <c r="AD50">
        <f>'Catalogo de Item de Serviço'!I51</f>
        <v>137</v>
      </c>
    </row>
    <row r="51" spans="19:30" x14ac:dyDescent="0.2">
      <c r="S51" s="107"/>
      <c r="T51" s="107"/>
      <c r="U51" s="107"/>
      <c r="V51" s="107"/>
      <c r="W51" s="107">
        <f t="shared" si="1"/>
        <v>23</v>
      </c>
      <c r="X51" t="str">
        <f>'Catalogo de Item de Serviço'!B52</f>
        <v>Consultoria</v>
      </c>
      <c r="Y51" t="str">
        <f>'Catalogo de Item de Serviço'!C52</f>
        <v>Levantamento do projeto</v>
      </c>
      <c r="Z51" t="str">
        <f>'Catalogo de Item de Serviço'!D52</f>
        <v>Por projeto</v>
      </c>
      <c r="AA51">
        <f>'Catalogo de Item de Serviço'!F52</f>
        <v>8</v>
      </c>
      <c r="AB51">
        <f>'Catalogo de Item de Serviço'!G52</f>
        <v>8</v>
      </c>
      <c r="AC51">
        <f>'Catalogo de Item de Serviço'!H52</f>
        <v>8</v>
      </c>
      <c r="AD51">
        <f>'Catalogo de Item de Serviço'!I52</f>
        <v>137</v>
      </c>
    </row>
    <row r="52" spans="19:30" x14ac:dyDescent="0.2">
      <c r="W52">
        <v>23</v>
      </c>
      <c r="X52" t="str">
        <f>'Catalogo de Item de Serviço'!B53</f>
        <v>Consultoria</v>
      </c>
      <c r="Y52" t="str">
        <f>'Catalogo de Item de Serviço'!C53</f>
        <v>Cadastrar Conteúdo</v>
      </c>
      <c r="Z52" t="str">
        <f>'Catalogo de Item de Serviço'!D53</f>
        <v>Por Conteudo</v>
      </c>
      <c r="AA52">
        <f>'Catalogo de Item de Serviço'!F53</f>
        <v>0.4</v>
      </c>
      <c r="AB52">
        <f>'Catalogo de Item de Serviço'!G53</f>
        <v>0.4</v>
      </c>
      <c r="AC52">
        <f>'Catalogo de Item de Serviço'!H53</f>
        <v>0.4</v>
      </c>
      <c r="AD52">
        <f>'Catalogo de Item de Serviço'!I53</f>
        <v>137</v>
      </c>
    </row>
    <row r="53" spans="19:30" x14ac:dyDescent="0.2">
      <c r="W53">
        <v>23</v>
      </c>
      <c r="X53" t="str">
        <f>'Catalogo de Item de Serviço'!B54</f>
        <v>Consultoria</v>
      </c>
      <c r="Y53" t="str">
        <f>'Catalogo de Item de Serviço'!C54</f>
        <v>Cadastrar e configurar 1 certificado</v>
      </c>
      <c r="Z53" t="str">
        <f>'Catalogo de Item de Serviço'!D54</f>
        <v>Por Certificado</v>
      </c>
      <c r="AA53">
        <f>'Catalogo de Item de Serviço'!F54</f>
        <v>0.5</v>
      </c>
      <c r="AB53">
        <f>'Catalogo de Item de Serviço'!G54</f>
        <v>0.5</v>
      </c>
      <c r="AC53">
        <f>'Catalogo de Item de Serviço'!H54</f>
        <v>0.5</v>
      </c>
      <c r="AD53">
        <f>'Catalogo de Item de Serviço'!I54</f>
        <v>137</v>
      </c>
    </row>
    <row r="54" spans="19:30" x14ac:dyDescent="0.2">
      <c r="W54">
        <v>23</v>
      </c>
      <c r="X54" t="str">
        <f>'Catalogo de Item de Serviço'!B55</f>
        <v>Consultoria</v>
      </c>
      <c r="Y54" t="str">
        <f>'Catalogo de Item de Serviço'!C55</f>
        <v>Cadastrar e configurar conta do tipo tempo</v>
      </c>
      <c r="Z54" t="str">
        <f>'Catalogo de Item de Serviço'!D55</f>
        <v>Por Conta</v>
      </c>
      <c r="AA54">
        <f>'Catalogo de Item de Serviço'!F55</f>
        <v>0.25</v>
      </c>
      <c r="AB54">
        <f>'Catalogo de Item de Serviço'!G55</f>
        <v>0.25</v>
      </c>
      <c r="AC54">
        <f>'Catalogo de Item de Serviço'!H55</f>
        <v>0.25</v>
      </c>
      <c r="AD54">
        <f>'Catalogo de Item de Serviço'!I55</f>
        <v>137</v>
      </c>
    </row>
    <row r="55" spans="19:30" x14ac:dyDescent="0.2">
      <c r="W55">
        <v>23</v>
      </c>
      <c r="X55" t="str">
        <f>'Catalogo de Item de Serviço'!B56</f>
        <v>Consultoria</v>
      </c>
      <c r="Y55" t="str">
        <f>'Catalogo de Item de Serviço'!C56</f>
        <v>Cadastrar e configurar conta do tipo crédito</v>
      </c>
      <c r="Z55" t="str">
        <f>'Catalogo de Item de Serviço'!D56</f>
        <v>Por Conta</v>
      </c>
      <c r="AA55">
        <f>'Catalogo de Item de Serviço'!F56</f>
        <v>0.5</v>
      </c>
      <c r="AB55">
        <f>'Catalogo de Item de Serviço'!G56</f>
        <v>0.5</v>
      </c>
      <c r="AC55">
        <f>'Catalogo de Item de Serviço'!H56</f>
        <v>0.5</v>
      </c>
      <c r="AD55">
        <f>'Catalogo de Item de Serviço'!I56</f>
        <v>137</v>
      </c>
    </row>
    <row r="56" spans="19:30" x14ac:dyDescent="0.2">
      <c r="W56">
        <v>23</v>
      </c>
      <c r="X56" t="str">
        <f>'Catalogo de Item de Serviço'!B57</f>
        <v>Consultoria</v>
      </c>
      <c r="Y56" t="str">
        <f>'Catalogo de Item de Serviço'!C57</f>
        <v>Cadastrar e configurar a conta padrão</v>
      </c>
      <c r="Z56" t="str">
        <f>'Catalogo de Item de Serviço'!D57</f>
        <v>Por Conta</v>
      </c>
      <c r="AA56">
        <f>'Catalogo de Item de Serviço'!F57</f>
        <v>0.5</v>
      </c>
      <c r="AB56">
        <f>'Catalogo de Item de Serviço'!G57</f>
        <v>0.5</v>
      </c>
      <c r="AC56">
        <f>'Catalogo de Item de Serviço'!H57</f>
        <v>0.5</v>
      </c>
      <c r="AD56">
        <f>'Catalogo de Item de Serviço'!I57</f>
        <v>137</v>
      </c>
    </row>
    <row r="57" spans="19:30" x14ac:dyDescent="0.2">
      <c r="W57">
        <v>23</v>
      </c>
      <c r="X57" t="str">
        <f>'Catalogo de Item de Serviço'!B58</f>
        <v>Consultoria</v>
      </c>
      <c r="Y57" t="str">
        <f>'Catalogo de Item de Serviço'!C58</f>
        <v>Cadastrar Pastas no Catálogo de Treinamento</v>
      </c>
      <c r="Z57" t="str">
        <f>'Catalogo de Item de Serviço'!D58</f>
        <v>Por Pasta</v>
      </c>
      <c r="AA57">
        <f>'Catalogo de Item de Serviço'!F58</f>
        <v>0.16666666666666666</v>
      </c>
      <c r="AB57">
        <f>'Catalogo de Item de Serviço'!G58</f>
        <v>0.16666666666666666</v>
      </c>
      <c r="AC57">
        <f>'Catalogo de Item de Serviço'!H58</f>
        <v>0.16666666666666666</v>
      </c>
      <c r="AD57">
        <f>'Catalogo de Item de Serviço'!I58</f>
        <v>137</v>
      </c>
    </row>
    <row r="58" spans="19:30" x14ac:dyDescent="0.2">
      <c r="W58">
        <v>23</v>
      </c>
      <c r="X58" t="str">
        <f>'Catalogo de Item de Serviço'!B59</f>
        <v>Consultoria</v>
      </c>
      <c r="Y58" t="str">
        <f>'Catalogo de Item de Serviço'!C59</f>
        <v>Cadastrar Pastas no Catálogo de Disciplinas/Turmas</v>
      </c>
      <c r="Z58" t="str">
        <f>'Catalogo de Item de Serviço'!D59</f>
        <v>Por Pasta</v>
      </c>
      <c r="AA58">
        <f>'Catalogo de Item de Serviço'!F59</f>
        <v>0.16666666666666666</v>
      </c>
      <c r="AB58">
        <f>'Catalogo de Item de Serviço'!G59</f>
        <v>0.16666666666666666</v>
      </c>
      <c r="AC58">
        <f>'Catalogo de Item de Serviço'!H59</f>
        <v>0.16666666666666666</v>
      </c>
      <c r="AD58">
        <f>'Catalogo de Item de Serviço'!I59</f>
        <v>137</v>
      </c>
    </row>
    <row r="59" spans="19:30" x14ac:dyDescent="0.2">
      <c r="W59">
        <v>23</v>
      </c>
      <c r="X59" t="str">
        <f>'Catalogo de Item de Serviço'!B60</f>
        <v>Consultoria</v>
      </c>
      <c r="Y59" t="str">
        <f>'Catalogo de Item de Serviço'!C60</f>
        <v>Cadastrar Treinamento com Pré-Teste, Conteúdo e Pós-Teste</v>
      </c>
      <c r="Z59" t="str">
        <f>'Catalogo de Item de Serviço'!D60</f>
        <v>Por Treinametno</v>
      </c>
      <c r="AA59">
        <f>'Catalogo de Item de Serviço'!F60</f>
        <v>0.4</v>
      </c>
      <c r="AB59">
        <f>'Catalogo de Item de Serviço'!G60</f>
        <v>0.4</v>
      </c>
      <c r="AC59">
        <f>'Catalogo de Item de Serviço'!H60</f>
        <v>0.4</v>
      </c>
      <c r="AD59">
        <f>'Catalogo de Item de Serviço'!I60</f>
        <v>137</v>
      </c>
    </row>
    <row r="60" spans="19:30" x14ac:dyDescent="0.2">
      <c r="W60">
        <v>23</v>
      </c>
      <c r="X60" t="str">
        <f>'Catalogo de Item de Serviço'!B61</f>
        <v>Consultoria</v>
      </c>
      <c r="Y60" t="str">
        <f>'Catalogo de Item de Serviço'!C61</f>
        <v>Cadastrar Trilha de Aprendizado</v>
      </c>
      <c r="Z60" t="str">
        <f>'Catalogo de Item de Serviço'!D61</f>
        <v>Por Trilha</v>
      </c>
      <c r="AA60">
        <f>'Catalogo de Item de Serviço'!F61</f>
        <v>0.25</v>
      </c>
      <c r="AB60">
        <f>'Catalogo de Item de Serviço'!G61</f>
        <v>0.25</v>
      </c>
      <c r="AC60">
        <f>'Catalogo de Item de Serviço'!H61</f>
        <v>0.25</v>
      </c>
      <c r="AD60">
        <f>'Catalogo de Item de Serviço'!I61</f>
        <v>137</v>
      </c>
    </row>
    <row r="61" spans="19:30" x14ac:dyDescent="0.2">
      <c r="W61">
        <v>23</v>
      </c>
      <c r="X61" t="str">
        <f>'Catalogo de Item de Serviço'!B62</f>
        <v>Consultoria</v>
      </c>
      <c r="Y61" t="str">
        <f>'Catalogo de Item de Serviço'!C62</f>
        <v>Cadastrar e Configurar Disciplinas</v>
      </c>
      <c r="Z61" t="str">
        <f>'Catalogo de Item de Serviço'!D62</f>
        <v>Por Diciplina</v>
      </c>
      <c r="AA61">
        <f>'Catalogo de Item de Serviço'!F62</f>
        <v>0.4</v>
      </c>
      <c r="AB61">
        <f>'Catalogo de Item de Serviço'!G62</f>
        <v>0.4</v>
      </c>
      <c r="AC61">
        <f>'Catalogo de Item de Serviço'!H62</f>
        <v>0.4</v>
      </c>
      <c r="AD61">
        <f>'Catalogo de Item de Serviço'!I62</f>
        <v>137</v>
      </c>
    </row>
    <row r="62" spans="19:30" x14ac:dyDescent="0.2">
      <c r="W62">
        <v>23</v>
      </c>
      <c r="X62" t="str">
        <f>'Catalogo de Item de Serviço'!B63</f>
        <v>Consultoria</v>
      </c>
      <c r="Y62" t="str">
        <f>'Catalogo de Item de Serviço'!C63</f>
        <v xml:space="preserve">Cadastrar e Configurar  Turmas na Disciplina </v>
      </c>
      <c r="Z62" t="str">
        <f>'Catalogo de Item de Serviço'!D63</f>
        <v>Por Turma</v>
      </c>
      <c r="AA62">
        <f>'Catalogo de Item de Serviço'!F63</f>
        <v>0.2</v>
      </c>
      <c r="AB62">
        <f>'Catalogo de Item de Serviço'!G63</f>
        <v>0.2</v>
      </c>
      <c r="AC62">
        <f>'Catalogo de Item de Serviço'!H63</f>
        <v>0.2</v>
      </c>
      <c r="AD62">
        <f>'Catalogo de Item de Serviço'!I63</f>
        <v>137</v>
      </c>
    </row>
    <row r="63" spans="19:30" x14ac:dyDescent="0.2">
      <c r="W63">
        <v>23</v>
      </c>
      <c r="X63" t="str">
        <f>'Catalogo de Item de Serviço'!B64</f>
        <v>Consultoria</v>
      </c>
      <c r="Y63" t="str">
        <f>'Catalogo de Item de Serviço'!C64</f>
        <v xml:space="preserve">Cadastrar e Configurar Turmas Modelo na Disciplina </v>
      </c>
      <c r="Z63" t="str">
        <f>'Catalogo de Item de Serviço'!D64</f>
        <v>Por Turma</v>
      </c>
      <c r="AA63">
        <f>'Catalogo de Item de Serviço'!F64</f>
        <v>0.25</v>
      </c>
      <c r="AB63">
        <f>'Catalogo de Item de Serviço'!G64</f>
        <v>0.25</v>
      </c>
      <c r="AC63">
        <f>'Catalogo de Item de Serviço'!H64</f>
        <v>0.25</v>
      </c>
      <c r="AD63">
        <f>'Catalogo de Item de Serviço'!I64</f>
        <v>137</v>
      </c>
    </row>
    <row r="64" spans="19:30" x14ac:dyDescent="0.2">
      <c r="W64">
        <v>23</v>
      </c>
      <c r="X64" t="str">
        <f>'Catalogo de Item de Serviço'!B65</f>
        <v>Consultoria</v>
      </c>
      <c r="Y64" t="str">
        <f>'Catalogo de Item de Serviço'!C65</f>
        <v>Adicionar e Configurar Tópico (Aulas)</v>
      </c>
      <c r="Z64" t="str">
        <f>'Catalogo de Item de Serviço'!D65</f>
        <v>Por Topico</v>
      </c>
      <c r="AA64">
        <f>'Catalogo de Item de Serviço'!F65</f>
        <v>0.25</v>
      </c>
      <c r="AB64">
        <f>'Catalogo de Item de Serviço'!G65</f>
        <v>0.25</v>
      </c>
      <c r="AC64">
        <f>'Catalogo de Item de Serviço'!H65</f>
        <v>0.25</v>
      </c>
      <c r="AD64">
        <f>'Catalogo de Item de Serviço'!I65</f>
        <v>137</v>
      </c>
    </row>
    <row r="65" spans="23:30" x14ac:dyDescent="0.2">
      <c r="W65">
        <v>23</v>
      </c>
      <c r="X65" t="str">
        <f>'Catalogo de Item de Serviço'!B66</f>
        <v>Consultoria</v>
      </c>
      <c r="Y65" t="str">
        <f>'Catalogo de Item de Serviço'!C66</f>
        <v>Adicionar e Configurar  Itens de Tópico, incluindo Entrega de trabalho e Link Externo</v>
      </c>
      <c r="Z65" t="str">
        <f>'Catalogo de Item de Serviço'!D66</f>
        <v>Por Topico</v>
      </c>
      <c r="AA65">
        <f>'Catalogo de Item de Serviço'!F66</f>
        <v>0.4</v>
      </c>
      <c r="AB65">
        <f>'Catalogo de Item de Serviço'!G66</f>
        <v>0.4</v>
      </c>
      <c r="AC65">
        <f>'Catalogo de Item de Serviço'!H66</f>
        <v>0.4</v>
      </c>
      <c r="AD65">
        <f>'Catalogo de Item de Serviço'!I66</f>
        <v>137</v>
      </c>
    </row>
    <row r="66" spans="23:30" x14ac:dyDescent="0.2">
      <c r="W66">
        <v>23</v>
      </c>
      <c r="X66" t="str">
        <f>'Catalogo de Item de Serviço'!B67</f>
        <v>Consultoria</v>
      </c>
      <c r="Y66" t="str">
        <f>'Catalogo de Item de Serviço'!C67</f>
        <v>Cadastrar e Configurar  Eventos Colaborativo</v>
      </c>
      <c r="Z66" t="str">
        <f>'Catalogo de Item de Serviço'!D67</f>
        <v>Por Evento</v>
      </c>
      <c r="AA66">
        <f>'Catalogo de Item de Serviço'!F67</f>
        <v>0.5</v>
      </c>
      <c r="AB66">
        <f>'Catalogo de Item de Serviço'!G67</f>
        <v>0.5</v>
      </c>
      <c r="AC66">
        <f>'Catalogo de Item de Serviço'!H67</f>
        <v>0.5</v>
      </c>
      <c r="AD66">
        <f>'Catalogo de Item de Serviço'!I67</f>
        <v>137</v>
      </c>
    </row>
    <row r="67" spans="23:30" x14ac:dyDescent="0.2">
      <c r="W67">
        <v>23</v>
      </c>
      <c r="X67" t="str">
        <f>'Catalogo de Item de Serviço'!B68</f>
        <v>Consultoria</v>
      </c>
      <c r="Y67" t="str">
        <f>'Catalogo de Item de Serviço'!C68</f>
        <v>Cadastrar novas sessões</v>
      </c>
      <c r="Z67" t="str">
        <f>'Catalogo de Item de Serviço'!D68</f>
        <v>Por Sessão</v>
      </c>
      <c r="AA67">
        <f>'Catalogo de Item de Serviço'!F68</f>
        <v>0.2</v>
      </c>
      <c r="AB67">
        <f>'Catalogo de Item de Serviço'!G68</f>
        <v>0.2</v>
      </c>
      <c r="AC67">
        <f>'Catalogo de Item de Serviço'!H68</f>
        <v>0.2</v>
      </c>
      <c r="AD67">
        <f>'Catalogo de Item de Serviço'!I68</f>
        <v>137</v>
      </c>
    </row>
    <row r="68" spans="23:30" x14ac:dyDescent="0.2">
      <c r="W68">
        <v>23</v>
      </c>
      <c r="X68" t="str">
        <f>'Catalogo de Item de Serviço'!B69</f>
        <v>Consultoria</v>
      </c>
      <c r="Y68" t="str">
        <f>'Catalogo de Item de Serviço'!C69</f>
        <v>Cadastrar e Configurar Habilidade</v>
      </c>
      <c r="Z68" t="str">
        <f>'Catalogo de Item de Serviço'!D69</f>
        <v>Por Habilidade</v>
      </c>
      <c r="AA68">
        <f>'Catalogo de Item de Serviço'!F69</f>
        <v>0.1</v>
      </c>
      <c r="AB68">
        <f>'Catalogo de Item de Serviço'!G69</f>
        <v>0.1</v>
      </c>
      <c r="AC68">
        <f>'Catalogo de Item de Serviço'!H69</f>
        <v>0.1</v>
      </c>
      <c r="AD68">
        <f>'Catalogo de Item de Serviço'!I69</f>
        <v>137</v>
      </c>
    </row>
    <row r="69" spans="23:30" x14ac:dyDescent="0.2">
      <c r="W69">
        <v>23</v>
      </c>
      <c r="X69" t="str">
        <f>'Catalogo de Item de Serviço'!B70</f>
        <v>Consultoria</v>
      </c>
      <c r="Y69" t="str">
        <f>'Catalogo de Item de Serviço'!C70</f>
        <v>Cadastro e Configuração deTópicos</v>
      </c>
      <c r="Z69" t="str">
        <f>'Catalogo de Item de Serviço'!D70</f>
        <v>Por Topico</v>
      </c>
      <c r="AA69">
        <f>'Catalogo de Item de Serviço'!F70</f>
        <v>0.1</v>
      </c>
      <c r="AB69">
        <f>'Catalogo de Item de Serviço'!G70</f>
        <v>0.1</v>
      </c>
      <c r="AC69">
        <f>'Catalogo de Item de Serviço'!H70</f>
        <v>0.1</v>
      </c>
      <c r="AD69">
        <f>'Catalogo de Item de Serviço'!I70</f>
        <v>137</v>
      </c>
    </row>
    <row r="70" spans="23:30" x14ac:dyDescent="0.2">
      <c r="W70">
        <v>23</v>
      </c>
      <c r="X70" t="str">
        <f>'Catalogo de Item de Serviço'!B71</f>
        <v>Consultoria</v>
      </c>
      <c r="Y70" t="str">
        <f>'Catalogo de Item de Serviço'!C71</f>
        <v>Cadastro e Configuração de Questões</v>
      </c>
      <c r="Z70" t="str">
        <f>'Catalogo de Item de Serviço'!D71</f>
        <v>Por Questão</v>
      </c>
      <c r="AA70">
        <f>'Catalogo de Item de Serviço'!F71</f>
        <v>0.4</v>
      </c>
      <c r="AB70">
        <f>'Catalogo de Item de Serviço'!G71</f>
        <v>0.4</v>
      </c>
      <c r="AC70">
        <f>'Catalogo de Item de Serviço'!H71</f>
        <v>0.4</v>
      </c>
      <c r="AD70">
        <f>'Catalogo de Item de Serviço'!I71</f>
        <v>137</v>
      </c>
    </row>
    <row r="71" spans="23:30" x14ac:dyDescent="0.2">
      <c r="W71">
        <v>23</v>
      </c>
      <c r="X71" t="str">
        <f>'Catalogo de Item de Serviço'!B72</f>
        <v>Consultoria</v>
      </c>
      <c r="Y71" t="str">
        <f>'Catalogo de Item de Serviço'!C72</f>
        <v>Cadastro e Configuração de  Blocos</v>
      </c>
      <c r="Z71" t="str">
        <f>'Catalogo de Item de Serviço'!D72</f>
        <v>Por Bloco</v>
      </c>
      <c r="AA71">
        <f>'Catalogo de Item de Serviço'!F72</f>
        <v>0.2</v>
      </c>
      <c r="AB71">
        <f>'Catalogo de Item de Serviço'!G72</f>
        <v>0.2</v>
      </c>
      <c r="AC71">
        <f>'Catalogo de Item de Serviço'!H72</f>
        <v>0.2</v>
      </c>
      <c r="AD71">
        <f>'Catalogo de Item de Serviço'!I72</f>
        <v>137</v>
      </c>
    </row>
    <row r="72" spans="23:30" x14ac:dyDescent="0.2">
      <c r="W72">
        <v>23</v>
      </c>
      <c r="X72" t="str">
        <f>'Catalogo de Item de Serviço'!B73</f>
        <v>Consultoria</v>
      </c>
      <c r="Y72" t="str">
        <f>'Catalogo de Item de Serviço'!C73</f>
        <v>Cadastro e Configuração de Avaliações</v>
      </c>
      <c r="Z72" t="str">
        <f>'Catalogo de Item de Serviço'!D73</f>
        <v>Por Avaliação</v>
      </c>
      <c r="AA72">
        <f>'Catalogo de Item de Serviço'!F73</f>
        <v>0.2</v>
      </c>
      <c r="AB72">
        <f>'Catalogo de Item de Serviço'!G73</f>
        <v>0.2</v>
      </c>
      <c r="AC72">
        <f>'Catalogo de Item de Serviço'!H73</f>
        <v>0.2</v>
      </c>
      <c r="AD72">
        <f>'Catalogo de Item de Serviço'!I73</f>
        <v>137</v>
      </c>
    </row>
    <row r="73" spans="23:30" x14ac:dyDescent="0.2">
      <c r="W73">
        <v>23</v>
      </c>
      <c r="X73" t="str">
        <f>'Catalogo de Item de Serviço'!B74</f>
        <v>Consultoria</v>
      </c>
      <c r="Y73" t="str">
        <f>'Catalogo de Item de Serviço'!C74</f>
        <v>Cadastro de  Agendamento de Avaliações</v>
      </c>
      <c r="Z73" t="str">
        <f>'Catalogo de Item de Serviço'!D74</f>
        <v>Por Agendamento</v>
      </c>
      <c r="AA73">
        <f>'Catalogo de Item de Serviço'!F74</f>
        <v>0.1</v>
      </c>
      <c r="AB73">
        <f>'Catalogo de Item de Serviço'!G74</f>
        <v>0.1</v>
      </c>
      <c r="AC73">
        <f>'Catalogo de Item de Serviço'!H74</f>
        <v>0.1</v>
      </c>
      <c r="AD73">
        <f>'Catalogo de Item de Serviço'!I74</f>
        <v>137</v>
      </c>
    </row>
    <row r="74" spans="23:30" x14ac:dyDescent="0.2">
      <c r="W74">
        <v>23</v>
      </c>
      <c r="X74" t="str">
        <f>'Catalogo de Item de Serviço'!B75</f>
        <v>Consultoria</v>
      </c>
      <c r="Y74" t="str">
        <f>'Catalogo de Item de Serviço'!C75</f>
        <v>Cadastro de Avaliações Externas</v>
      </c>
      <c r="Z74" t="str">
        <f>'Catalogo de Item de Serviço'!D75</f>
        <v>Por Avaliação</v>
      </c>
      <c r="AA74">
        <f>'Catalogo de Item de Serviço'!F75</f>
        <v>2</v>
      </c>
      <c r="AB74">
        <f>'Catalogo de Item de Serviço'!G75</f>
        <v>2</v>
      </c>
      <c r="AC74">
        <f>'Catalogo de Item de Serviço'!H75</f>
        <v>2</v>
      </c>
      <c r="AD74">
        <f>'Catalogo de Item de Serviço'!I75</f>
        <v>137</v>
      </c>
    </row>
    <row r="75" spans="23:30" x14ac:dyDescent="0.2">
      <c r="W75">
        <v>23</v>
      </c>
      <c r="X75" t="str">
        <f>'Catalogo de Item de Serviço'!B76</f>
        <v>Consultoria</v>
      </c>
      <c r="Y75" t="str">
        <f>'Catalogo de Item de Serviço'!C76</f>
        <v>Matricular usuários em Turma</v>
      </c>
      <c r="Z75" t="str">
        <f>'Catalogo de Item de Serviço'!D76</f>
        <v>Por Matricula</v>
      </c>
      <c r="AA75">
        <f>'Catalogo de Item de Serviço'!F76</f>
        <v>0.1</v>
      </c>
      <c r="AB75">
        <f>'Catalogo de Item de Serviço'!G76</f>
        <v>0.1</v>
      </c>
      <c r="AC75">
        <f>'Catalogo de Item de Serviço'!H76</f>
        <v>0.1</v>
      </c>
      <c r="AD75">
        <f>'Catalogo de Item de Serviço'!I76</f>
        <v>137</v>
      </c>
    </row>
    <row r="76" spans="23:30" x14ac:dyDescent="0.2">
      <c r="W76">
        <v>23</v>
      </c>
      <c r="X76" t="str">
        <f>'Catalogo de Item de Serviço'!B77</f>
        <v>Consultoria</v>
      </c>
      <c r="Y76" t="str">
        <f>'Catalogo de Item de Serviço'!C77</f>
        <v>Matricular usuários em Treinamento</v>
      </c>
      <c r="Z76" t="str">
        <f>'Catalogo de Item de Serviço'!D77</f>
        <v>Por usuario</v>
      </c>
      <c r="AA76">
        <f>'Catalogo de Item de Serviço'!F77</f>
        <v>0.1</v>
      </c>
      <c r="AB76">
        <f>'Catalogo de Item de Serviço'!G77</f>
        <v>0.1</v>
      </c>
      <c r="AC76">
        <f>'Catalogo de Item de Serviço'!H77</f>
        <v>0.1</v>
      </c>
      <c r="AD76">
        <f>'Catalogo de Item de Serviço'!I77</f>
        <v>137</v>
      </c>
    </row>
    <row r="77" spans="23:30" x14ac:dyDescent="0.2">
      <c r="W77">
        <v>23</v>
      </c>
      <c r="X77" t="str">
        <f>'Catalogo de Item de Serviço'!B78</f>
        <v>Consultoria</v>
      </c>
      <c r="Y77" t="str">
        <f>'Catalogo de Item de Serviço'!C78</f>
        <v>Matricular  usuários em Trilha</v>
      </c>
      <c r="Z77" t="str">
        <f>'Catalogo de Item de Serviço'!D78</f>
        <v>Por usuario</v>
      </c>
      <c r="AA77">
        <f>'Catalogo de Item de Serviço'!F78</f>
        <v>0.1</v>
      </c>
      <c r="AB77">
        <f>'Catalogo de Item de Serviço'!G78</f>
        <v>0.1</v>
      </c>
      <c r="AC77">
        <f>'Catalogo de Item de Serviço'!H78</f>
        <v>0.1</v>
      </c>
      <c r="AD77">
        <f>'Catalogo de Item de Serviço'!I78</f>
        <v>137</v>
      </c>
    </row>
    <row r="78" spans="23:30" x14ac:dyDescent="0.2">
      <c r="W78">
        <v>23</v>
      </c>
      <c r="X78" t="str">
        <f>'Catalogo de Item de Serviço'!B79</f>
        <v>Consultoria</v>
      </c>
      <c r="Y78" t="str">
        <f>'Catalogo de Item de Serviço'!C79</f>
        <v>Adicionar Widget : Quadro de avisos</v>
      </c>
      <c r="Z78" t="str">
        <f>'Catalogo de Item de Serviço'!D79</f>
        <v>Por Widget</v>
      </c>
      <c r="AA78">
        <f>'Catalogo de Item de Serviço'!F79</f>
        <v>0.5</v>
      </c>
      <c r="AB78">
        <f>'Catalogo de Item de Serviço'!G79</f>
        <v>0.5</v>
      </c>
      <c r="AC78">
        <f>'Catalogo de Item de Serviço'!H79</f>
        <v>0.5</v>
      </c>
      <c r="AD78">
        <f>'Catalogo de Item de Serviço'!I79</f>
        <v>137</v>
      </c>
    </row>
    <row r="79" spans="23:30" x14ac:dyDescent="0.2">
      <c r="W79">
        <v>23</v>
      </c>
      <c r="X79" t="str">
        <f>'Catalogo de Item de Serviço'!B80</f>
        <v>Consultoria</v>
      </c>
      <c r="Y79" t="str">
        <f>'Catalogo de Item de Serviço'!C80</f>
        <v>Cadastro e Configuração de  Avisos</v>
      </c>
      <c r="Z79" t="str">
        <f>'Catalogo de Item de Serviço'!D80</f>
        <v>Por Aviso</v>
      </c>
      <c r="AA79">
        <f>'Catalogo de Item de Serviço'!F80</f>
        <v>0.1</v>
      </c>
      <c r="AB79">
        <f>'Catalogo de Item de Serviço'!G80</f>
        <v>0.1</v>
      </c>
      <c r="AC79">
        <f>'Catalogo de Item de Serviço'!H80</f>
        <v>0.1</v>
      </c>
      <c r="AD79">
        <f>'Catalogo de Item de Serviço'!I80</f>
        <v>137</v>
      </c>
    </row>
    <row r="80" spans="23:30" x14ac:dyDescent="0.2">
      <c r="W80">
        <v>23</v>
      </c>
      <c r="X80" t="str">
        <f>'Catalogo de Item de Serviço'!B81</f>
        <v>Consultoria</v>
      </c>
      <c r="Y80" t="str">
        <f>'Catalogo de Item de Serviço'!C81</f>
        <v>Treinamentos</v>
      </c>
      <c r="Z80" t="str">
        <f>'Catalogo de Item de Serviço'!D81</f>
        <v>Por projeto</v>
      </c>
      <c r="AA80">
        <f>'Catalogo de Item de Serviço'!F81</f>
        <v>8</v>
      </c>
      <c r="AB80">
        <f>'Catalogo de Item de Serviço'!G81</f>
        <v>8</v>
      </c>
      <c r="AC80">
        <f>'Catalogo de Item de Serviço'!H81</f>
        <v>8</v>
      </c>
      <c r="AD80">
        <f>'Catalogo de Item de Serviço'!I81</f>
        <v>137</v>
      </c>
    </row>
    <row r="81" spans="23:30" x14ac:dyDescent="0.2">
      <c r="W81">
        <v>23</v>
      </c>
      <c r="X81" t="str">
        <f>'Catalogo de Item de Serviço'!B82</f>
        <v>Consultoria</v>
      </c>
      <c r="Y81" t="str">
        <f>'Catalogo de Item de Serviço'!C82</f>
        <v>Homologação final do cliente</v>
      </c>
      <c r="Z81" t="str">
        <f>'Catalogo de Item de Serviço'!D82</f>
        <v>Por projeto</v>
      </c>
      <c r="AA81">
        <f>'Catalogo de Item de Serviço'!F82</f>
        <v>16</v>
      </c>
      <c r="AB81">
        <f>'Catalogo de Item de Serviço'!G82</f>
        <v>16</v>
      </c>
      <c r="AC81">
        <f>'Catalogo de Item de Serviço'!H82</f>
        <v>16</v>
      </c>
      <c r="AD81">
        <f>'Catalogo de Item de Serviço'!I82</f>
        <v>137</v>
      </c>
    </row>
    <row r="82" spans="23:30" x14ac:dyDescent="0.2">
      <c r="W82">
        <v>23</v>
      </c>
      <c r="X82" t="str">
        <f>'Catalogo de Item de Serviço'!B83</f>
        <v>Consultoria</v>
      </c>
      <c r="Y82" t="str">
        <f>'Catalogo de Item de Serviço'!C83</f>
        <v>Ajustes finais</v>
      </c>
      <c r="Z82" t="str">
        <f>'Catalogo de Item de Serviço'!D83</f>
        <v>Por projeto</v>
      </c>
      <c r="AA82">
        <f>'Catalogo de Item de Serviço'!F83</f>
        <v>8</v>
      </c>
      <c r="AB82">
        <f>'Catalogo de Item de Serviço'!G83</f>
        <v>8</v>
      </c>
      <c r="AC82">
        <f>'Catalogo de Item de Serviço'!H83</f>
        <v>8</v>
      </c>
      <c r="AD82">
        <f>'Catalogo de Item de Serviço'!I83</f>
        <v>137</v>
      </c>
    </row>
  </sheetData>
  <sheetProtection password="D974" sheet="1" objects="1" scenario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 enableFormatConditionsCalculation="0"/>
  <dimension ref="B1:I83"/>
  <sheetViews>
    <sheetView showGridLines="0" zoomScale="92" zoomScaleNormal="92" zoomScalePageLayoutView="92" workbookViewId="0">
      <selection activeCell="E9" sqref="E9"/>
    </sheetView>
  </sheetViews>
  <sheetFormatPr baseColWidth="10" defaultColWidth="8.83203125" defaultRowHeight="15" x14ac:dyDescent="0.2"/>
  <cols>
    <col min="1" max="1" width="2.83203125" style="131" customWidth="1"/>
    <col min="2" max="2" width="26.1640625" style="131" bestFit="1" customWidth="1"/>
    <col min="3" max="3" width="83.5" style="131" bestFit="1" customWidth="1"/>
    <col min="4" max="4" width="27.1640625" style="131" bestFit="1" customWidth="1"/>
    <col min="5" max="5" width="55.33203125" style="132" customWidth="1"/>
    <col min="6" max="8" width="8.83203125" style="131"/>
    <col min="9" max="9" width="10.5" style="131" bestFit="1" customWidth="1"/>
    <col min="10" max="16384" width="8.83203125" style="131"/>
  </cols>
  <sheetData>
    <row r="1" spans="2:9" ht="16" thickBot="1" x14ac:dyDescent="0.25"/>
    <row r="2" spans="2:9" ht="22" thickBot="1" x14ac:dyDescent="0.25">
      <c r="B2" s="210" t="s">
        <v>153</v>
      </c>
      <c r="C2" s="211"/>
      <c r="D2" s="211"/>
      <c r="E2" s="211"/>
      <c r="F2" s="211"/>
      <c r="G2" s="211"/>
      <c r="H2" s="211"/>
      <c r="I2" s="212"/>
    </row>
    <row r="3" spans="2:9" x14ac:dyDescent="0.2">
      <c r="B3" s="133" t="s">
        <v>30</v>
      </c>
      <c r="C3" s="133" t="s">
        <v>0</v>
      </c>
      <c r="D3" s="133" t="s">
        <v>31</v>
      </c>
      <c r="E3" s="134" t="s">
        <v>166</v>
      </c>
      <c r="F3" s="133" t="s">
        <v>1</v>
      </c>
      <c r="G3" s="133" t="s">
        <v>2</v>
      </c>
      <c r="H3" s="133" t="s">
        <v>3</v>
      </c>
      <c r="I3" s="133" t="s">
        <v>58</v>
      </c>
    </row>
    <row r="4" spans="2:9" ht="30" x14ac:dyDescent="0.2">
      <c r="B4" s="135" t="s">
        <v>7</v>
      </c>
      <c r="C4" s="135" t="s">
        <v>167</v>
      </c>
      <c r="D4" s="135" t="s">
        <v>11</v>
      </c>
      <c r="E4" s="138" t="s">
        <v>173</v>
      </c>
      <c r="F4" s="136">
        <v>48</v>
      </c>
      <c r="G4" s="136">
        <v>48</v>
      </c>
      <c r="H4" s="136">
        <v>48</v>
      </c>
      <c r="I4" s="136">
        <f>Escopo!$D$13</f>
        <v>137</v>
      </c>
    </row>
    <row r="5" spans="2:9" ht="30" x14ac:dyDescent="0.2">
      <c r="B5" s="135" t="s">
        <v>7</v>
      </c>
      <c r="C5" s="135" t="s">
        <v>168</v>
      </c>
      <c r="D5" s="135" t="s">
        <v>11</v>
      </c>
      <c r="E5" s="138" t="s">
        <v>174</v>
      </c>
      <c r="F5" s="136">
        <v>80</v>
      </c>
      <c r="G5" s="136">
        <v>80</v>
      </c>
      <c r="H5" s="136">
        <v>80</v>
      </c>
      <c r="I5" s="136">
        <f>Escopo!$D$13</f>
        <v>137</v>
      </c>
    </row>
    <row r="6" spans="2:9" ht="30" x14ac:dyDescent="0.2">
      <c r="B6" s="135" t="s">
        <v>7</v>
      </c>
      <c r="C6" s="135" t="s">
        <v>169</v>
      </c>
      <c r="D6" s="135" t="s">
        <v>11</v>
      </c>
      <c r="E6" s="138" t="s">
        <v>173</v>
      </c>
      <c r="F6" s="136">
        <v>24</v>
      </c>
      <c r="G6" s="136">
        <v>24</v>
      </c>
      <c r="H6" s="136">
        <v>24</v>
      </c>
      <c r="I6" s="136">
        <f>Escopo!$D$13</f>
        <v>137</v>
      </c>
    </row>
    <row r="7" spans="2:9" ht="30" x14ac:dyDescent="0.2">
      <c r="B7" s="135" t="s">
        <v>7</v>
      </c>
      <c r="C7" s="135" t="s">
        <v>170</v>
      </c>
      <c r="D7" s="135" t="s">
        <v>11</v>
      </c>
      <c r="E7" s="138" t="s">
        <v>174</v>
      </c>
      <c r="F7" s="136">
        <v>16</v>
      </c>
      <c r="G7" s="136">
        <v>16</v>
      </c>
      <c r="H7" s="136">
        <v>16</v>
      </c>
      <c r="I7" s="136">
        <f>Escopo!$D$13</f>
        <v>137</v>
      </c>
    </row>
    <row r="8" spans="2:9" ht="30" x14ac:dyDescent="0.2">
      <c r="B8" s="135" t="s">
        <v>7</v>
      </c>
      <c r="C8" s="135" t="s">
        <v>171</v>
      </c>
      <c r="D8" s="135" t="s">
        <v>11</v>
      </c>
      <c r="E8" s="138" t="s">
        <v>174</v>
      </c>
      <c r="F8" s="136">
        <v>24</v>
      </c>
      <c r="G8" s="136">
        <v>24</v>
      </c>
      <c r="H8" s="136">
        <v>24</v>
      </c>
      <c r="I8" s="136">
        <f>Escopo!$D$13</f>
        <v>137</v>
      </c>
    </row>
    <row r="9" spans="2:9" ht="45" x14ac:dyDescent="0.2">
      <c r="B9" s="135" t="s">
        <v>26</v>
      </c>
      <c r="C9" s="135" t="s">
        <v>25</v>
      </c>
      <c r="D9" s="135" t="s">
        <v>12</v>
      </c>
      <c r="E9" s="138" t="s">
        <v>178</v>
      </c>
      <c r="F9" s="136">
        <v>16</v>
      </c>
      <c r="G9" s="136">
        <v>40</v>
      </c>
      <c r="H9" s="136">
        <v>80</v>
      </c>
      <c r="I9" s="136">
        <f>Escopo!$D$12</f>
        <v>187</v>
      </c>
    </row>
    <row r="10" spans="2:9" ht="45" x14ac:dyDescent="0.2">
      <c r="B10" s="135" t="s">
        <v>26</v>
      </c>
      <c r="C10" s="135" t="s">
        <v>172</v>
      </c>
      <c r="D10" s="135" t="s">
        <v>12</v>
      </c>
      <c r="E10" s="138" t="s">
        <v>179</v>
      </c>
      <c r="F10" s="136">
        <v>8</v>
      </c>
      <c r="G10" s="136">
        <v>16</v>
      </c>
      <c r="H10" s="136">
        <v>80</v>
      </c>
      <c r="I10" s="136">
        <f>Escopo!$D$13</f>
        <v>137</v>
      </c>
    </row>
    <row r="11" spans="2:9" ht="60" x14ac:dyDescent="0.2">
      <c r="B11" s="135" t="s">
        <v>26</v>
      </c>
      <c r="C11" s="135" t="s">
        <v>24</v>
      </c>
      <c r="D11" s="135" t="s">
        <v>12</v>
      </c>
      <c r="E11" s="138" t="s">
        <v>180</v>
      </c>
      <c r="F11" s="136">
        <v>24</v>
      </c>
      <c r="G11" s="136">
        <v>40</v>
      </c>
      <c r="H11" s="136">
        <v>80</v>
      </c>
      <c r="I11" s="136">
        <f>Escopo!$D$13</f>
        <v>137</v>
      </c>
    </row>
    <row r="12" spans="2:9" ht="45" x14ac:dyDescent="0.2">
      <c r="B12" s="135" t="s">
        <v>26</v>
      </c>
      <c r="C12" s="135" t="s">
        <v>23</v>
      </c>
      <c r="D12" s="135" t="s">
        <v>12</v>
      </c>
      <c r="E12" s="138" t="s">
        <v>181</v>
      </c>
      <c r="F12" s="136">
        <v>24</v>
      </c>
      <c r="G12" s="136">
        <v>24</v>
      </c>
      <c r="H12" s="136">
        <v>24</v>
      </c>
      <c r="I12" s="136">
        <f>Escopo!$D$13</f>
        <v>137</v>
      </c>
    </row>
    <row r="13" spans="2:9" ht="30" x14ac:dyDescent="0.2">
      <c r="B13" s="135" t="s">
        <v>26</v>
      </c>
      <c r="C13" s="135" t="s">
        <v>21</v>
      </c>
      <c r="D13" s="135" t="s">
        <v>12</v>
      </c>
      <c r="E13" s="138" t="s">
        <v>182</v>
      </c>
      <c r="F13" s="136">
        <v>40</v>
      </c>
      <c r="G13" s="136">
        <v>40</v>
      </c>
      <c r="H13" s="136">
        <v>80</v>
      </c>
      <c r="I13" s="136">
        <f>Escopo!$D$13</f>
        <v>137</v>
      </c>
    </row>
    <row r="14" spans="2:9" ht="30" x14ac:dyDescent="0.2">
      <c r="B14" s="135" t="s">
        <v>26</v>
      </c>
      <c r="C14" s="135" t="s">
        <v>19</v>
      </c>
      <c r="D14" s="135" t="s">
        <v>20</v>
      </c>
      <c r="E14" s="138" t="s">
        <v>182</v>
      </c>
      <c r="F14" s="136">
        <v>8</v>
      </c>
      <c r="G14" s="136">
        <v>24</v>
      </c>
      <c r="H14" s="136">
        <v>40</v>
      </c>
      <c r="I14" s="136">
        <f>Escopo!$D$13</f>
        <v>137</v>
      </c>
    </row>
    <row r="15" spans="2:9" x14ac:dyDescent="0.2">
      <c r="B15" s="135" t="s">
        <v>26</v>
      </c>
      <c r="C15" s="135" t="s">
        <v>148</v>
      </c>
      <c r="D15" s="135" t="s">
        <v>29</v>
      </c>
      <c r="E15" s="138" t="s">
        <v>183</v>
      </c>
      <c r="F15" s="136">
        <v>210</v>
      </c>
      <c r="G15" s="136">
        <v>210</v>
      </c>
      <c r="H15" s="136">
        <v>210</v>
      </c>
      <c r="I15" s="136">
        <f>Escopo!$D$13</f>
        <v>137</v>
      </c>
    </row>
    <row r="16" spans="2:9" ht="30" x14ac:dyDescent="0.2">
      <c r="B16" s="135" t="s">
        <v>27</v>
      </c>
      <c r="C16" s="135" t="s">
        <v>110</v>
      </c>
      <c r="D16" s="135" t="s">
        <v>13</v>
      </c>
      <c r="E16" s="138" t="s">
        <v>184</v>
      </c>
      <c r="F16" s="136">
        <v>0.35</v>
      </c>
      <c r="G16" s="136">
        <v>0.7</v>
      </c>
      <c r="H16" s="136">
        <v>1.05</v>
      </c>
      <c r="I16" s="136">
        <f>Escopo!$D$13</f>
        <v>137</v>
      </c>
    </row>
    <row r="17" spans="2:9" ht="45" x14ac:dyDescent="0.2">
      <c r="B17" s="135" t="s">
        <v>27</v>
      </c>
      <c r="C17" s="135" t="s">
        <v>111</v>
      </c>
      <c r="D17" s="135" t="s">
        <v>13</v>
      </c>
      <c r="E17" s="138" t="s">
        <v>185</v>
      </c>
      <c r="F17" s="136">
        <v>0.1</v>
      </c>
      <c r="G17" s="136">
        <f>G16*0.5</f>
        <v>0.35</v>
      </c>
      <c r="H17" s="136">
        <f>H16*0.5</f>
        <v>0.52500000000000002</v>
      </c>
      <c r="I17" s="136">
        <f>Escopo!$D$13</f>
        <v>137</v>
      </c>
    </row>
    <row r="18" spans="2:9" ht="30" x14ac:dyDescent="0.2">
      <c r="B18" s="135" t="s">
        <v>27</v>
      </c>
      <c r="C18" s="135" t="s">
        <v>200</v>
      </c>
      <c r="D18" s="135" t="s">
        <v>14</v>
      </c>
      <c r="E18" s="138" t="s">
        <v>175</v>
      </c>
      <c r="F18" s="137">
        <v>1</v>
      </c>
      <c r="G18" s="137">
        <v>2</v>
      </c>
      <c r="H18" s="137">
        <v>3</v>
      </c>
      <c r="I18" s="136">
        <f>Escopo!$D$13</f>
        <v>137</v>
      </c>
    </row>
    <row r="19" spans="2:9" ht="30" x14ac:dyDescent="0.2">
      <c r="B19" s="135" t="s">
        <v>27</v>
      </c>
      <c r="C19" s="135" t="s">
        <v>201</v>
      </c>
      <c r="D19" s="135" t="s">
        <v>14</v>
      </c>
      <c r="E19" s="138" t="s">
        <v>175</v>
      </c>
      <c r="F19" s="137">
        <v>0.5</v>
      </c>
      <c r="G19" s="137">
        <v>1</v>
      </c>
      <c r="H19" s="137">
        <v>2</v>
      </c>
      <c r="I19" s="136">
        <f>Escopo!$D$13</f>
        <v>137</v>
      </c>
    </row>
    <row r="20" spans="2:9" ht="45" x14ac:dyDescent="0.2">
      <c r="B20" s="135" t="s">
        <v>27</v>
      </c>
      <c r="C20" s="135" t="s">
        <v>112</v>
      </c>
      <c r="D20" s="135" t="s">
        <v>32</v>
      </c>
      <c r="E20" s="138" t="s">
        <v>186</v>
      </c>
      <c r="F20" s="136">
        <v>1</v>
      </c>
      <c r="G20" s="136">
        <v>4</v>
      </c>
      <c r="H20" s="136">
        <v>8</v>
      </c>
      <c r="I20" s="136">
        <f>Escopo!$D$13</f>
        <v>137</v>
      </c>
    </row>
    <row r="21" spans="2:9" ht="60" x14ac:dyDescent="0.2">
      <c r="B21" s="135" t="s">
        <v>27</v>
      </c>
      <c r="C21" s="135" t="s">
        <v>113</v>
      </c>
      <c r="D21" s="135" t="s">
        <v>15</v>
      </c>
      <c r="E21" s="138" t="s">
        <v>187</v>
      </c>
      <c r="F21" s="136">
        <v>1</v>
      </c>
      <c r="G21" s="136">
        <v>1.25</v>
      </c>
      <c r="H21" s="136">
        <v>1.5</v>
      </c>
      <c r="I21" s="136">
        <f>Escopo!$D$13</f>
        <v>137</v>
      </c>
    </row>
    <row r="22" spans="2:9" ht="75" x14ac:dyDescent="0.2">
      <c r="B22" s="135" t="s">
        <v>27</v>
      </c>
      <c r="C22" s="135" t="s">
        <v>114</v>
      </c>
      <c r="D22" s="135" t="s">
        <v>16</v>
      </c>
      <c r="E22" s="138" t="s">
        <v>188</v>
      </c>
      <c r="F22" s="136">
        <v>8</v>
      </c>
      <c r="G22" s="136">
        <v>12</v>
      </c>
      <c r="H22" s="136">
        <v>16</v>
      </c>
      <c r="I22" s="136">
        <f>Escopo!$D$13</f>
        <v>137</v>
      </c>
    </row>
    <row r="23" spans="2:9" ht="45" x14ac:dyDescent="0.2">
      <c r="B23" s="135" t="s">
        <v>27</v>
      </c>
      <c r="C23" s="135" t="s">
        <v>122</v>
      </c>
      <c r="D23" s="135" t="s">
        <v>15</v>
      </c>
      <c r="E23" s="138" t="s">
        <v>176</v>
      </c>
      <c r="F23" s="136">
        <v>0.5</v>
      </c>
      <c r="G23" s="136">
        <v>1.5</v>
      </c>
      <c r="H23" s="136">
        <v>2</v>
      </c>
      <c r="I23" s="136">
        <f>Escopo!$D$13</f>
        <v>137</v>
      </c>
    </row>
    <row r="24" spans="2:9" ht="30" x14ac:dyDescent="0.2">
      <c r="B24" s="135" t="s">
        <v>27</v>
      </c>
      <c r="C24" s="135" t="s">
        <v>115</v>
      </c>
      <c r="D24" s="135" t="s">
        <v>15</v>
      </c>
      <c r="E24" s="138" t="s">
        <v>177</v>
      </c>
      <c r="F24" s="136">
        <v>1</v>
      </c>
      <c r="G24" s="136">
        <v>2</v>
      </c>
      <c r="H24" s="136">
        <v>4</v>
      </c>
      <c r="I24" s="136">
        <f>Escopo!$D$13</f>
        <v>137</v>
      </c>
    </row>
    <row r="25" spans="2:9" ht="45" x14ac:dyDescent="0.2">
      <c r="B25" s="135" t="s">
        <v>27</v>
      </c>
      <c r="C25" s="135" t="s">
        <v>116</v>
      </c>
      <c r="D25" s="135" t="s">
        <v>17</v>
      </c>
      <c r="E25" s="138" t="s">
        <v>189</v>
      </c>
      <c r="F25" s="136">
        <v>2</v>
      </c>
      <c r="G25" s="136">
        <v>4</v>
      </c>
      <c r="H25" s="136">
        <v>8</v>
      </c>
      <c r="I25" s="136">
        <f>Escopo!$D$13</f>
        <v>137</v>
      </c>
    </row>
    <row r="26" spans="2:9" ht="75" x14ac:dyDescent="0.2">
      <c r="B26" s="135" t="s">
        <v>27</v>
      </c>
      <c r="C26" s="135" t="s">
        <v>117</v>
      </c>
      <c r="D26" s="135" t="s">
        <v>17</v>
      </c>
      <c r="E26" s="138" t="s">
        <v>190</v>
      </c>
      <c r="F26" s="136">
        <v>8</v>
      </c>
      <c r="G26" s="136">
        <v>16</v>
      </c>
      <c r="H26" s="136">
        <v>32</v>
      </c>
      <c r="I26" s="136">
        <f>Escopo!$D$13</f>
        <v>137</v>
      </c>
    </row>
    <row r="27" spans="2:9" x14ac:dyDescent="0.2">
      <c r="B27" s="135" t="s">
        <v>27</v>
      </c>
      <c r="C27" s="135" t="s">
        <v>199</v>
      </c>
      <c r="D27" s="135" t="s">
        <v>199</v>
      </c>
      <c r="E27" s="139"/>
      <c r="F27" s="136">
        <v>0</v>
      </c>
      <c r="G27" s="136">
        <v>0</v>
      </c>
      <c r="H27" s="136">
        <v>0</v>
      </c>
      <c r="I27" s="136">
        <f>Escopo!$D$13</f>
        <v>137</v>
      </c>
    </row>
    <row r="28" spans="2:9" ht="75" x14ac:dyDescent="0.2">
      <c r="B28" s="135" t="s">
        <v>27</v>
      </c>
      <c r="C28" s="135" t="s">
        <v>118</v>
      </c>
      <c r="D28" s="135" t="s">
        <v>18</v>
      </c>
      <c r="E28" s="138" t="s">
        <v>191</v>
      </c>
      <c r="F28" s="136">
        <v>8</v>
      </c>
      <c r="G28" s="136">
        <v>16</v>
      </c>
      <c r="H28" s="136">
        <v>24</v>
      </c>
      <c r="I28" s="136">
        <f>Escopo!$D$13</f>
        <v>137</v>
      </c>
    </row>
    <row r="29" spans="2:9" ht="30" x14ac:dyDescent="0.2">
      <c r="B29" s="135" t="s">
        <v>27</v>
      </c>
      <c r="C29" s="135" t="s">
        <v>119</v>
      </c>
      <c r="D29" s="135" t="s">
        <v>22</v>
      </c>
      <c r="E29" s="138" t="s">
        <v>192</v>
      </c>
      <c r="F29" s="136">
        <v>16</v>
      </c>
      <c r="G29" s="136">
        <v>24</v>
      </c>
      <c r="H29" s="136">
        <v>40</v>
      </c>
      <c r="I29" s="136">
        <f>Escopo!$D$13</f>
        <v>137</v>
      </c>
    </row>
    <row r="30" spans="2:9" ht="45" x14ac:dyDescent="0.2">
      <c r="B30" s="135" t="s">
        <v>27</v>
      </c>
      <c r="C30" s="135" t="s">
        <v>121</v>
      </c>
      <c r="D30" s="135" t="s">
        <v>22</v>
      </c>
      <c r="E30" s="138" t="s">
        <v>193</v>
      </c>
      <c r="F30" s="136">
        <v>24</v>
      </c>
      <c r="G30" s="136">
        <v>40</v>
      </c>
      <c r="H30" s="136">
        <v>80</v>
      </c>
      <c r="I30" s="136">
        <f>Escopo!$D$13</f>
        <v>137</v>
      </c>
    </row>
    <row r="31" spans="2:9" ht="45" x14ac:dyDescent="0.2">
      <c r="B31" s="135" t="s">
        <v>27</v>
      </c>
      <c r="C31" s="135" t="s">
        <v>139</v>
      </c>
      <c r="D31" s="135" t="s">
        <v>16</v>
      </c>
      <c r="E31" s="138" t="s">
        <v>194</v>
      </c>
      <c r="F31" s="136">
        <v>24</v>
      </c>
      <c r="G31" s="136">
        <v>40</v>
      </c>
      <c r="H31" s="136">
        <v>80</v>
      </c>
      <c r="I31" s="136">
        <f>Escopo!$D$13</f>
        <v>137</v>
      </c>
    </row>
    <row r="32" spans="2:9" ht="30" x14ac:dyDescent="0.2">
      <c r="B32" s="135" t="s">
        <v>27</v>
      </c>
      <c r="C32" s="135" t="s">
        <v>120</v>
      </c>
      <c r="D32" s="135" t="s">
        <v>133</v>
      </c>
      <c r="E32" s="138" t="s">
        <v>195</v>
      </c>
      <c r="F32" s="136">
        <v>16</v>
      </c>
      <c r="G32" s="136">
        <v>24</v>
      </c>
      <c r="H32" s="136">
        <v>40</v>
      </c>
      <c r="I32" s="136">
        <f>Escopo!$D$13</f>
        <v>137</v>
      </c>
    </row>
    <row r="33" spans="2:9" ht="45" x14ac:dyDescent="0.2">
      <c r="B33" s="135" t="s">
        <v>27</v>
      </c>
      <c r="C33" s="135" t="s">
        <v>131</v>
      </c>
      <c r="D33" s="135" t="s">
        <v>132</v>
      </c>
      <c r="E33" s="138" t="s">
        <v>196</v>
      </c>
      <c r="F33" s="136">
        <v>16</v>
      </c>
      <c r="G33" s="136">
        <v>24</v>
      </c>
      <c r="H33" s="136">
        <v>40</v>
      </c>
      <c r="I33" s="136">
        <f>Escopo!$D$13</f>
        <v>137</v>
      </c>
    </row>
    <row r="34" spans="2:9" x14ac:dyDescent="0.2">
      <c r="B34" s="135" t="s">
        <v>27</v>
      </c>
      <c r="C34" s="135" t="s">
        <v>134</v>
      </c>
      <c r="D34" s="135" t="s">
        <v>14</v>
      </c>
      <c r="E34" s="138" t="s">
        <v>197</v>
      </c>
      <c r="F34" s="136">
        <v>2</v>
      </c>
      <c r="G34" s="136">
        <v>4</v>
      </c>
      <c r="H34" s="136">
        <v>8</v>
      </c>
      <c r="I34" s="136">
        <f>Escopo!$D$13</f>
        <v>137</v>
      </c>
    </row>
    <row r="35" spans="2:9" x14ac:dyDescent="0.2">
      <c r="B35" s="135" t="s">
        <v>27</v>
      </c>
      <c r="C35" s="135" t="s">
        <v>199</v>
      </c>
      <c r="D35" s="135" t="s">
        <v>199</v>
      </c>
      <c r="E35" s="139"/>
      <c r="F35" s="136"/>
      <c r="G35" s="136"/>
      <c r="H35" s="136"/>
      <c r="I35" s="136">
        <f>Escopo!$D$13</f>
        <v>137</v>
      </c>
    </row>
    <row r="36" spans="2:9" ht="75" x14ac:dyDescent="0.2">
      <c r="B36" s="135" t="s">
        <v>27</v>
      </c>
      <c r="C36" s="135" t="s">
        <v>135</v>
      </c>
      <c r="D36" s="135" t="s">
        <v>17</v>
      </c>
      <c r="E36" s="138" t="s">
        <v>190</v>
      </c>
      <c r="F36" s="136">
        <v>4</v>
      </c>
      <c r="G36" s="136">
        <v>8</v>
      </c>
      <c r="H36" s="136">
        <v>16</v>
      </c>
      <c r="I36" s="136">
        <f>Escopo!$D$13</f>
        <v>137</v>
      </c>
    </row>
    <row r="37" spans="2:9" x14ac:dyDescent="0.2">
      <c r="B37" s="135" t="s">
        <v>27</v>
      </c>
      <c r="C37" s="135" t="s">
        <v>199</v>
      </c>
      <c r="D37" s="135" t="s">
        <v>199</v>
      </c>
      <c r="E37" s="139"/>
      <c r="F37" s="136"/>
      <c r="G37" s="136"/>
      <c r="H37" s="136"/>
      <c r="I37" s="136">
        <f>Escopo!$D$13</f>
        <v>137</v>
      </c>
    </row>
    <row r="38" spans="2:9" ht="75" x14ac:dyDescent="0.2">
      <c r="B38" s="135" t="s">
        <v>27</v>
      </c>
      <c r="C38" s="135" t="s">
        <v>136</v>
      </c>
      <c r="D38" s="135" t="s">
        <v>18</v>
      </c>
      <c r="E38" s="138" t="s">
        <v>191</v>
      </c>
      <c r="F38" s="136">
        <v>8</v>
      </c>
      <c r="G38" s="136">
        <v>16</v>
      </c>
      <c r="H38" s="136">
        <v>24</v>
      </c>
      <c r="I38" s="136">
        <f>Escopo!$D$13</f>
        <v>137</v>
      </c>
    </row>
    <row r="39" spans="2:9" x14ac:dyDescent="0.2">
      <c r="B39" s="135" t="s">
        <v>27</v>
      </c>
      <c r="C39" s="135" t="s">
        <v>105</v>
      </c>
      <c r="D39" s="135" t="s">
        <v>13</v>
      </c>
      <c r="E39" s="135" t="s">
        <v>105</v>
      </c>
      <c r="F39" s="136">
        <v>16</v>
      </c>
      <c r="G39" s="136">
        <v>40</v>
      </c>
      <c r="H39" s="136">
        <v>80</v>
      </c>
      <c r="I39" s="136">
        <f>Escopo!$D$13</f>
        <v>137</v>
      </c>
    </row>
    <row r="40" spans="2:9" x14ac:dyDescent="0.2">
      <c r="B40" s="135" t="s">
        <v>27</v>
      </c>
      <c r="C40" s="135" t="s">
        <v>106</v>
      </c>
      <c r="D40" s="135" t="s">
        <v>13</v>
      </c>
      <c r="E40" s="135" t="s">
        <v>106</v>
      </c>
      <c r="F40" s="136">
        <v>16</v>
      </c>
      <c r="G40" s="136">
        <v>40</v>
      </c>
      <c r="H40" s="136">
        <v>80</v>
      </c>
      <c r="I40" s="136">
        <f>Escopo!$D$13</f>
        <v>137</v>
      </c>
    </row>
    <row r="41" spans="2:9" x14ac:dyDescent="0.2">
      <c r="B41" s="135" t="s">
        <v>27</v>
      </c>
      <c r="C41" s="135" t="s">
        <v>107</v>
      </c>
      <c r="D41" s="135" t="s">
        <v>102</v>
      </c>
      <c r="E41" s="135" t="s">
        <v>107</v>
      </c>
      <c r="F41" s="136">
        <v>16</v>
      </c>
      <c r="G41" s="136">
        <v>80</v>
      </c>
      <c r="H41" s="136">
        <v>160</v>
      </c>
      <c r="I41" s="136">
        <f>Escopo!$D$13</f>
        <v>137</v>
      </c>
    </row>
    <row r="42" spans="2:9" x14ac:dyDescent="0.2">
      <c r="B42" s="135" t="s">
        <v>27</v>
      </c>
      <c r="C42" s="135" t="s">
        <v>108</v>
      </c>
      <c r="D42" s="135" t="s">
        <v>102</v>
      </c>
      <c r="E42" s="135" t="s">
        <v>108</v>
      </c>
      <c r="F42" s="136">
        <v>8</v>
      </c>
      <c r="G42" s="136">
        <v>16</v>
      </c>
      <c r="H42" s="136">
        <v>24</v>
      </c>
      <c r="I42" s="136">
        <f>Escopo!$D$13</f>
        <v>137</v>
      </c>
    </row>
    <row r="43" spans="2:9" x14ac:dyDescent="0.2">
      <c r="B43" s="135" t="s">
        <v>27</v>
      </c>
      <c r="C43" s="135" t="s">
        <v>109</v>
      </c>
      <c r="D43" s="135" t="s">
        <v>102</v>
      </c>
      <c r="E43" s="135" t="s">
        <v>109</v>
      </c>
      <c r="F43" s="136">
        <v>16</v>
      </c>
      <c r="G43" s="136">
        <v>80</v>
      </c>
      <c r="H43" s="136">
        <v>160</v>
      </c>
      <c r="I43" s="136">
        <f>Escopo!$D$13</f>
        <v>137</v>
      </c>
    </row>
    <row r="44" spans="2:9" x14ac:dyDescent="0.2">
      <c r="B44" s="135" t="s">
        <v>27</v>
      </c>
      <c r="C44" s="135" t="s">
        <v>162</v>
      </c>
      <c r="D44" s="135" t="s">
        <v>103</v>
      </c>
      <c r="E44" s="135" t="s">
        <v>162</v>
      </c>
      <c r="F44" s="136">
        <v>4</v>
      </c>
      <c r="G44" s="136">
        <v>8</v>
      </c>
      <c r="H44" s="136">
        <v>16</v>
      </c>
      <c r="I44" s="136">
        <f>Escopo!$D$13</f>
        <v>137</v>
      </c>
    </row>
    <row r="45" spans="2:9" x14ac:dyDescent="0.2">
      <c r="B45" s="135" t="s">
        <v>27</v>
      </c>
      <c r="C45" s="135" t="s">
        <v>143</v>
      </c>
      <c r="D45" s="135" t="s">
        <v>142</v>
      </c>
      <c r="E45" s="135" t="s">
        <v>143</v>
      </c>
      <c r="F45" s="136">
        <v>24</v>
      </c>
      <c r="G45" s="136">
        <v>80</v>
      </c>
      <c r="H45" s="136">
        <v>160</v>
      </c>
      <c r="I45" s="136">
        <f>Escopo!$D$13</f>
        <v>137</v>
      </c>
    </row>
    <row r="46" spans="2:9" x14ac:dyDescent="0.2">
      <c r="B46" s="135" t="s">
        <v>27</v>
      </c>
      <c r="C46" s="135" t="s">
        <v>144</v>
      </c>
      <c r="D46" s="135" t="s">
        <v>142</v>
      </c>
      <c r="E46" s="135" t="s">
        <v>144</v>
      </c>
      <c r="F46" s="136">
        <v>24</v>
      </c>
      <c r="G46" s="136">
        <v>80</v>
      </c>
      <c r="H46" s="136">
        <v>160</v>
      </c>
      <c r="I46" s="136">
        <f>Escopo!$D$13</f>
        <v>137</v>
      </c>
    </row>
    <row r="47" spans="2:9" x14ac:dyDescent="0.2">
      <c r="B47" s="135" t="s">
        <v>27</v>
      </c>
      <c r="C47" s="135" t="s">
        <v>145</v>
      </c>
      <c r="D47" s="135" t="s">
        <v>142</v>
      </c>
      <c r="E47" s="135" t="s">
        <v>145</v>
      </c>
      <c r="F47" s="136">
        <v>24</v>
      </c>
      <c r="G47" s="136">
        <v>80</v>
      </c>
      <c r="H47" s="136">
        <v>160</v>
      </c>
      <c r="I47" s="136">
        <f>Escopo!$D$13</f>
        <v>137</v>
      </c>
    </row>
    <row r="48" spans="2:9" x14ac:dyDescent="0.2">
      <c r="B48" s="135" t="s">
        <v>27</v>
      </c>
      <c r="C48" s="135" t="s">
        <v>150</v>
      </c>
      <c r="D48" s="135" t="s">
        <v>142</v>
      </c>
      <c r="E48" s="135" t="s">
        <v>150</v>
      </c>
      <c r="F48" s="136">
        <v>16</v>
      </c>
      <c r="G48" s="136">
        <v>24</v>
      </c>
      <c r="H48" s="136">
        <v>40</v>
      </c>
      <c r="I48" s="136">
        <f>Escopo!$D$13</f>
        <v>137</v>
      </c>
    </row>
    <row r="49" spans="2:9" x14ac:dyDescent="0.2">
      <c r="B49" s="135" t="s">
        <v>27</v>
      </c>
      <c r="C49" s="135" t="s">
        <v>149</v>
      </c>
      <c r="D49" s="135" t="s">
        <v>142</v>
      </c>
      <c r="E49" s="135" t="s">
        <v>149</v>
      </c>
      <c r="F49" s="136">
        <v>16</v>
      </c>
      <c r="G49" s="136">
        <v>24</v>
      </c>
      <c r="H49" s="136">
        <v>40</v>
      </c>
      <c r="I49" s="136">
        <f>Escopo!$D$13</f>
        <v>137</v>
      </c>
    </row>
    <row r="50" spans="2:9" x14ac:dyDescent="0.2">
      <c r="B50" s="135" t="s">
        <v>27</v>
      </c>
      <c r="C50" s="135" t="s">
        <v>146</v>
      </c>
      <c r="D50" s="135" t="s">
        <v>142</v>
      </c>
      <c r="E50" s="135" t="s">
        <v>146</v>
      </c>
      <c r="F50" s="136">
        <v>16</v>
      </c>
      <c r="G50" s="136">
        <v>80</v>
      </c>
      <c r="H50" s="136">
        <v>160</v>
      </c>
      <c r="I50" s="136">
        <f>Escopo!$D$13</f>
        <v>137</v>
      </c>
    </row>
    <row r="51" spans="2:9" x14ac:dyDescent="0.2">
      <c r="B51" s="135" t="s">
        <v>26</v>
      </c>
      <c r="C51" s="135" t="s">
        <v>202</v>
      </c>
      <c r="D51" s="135" t="s">
        <v>211</v>
      </c>
      <c r="E51" s="135" t="s">
        <v>211</v>
      </c>
      <c r="F51" s="135">
        <v>32</v>
      </c>
      <c r="G51" s="135">
        <v>32</v>
      </c>
      <c r="H51" s="135">
        <v>32</v>
      </c>
      <c r="I51" s="136">
        <f>Escopo!$D$13</f>
        <v>137</v>
      </c>
    </row>
    <row r="52" spans="2:9" x14ac:dyDescent="0.2">
      <c r="B52" s="135" t="s">
        <v>26</v>
      </c>
      <c r="C52" s="135" t="s">
        <v>203</v>
      </c>
      <c r="D52" s="135" t="s">
        <v>211</v>
      </c>
      <c r="E52" s="135" t="s">
        <v>211</v>
      </c>
      <c r="F52" s="135">
        <v>8</v>
      </c>
      <c r="G52" s="135">
        <v>8</v>
      </c>
      <c r="H52" s="135">
        <v>8</v>
      </c>
      <c r="I52" s="136">
        <f>Escopo!$D$13</f>
        <v>137</v>
      </c>
    </row>
    <row r="53" spans="2:9" x14ac:dyDescent="0.2">
      <c r="B53" s="135" t="s">
        <v>26</v>
      </c>
      <c r="C53" s="135" t="s">
        <v>216</v>
      </c>
      <c r="D53" s="135" t="s">
        <v>215</v>
      </c>
      <c r="E53" s="135" t="s">
        <v>215</v>
      </c>
      <c r="F53" s="135">
        <v>0.4</v>
      </c>
      <c r="G53" s="135">
        <v>0.4</v>
      </c>
      <c r="H53" s="135">
        <v>0.4</v>
      </c>
      <c r="I53" s="136">
        <f>Escopo!$D$13</f>
        <v>137</v>
      </c>
    </row>
    <row r="54" spans="2:9" x14ac:dyDescent="0.2">
      <c r="B54" s="135" t="s">
        <v>26</v>
      </c>
      <c r="C54" s="135" t="s">
        <v>204</v>
      </c>
      <c r="D54" s="135" t="s">
        <v>217</v>
      </c>
      <c r="E54" s="135" t="s">
        <v>217</v>
      </c>
      <c r="F54" s="135">
        <v>0.5</v>
      </c>
      <c r="G54" s="135">
        <v>0.5</v>
      </c>
      <c r="H54" s="135">
        <v>0.5</v>
      </c>
      <c r="I54" s="136">
        <f>Escopo!$D$13</f>
        <v>137</v>
      </c>
    </row>
    <row r="55" spans="2:9" x14ac:dyDescent="0.2">
      <c r="B55" s="135" t="s">
        <v>26</v>
      </c>
      <c r="C55" s="135" t="s">
        <v>219</v>
      </c>
      <c r="D55" s="135" t="s">
        <v>218</v>
      </c>
      <c r="E55" s="135" t="s">
        <v>218</v>
      </c>
      <c r="F55" s="135">
        <v>0.25</v>
      </c>
      <c r="G55" s="135">
        <v>0.25</v>
      </c>
      <c r="H55" s="135">
        <v>0.25</v>
      </c>
      <c r="I55" s="136">
        <f>Escopo!$D$13</f>
        <v>137</v>
      </c>
    </row>
    <row r="56" spans="2:9" x14ac:dyDescent="0.2">
      <c r="B56" s="135" t="s">
        <v>26</v>
      </c>
      <c r="C56" s="135" t="s">
        <v>220</v>
      </c>
      <c r="D56" s="135" t="s">
        <v>218</v>
      </c>
      <c r="E56" s="135" t="s">
        <v>218</v>
      </c>
      <c r="F56" s="135">
        <v>0.5</v>
      </c>
      <c r="G56" s="135">
        <v>0.5</v>
      </c>
      <c r="H56" s="135">
        <v>0.5</v>
      </c>
      <c r="I56" s="136">
        <f>Escopo!$D$13</f>
        <v>137</v>
      </c>
    </row>
    <row r="57" spans="2:9" x14ac:dyDescent="0.2">
      <c r="B57" s="135" t="s">
        <v>26</v>
      </c>
      <c r="C57" s="135" t="s">
        <v>205</v>
      </c>
      <c r="D57" s="135" t="s">
        <v>218</v>
      </c>
      <c r="E57" s="135" t="s">
        <v>218</v>
      </c>
      <c r="F57" s="135">
        <v>0.5</v>
      </c>
      <c r="G57" s="135">
        <v>0.5</v>
      </c>
      <c r="H57" s="135">
        <v>0.5</v>
      </c>
      <c r="I57" s="136">
        <f>Escopo!$D$13</f>
        <v>137</v>
      </c>
    </row>
    <row r="58" spans="2:9" x14ac:dyDescent="0.2">
      <c r="B58" s="135" t="s">
        <v>26</v>
      </c>
      <c r="C58" s="135" t="s">
        <v>221</v>
      </c>
      <c r="D58" s="135" t="s">
        <v>222</v>
      </c>
      <c r="E58" s="135" t="s">
        <v>222</v>
      </c>
      <c r="F58" s="135">
        <f t="shared" ref="F58:H59" si="0">0.5/3</f>
        <v>0.16666666666666666</v>
      </c>
      <c r="G58" s="135">
        <f t="shared" si="0"/>
        <v>0.16666666666666666</v>
      </c>
      <c r="H58" s="135">
        <f t="shared" si="0"/>
        <v>0.16666666666666666</v>
      </c>
      <c r="I58" s="136">
        <f>Escopo!$D$13</f>
        <v>137</v>
      </c>
    </row>
    <row r="59" spans="2:9" x14ac:dyDescent="0.2">
      <c r="B59" s="135" t="s">
        <v>26</v>
      </c>
      <c r="C59" s="135" t="s">
        <v>223</v>
      </c>
      <c r="D59" s="135" t="s">
        <v>222</v>
      </c>
      <c r="E59" s="135" t="s">
        <v>222</v>
      </c>
      <c r="F59" s="135">
        <f t="shared" si="0"/>
        <v>0.16666666666666666</v>
      </c>
      <c r="G59" s="135">
        <f t="shared" si="0"/>
        <v>0.16666666666666666</v>
      </c>
      <c r="H59" s="135">
        <f t="shared" si="0"/>
        <v>0.16666666666666666</v>
      </c>
      <c r="I59" s="136">
        <f>Escopo!$D$13</f>
        <v>137</v>
      </c>
    </row>
    <row r="60" spans="2:9" x14ac:dyDescent="0.2">
      <c r="B60" s="135" t="s">
        <v>26</v>
      </c>
      <c r="C60" s="135" t="s">
        <v>224</v>
      </c>
      <c r="D60" s="135" t="s">
        <v>225</v>
      </c>
      <c r="E60" s="135" t="s">
        <v>225</v>
      </c>
      <c r="F60" s="135">
        <f>2/5</f>
        <v>0.4</v>
      </c>
      <c r="G60" s="135">
        <f>2/5</f>
        <v>0.4</v>
      </c>
      <c r="H60" s="135">
        <f>2/5</f>
        <v>0.4</v>
      </c>
      <c r="I60" s="136">
        <f>Escopo!$D$13</f>
        <v>137</v>
      </c>
    </row>
    <row r="61" spans="2:9" x14ac:dyDescent="0.2">
      <c r="B61" s="135" t="s">
        <v>26</v>
      </c>
      <c r="C61" s="135" t="s">
        <v>226</v>
      </c>
      <c r="D61" s="135" t="s">
        <v>227</v>
      </c>
      <c r="E61" s="135" t="s">
        <v>227</v>
      </c>
      <c r="F61" s="135">
        <v>0.25</v>
      </c>
      <c r="G61" s="135">
        <v>0.25</v>
      </c>
      <c r="H61" s="135">
        <v>0.25</v>
      </c>
      <c r="I61" s="136">
        <f>Escopo!$D$13</f>
        <v>137</v>
      </c>
    </row>
    <row r="62" spans="2:9" x14ac:dyDescent="0.2">
      <c r="B62" s="135" t="s">
        <v>26</v>
      </c>
      <c r="C62" s="135" t="s">
        <v>228</v>
      </c>
      <c r="D62" s="135" t="s">
        <v>229</v>
      </c>
      <c r="E62" s="135" t="s">
        <v>229</v>
      </c>
      <c r="F62" s="135">
        <v>0.4</v>
      </c>
      <c r="G62" s="135">
        <v>0.4</v>
      </c>
      <c r="H62" s="135">
        <v>0.4</v>
      </c>
      <c r="I62" s="136">
        <f>Escopo!$D$13</f>
        <v>137</v>
      </c>
    </row>
    <row r="63" spans="2:9" x14ac:dyDescent="0.2">
      <c r="B63" s="135" t="s">
        <v>26</v>
      </c>
      <c r="C63" s="135" t="s">
        <v>230</v>
      </c>
      <c r="D63" s="135" t="s">
        <v>231</v>
      </c>
      <c r="E63" s="135" t="s">
        <v>231</v>
      </c>
      <c r="F63" s="135">
        <f>1/5</f>
        <v>0.2</v>
      </c>
      <c r="G63" s="135">
        <f>1/5</f>
        <v>0.2</v>
      </c>
      <c r="H63" s="135">
        <f>1/5</f>
        <v>0.2</v>
      </c>
      <c r="I63" s="136">
        <f>Escopo!$D$13</f>
        <v>137</v>
      </c>
    </row>
    <row r="64" spans="2:9" x14ac:dyDescent="0.2">
      <c r="B64" s="135" t="s">
        <v>26</v>
      </c>
      <c r="C64" s="135" t="s">
        <v>232</v>
      </c>
      <c r="D64" s="135" t="s">
        <v>231</v>
      </c>
      <c r="E64" s="135" t="s">
        <v>231</v>
      </c>
      <c r="F64" s="135">
        <v>0.25</v>
      </c>
      <c r="G64" s="135">
        <v>0.25</v>
      </c>
      <c r="H64" s="135">
        <v>0.25</v>
      </c>
      <c r="I64" s="136">
        <f>Escopo!$D$13</f>
        <v>137</v>
      </c>
    </row>
    <row r="65" spans="2:9" x14ac:dyDescent="0.2">
      <c r="B65" s="135" t="s">
        <v>26</v>
      </c>
      <c r="C65" s="135" t="s">
        <v>234</v>
      </c>
      <c r="D65" s="135" t="s">
        <v>233</v>
      </c>
      <c r="E65" s="135" t="s">
        <v>233</v>
      </c>
      <c r="F65" s="135">
        <v>0.25</v>
      </c>
      <c r="G65" s="135">
        <v>0.25</v>
      </c>
      <c r="H65" s="135">
        <v>0.25</v>
      </c>
      <c r="I65" s="136">
        <f>Escopo!$D$13</f>
        <v>137</v>
      </c>
    </row>
    <row r="66" spans="2:9" x14ac:dyDescent="0.2">
      <c r="B66" s="135" t="s">
        <v>26</v>
      </c>
      <c r="C66" s="135" t="s">
        <v>235</v>
      </c>
      <c r="D66" s="135" t="s">
        <v>233</v>
      </c>
      <c r="E66" s="135" t="s">
        <v>233</v>
      </c>
      <c r="F66" s="135">
        <v>0.4</v>
      </c>
      <c r="G66" s="135">
        <v>0.4</v>
      </c>
      <c r="H66" s="135">
        <v>0.4</v>
      </c>
      <c r="I66" s="136">
        <f>Escopo!$D$13</f>
        <v>137</v>
      </c>
    </row>
    <row r="67" spans="2:9" x14ac:dyDescent="0.2">
      <c r="B67" s="135" t="s">
        <v>26</v>
      </c>
      <c r="C67" s="135" t="s">
        <v>236</v>
      </c>
      <c r="D67" s="135" t="s">
        <v>237</v>
      </c>
      <c r="E67" s="135" t="s">
        <v>237</v>
      </c>
      <c r="F67" s="135">
        <v>0.5</v>
      </c>
      <c r="G67" s="135">
        <v>0.5</v>
      </c>
      <c r="H67" s="135">
        <v>0.5</v>
      </c>
      <c r="I67" s="136">
        <f>Escopo!$D$13</f>
        <v>137</v>
      </c>
    </row>
    <row r="68" spans="2:9" x14ac:dyDescent="0.2">
      <c r="B68" s="135" t="s">
        <v>26</v>
      </c>
      <c r="C68" s="135" t="s">
        <v>238</v>
      </c>
      <c r="D68" s="135" t="s">
        <v>239</v>
      </c>
      <c r="E68" s="135" t="s">
        <v>239</v>
      </c>
      <c r="F68" s="135">
        <v>0.2</v>
      </c>
      <c r="G68" s="135">
        <v>0.2</v>
      </c>
      <c r="H68" s="135">
        <v>0.2</v>
      </c>
      <c r="I68" s="136">
        <f>Escopo!$D$13</f>
        <v>137</v>
      </c>
    </row>
    <row r="69" spans="2:9" x14ac:dyDescent="0.2">
      <c r="B69" s="135" t="s">
        <v>26</v>
      </c>
      <c r="C69" s="135" t="s">
        <v>241</v>
      </c>
      <c r="D69" s="135" t="s">
        <v>240</v>
      </c>
      <c r="E69" s="135" t="s">
        <v>240</v>
      </c>
      <c r="F69" s="135">
        <v>0.1</v>
      </c>
      <c r="G69" s="135">
        <v>0.1</v>
      </c>
      <c r="H69" s="135">
        <v>0.1</v>
      </c>
      <c r="I69" s="136">
        <f>Escopo!$D$13</f>
        <v>137</v>
      </c>
    </row>
    <row r="70" spans="2:9" x14ac:dyDescent="0.2">
      <c r="B70" s="135" t="s">
        <v>26</v>
      </c>
      <c r="C70" s="135" t="s">
        <v>242</v>
      </c>
      <c r="D70" s="135" t="s">
        <v>233</v>
      </c>
      <c r="E70" s="135" t="s">
        <v>233</v>
      </c>
      <c r="F70" s="135">
        <v>0.1</v>
      </c>
      <c r="G70" s="135">
        <v>0.1</v>
      </c>
      <c r="H70" s="135">
        <v>0.1</v>
      </c>
      <c r="I70" s="136">
        <f>Escopo!$D$13</f>
        <v>137</v>
      </c>
    </row>
    <row r="71" spans="2:9" x14ac:dyDescent="0.2">
      <c r="B71" s="135" t="s">
        <v>26</v>
      </c>
      <c r="C71" s="135" t="s">
        <v>243</v>
      </c>
      <c r="D71" s="135" t="s">
        <v>244</v>
      </c>
      <c r="E71" s="135" t="s">
        <v>244</v>
      </c>
      <c r="F71" s="135">
        <v>0.4</v>
      </c>
      <c r="G71" s="135">
        <v>0.4</v>
      </c>
      <c r="H71" s="135">
        <v>0.4</v>
      </c>
      <c r="I71" s="136">
        <f>Escopo!$D$13</f>
        <v>137</v>
      </c>
    </row>
    <row r="72" spans="2:9" x14ac:dyDescent="0.2">
      <c r="B72" s="135" t="s">
        <v>26</v>
      </c>
      <c r="C72" s="135" t="s">
        <v>245</v>
      </c>
      <c r="D72" s="135" t="s">
        <v>246</v>
      </c>
      <c r="E72" s="135" t="s">
        <v>246</v>
      </c>
      <c r="F72" s="135">
        <v>0.2</v>
      </c>
      <c r="G72" s="135">
        <v>0.2</v>
      </c>
      <c r="H72" s="135">
        <v>0.2</v>
      </c>
      <c r="I72" s="136">
        <f>Escopo!$D$13</f>
        <v>137</v>
      </c>
    </row>
    <row r="73" spans="2:9" x14ac:dyDescent="0.2">
      <c r="B73" s="135" t="s">
        <v>26</v>
      </c>
      <c r="C73" s="135" t="s">
        <v>247</v>
      </c>
      <c r="D73" s="135" t="s">
        <v>248</v>
      </c>
      <c r="E73" s="135" t="s">
        <v>248</v>
      </c>
      <c r="F73" s="135">
        <v>0.2</v>
      </c>
      <c r="G73" s="135">
        <v>0.2</v>
      </c>
      <c r="H73" s="135">
        <v>0.2</v>
      </c>
      <c r="I73" s="136">
        <f>Escopo!$D$13</f>
        <v>137</v>
      </c>
    </row>
    <row r="74" spans="2:9" x14ac:dyDescent="0.2">
      <c r="B74" s="135" t="s">
        <v>26</v>
      </c>
      <c r="C74" s="135" t="s">
        <v>249</v>
      </c>
      <c r="D74" s="135" t="s">
        <v>250</v>
      </c>
      <c r="E74" s="135" t="s">
        <v>250</v>
      </c>
      <c r="F74" s="135">
        <v>0.1</v>
      </c>
      <c r="G74" s="135">
        <v>0.1</v>
      </c>
      <c r="H74" s="135">
        <v>0.1</v>
      </c>
      <c r="I74" s="136">
        <f>Escopo!$D$13</f>
        <v>137</v>
      </c>
    </row>
    <row r="75" spans="2:9" x14ac:dyDescent="0.2">
      <c r="B75" s="135" t="s">
        <v>26</v>
      </c>
      <c r="C75" s="135" t="s">
        <v>206</v>
      </c>
      <c r="D75" s="135" t="s">
        <v>248</v>
      </c>
      <c r="E75" s="135" t="s">
        <v>248</v>
      </c>
      <c r="F75" s="135">
        <v>2</v>
      </c>
      <c r="G75" s="135">
        <v>2</v>
      </c>
      <c r="H75" s="135">
        <v>2</v>
      </c>
      <c r="I75" s="136">
        <f>Escopo!$D$13</f>
        <v>137</v>
      </c>
    </row>
    <row r="76" spans="2:9" x14ac:dyDescent="0.2">
      <c r="B76" s="135" t="s">
        <v>26</v>
      </c>
      <c r="C76" s="135" t="s">
        <v>251</v>
      </c>
      <c r="D76" s="135" t="s">
        <v>253</v>
      </c>
      <c r="E76" s="135" t="s">
        <v>253</v>
      </c>
      <c r="F76" s="135">
        <v>0.1</v>
      </c>
      <c r="G76" s="135">
        <v>0.1</v>
      </c>
      <c r="H76" s="135">
        <v>0.1</v>
      </c>
      <c r="I76" s="136">
        <f>Escopo!$D$13</f>
        <v>137</v>
      </c>
    </row>
    <row r="77" spans="2:9" x14ac:dyDescent="0.2">
      <c r="B77" s="135" t="s">
        <v>26</v>
      </c>
      <c r="C77" s="135" t="s">
        <v>252</v>
      </c>
      <c r="D77" s="135" t="s">
        <v>254</v>
      </c>
      <c r="E77" s="135" t="s">
        <v>254</v>
      </c>
      <c r="F77" s="135">
        <v>0.1</v>
      </c>
      <c r="G77" s="135">
        <v>0.1</v>
      </c>
      <c r="H77" s="135">
        <v>0.1</v>
      </c>
      <c r="I77" s="136">
        <f>Escopo!$D$13</f>
        <v>137</v>
      </c>
    </row>
    <row r="78" spans="2:9" x14ac:dyDescent="0.2">
      <c r="B78" s="135" t="s">
        <v>26</v>
      </c>
      <c r="C78" s="135" t="s">
        <v>255</v>
      </c>
      <c r="D78" s="135" t="s">
        <v>254</v>
      </c>
      <c r="E78" s="135" t="s">
        <v>254</v>
      </c>
      <c r="F78" s="135">
        <v>0.1</v>
      </c>
      <c r="G78" s="135">
        <v>0.1</v>
      </c>
      <c r="H78" s="135">
        <v>0.1</v>
      </c>
      <c r="I78" s="136">
        <f>Escopo!$D$13</f>
        <v>137</v>
      </c>
    </row>
    <row r="79" spans="2:9" x14ac:dyDescent="0.2">
      <c r="B79" s="135" t="s">
        <v>26</v>
      </c>
      <c r="C79" s="135" t="s">
        <v>207</v>
      </c>
      <c r="D79" s="135" t="s">
        <v>256</v>
      </c>
      <c r="E79" s="135" t="s">
        <v>256</v>
      </c>
      <c r="F79" s="135">
        <v>0.5</v>
      </c>
      <c r="G79" s="135">
        <v>0.5</v>
      </c>
      <c r="H79" s="135">
        <v>0.5</v>
      </c>
      <c r="I79" s="136">
        <f>Escopo!$D$13</f>
        <v>137</v>
      </c>
    </row>
    <row r="80" spans="2:9" x14ac:dyDescent="0.2">
      <c r="B80" s="135" t="s">
        <v>26</v>
      </c>
      <c r="C80" s="135" t="s">
        <v>257</v>
      </c>
      <c r="D80" s="135" t="s">
        <v>258</v>
      </c>
      <c r="E80" s="135" t="s">
        <v>258</v>
      </c>
      <c r="F80" s="135">
        <v>0.1</v>
      </c>
      <c r="G80" s="135">
        <v>0.1</v>
      </c>
      <c r="H80" s="135">
        <v>0.1</v>
      </c>
      <c r="I80" s="136">
        <f>Escopo!$D$13</f>
        <v>137</v>
      </c>
    </row>
    <row r="81" spans="2:9" x14ac:dyDescent="0.2">
      <c r="B81" s="135" t="s">
        <v>26</v>
      </c>
      <c r="C81" s="135" t="s">
        <v>208</v>
      </c>
      <c r="D81" s="135" t="s">
        <v>211</v>
      </c>
      <c r="E81" s="135" t="s">
        <v>211</v>
      </c>
      <c r="F81" s="135">
        <v>8</v>
      </c>
      <c r="G81" s="135">
        <v>8</v>
      </c>
      <c r="H81" s="135">
        <v>8</v>
      </c>
      <c r="I81" s="136">
        <f>Escopo!$D$13</f>
        <v>137</v>
      </c>
    </row>
    <row r="82" spans="2:9" x14ac:dyDescent="0.2">
      <c r="B82" s="135" t="s">
        <v>26</v>
      </c>
      <c r="C82" s="135" t="s">
        <v>209</v>
      </c>
      <c r="D82" s="135" t="s">
        <v>211</v>
      </c>
      <c r="E82" s="135" t="s">
        <v>211</v>
      </c>
      <c r="F82" s="135">
        <v>16</v>
      </c>
      <c r="G82" s="135">
        <v>16</v>
      </c>
      <c r="H82" s="135">
        <v>16</v>
      </c>
      <c r="I82" s="136">
        <f>Escopo!$D$13</f>
        <v>137</v>
      </c>
    </row>
    <row r="83" spans="2:9" x14ac:dyDescent="0.2">
      <c r="B83" s="135" t="s">
        <v>26</v>
      </c>
      <c r="C83" s="135" t="s">
        <v>210</v>
      </c>
      <c r="D83" s="135" t="s">
        <v>211</v>
      </c>
      <c r="E83" s="135" t="s">
        <v>211</v>
      </c>
      <c r="F83" s="135">
        <v>8</v>
      </c>
      <c r="G83" s="135">
        <v>8</v>
      </c>
      <c r="H83" s="135">
        <v>8</v>
      </c>
      <c r="I83" s="136">
        <f>Escopo!$D$13</f>
        <v>137</v>
      </c>
    </row>
  </sheetData>
  <sheetProtection password="D974" sheet="1" objects="1" scenarios="1"/>
  <mergeCells count="1">
    <mergeCell ref="B2:I2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 enableFormatConditionsCalculation="0"/>
  <dimension ref="A1:A3"/>
  <sheetViews>
    <sheetView workbookViewId="0">
      <selection activeCell="A3" sqref="A3"/>
    </sheetView>
  </sheetViews>
  <sheetFormatPr baseColWidth="10" defaultColWidth="8.83203125" defaultRowHeight="15" x14ac:dyDescent="0.2"/>
  <cols>
    <col min="1" max="1" width="8.5" customWidth="1"/>
  </cols>
  <sheetData>
    <row r="1" spans="1:1" x14ac:dyDescent="0.2">
      <c r="A1" t="s">
        <v>52</v>
      </c>
    </row>
    <row r="2" spans="1:1" x14ac:dyDescent="0.2">
      <c r="A2" t="s">
        <v>54</v>
      </c>
    </row>
    <row r="3" spans="1:1" x14ac:dyDescent="0.2">
      <c r="A3" t="s">
        <v>53</v>
      </c>
    </row>
  </sheetData>
  <sheetProtection algorithmName="SHA-512" hashValue="VgPWbtV6L3203FRGt+okekTyyn5Gbqy5L58Sa6fZolw80OboES7V7+csRQxz19BWErELu1sHsQmXUwdCsKg7xw==" saltValue="kgU8AQS91By6t3YuYF5PYA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Escopo</vt:lpstr>
      <vt:lpstr>Detalhamento BPM</vt:lpstr>
      <vt:lpstr>Detalhamento WCM</vt:lpstr>
      <vt:lpstr>Detalhamento ESB</vt:lpstr>
      <vt:lpstr>Detalhamento Identity</vt:lpstr>
      <vt:lpstr>Detalhamento LMS</vt:lpstr>
      <vt:lpstr>PacoteXItem</vt:lpstr>
      <vt:lpstr>Catalogo de Item de Serviço</vt:lpstr>
      <vt:lpstr>Complexidade</vt:lpstr>
    </vt:vector>
  </TitlesOfParts>
  <Company>TOTVS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Roberto Eloterio</dc:creator>
  <cp:lastModifiedBy>Usuário do Microsoft Office</cp:lastModifiedBy>
  <dcterms:created xsi:type="dcterms:W3CDTF">2013-02-21T16:40:32Z</dcterms:created>
  <dcterms:modified xsi:type="dcterms:W3CDTF">2017-07-18T12:59:41Z</dcterms:modified>
</cp:coreProperties>
</file>